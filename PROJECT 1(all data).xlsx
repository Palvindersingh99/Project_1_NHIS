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E:\pgp\INTERSHIP PROJECT\"/>
    </mc:Choice>
  </mc:AlternateContent>
  <xr:revisionPtr revIDLastSave="0" documentId="13_ncr:1_{E9B34DB0-E858-4CFF-A88C-54C570518661}" xr6:coauthVersionLast="47" xr6:coauthVersionMax="47" xr10:uidLastSave="{00000000-0000-0000-0000-000000000000}"/>
  <bookViews>
    <workbookView xWindow="-108" yWindow="-108" windowWidth="23256" windowHeight="12456" firstSheet="5" activeTab="12" xr2:uid="{C8AA9556-D495-4C90-8FFF-EB283A1BADA0}"/>
  </bookViews>
  <sheets>
    <sheet name="dataset_3" sheetId="5" r:id="rId1"/>
    <sheet name="DATASET 1" sheetId="1" r:id="rId2"/>
    <sheet name="DATA SHEET 2" sheetId="2" r:id="rId3"/>
    <sheet name="Merge2" sheetId="24" r:id="rId4"/>
    <sheet name="Merge1+2" sheetId="10" r:id="rId5"/>
    <sheet name="Sheet5" sheetId="9" r:id="rId6"/>
    <sheet name="Detail1" sheetId="18" r:id="rId7"/>
    <sheet name="Sheet2" sheetId="13" r:id="rId8"/>
    <sheet name="Sheet3" sheetId="25" r:id="rId9"/>
    <sheet name="Sheet4" sheetId="21" r:id="rId10"/>
    <sheet name="Sheet1" sheetId="20" r:id="rId11"/>
    <sheet name="final data" sheetId="11" r:id="rId12"/>
    <sheet name="Dashboard" sheetId="16" r:id="rId13"/>
  </sheets>
  <definedNames>
    <definedName name="ExternalData_1" localSheetId="4" hidden="1">'Merge1+2'!$A$1:$P$611</definedName>
    <definedName name="ExternalData_1" localSheetId="3" hidden="1">Merge2!$A$1:$P$611</definedName>
    <definedName name="ExternalData_2" localSheetId="11" hidden="1">'final data'!$A$1:$N$1001</definedName>
    <definedName name="Slicer_cnt">#N/A</definedName>
    <definedName name="Slicer_dteday">#N/A</definedName>
  </definedNames>
  <calcPr calcId="191029"/>
  <pivotCaches>
    <pivotCache cacheId="11" r:id="rId14"/>
    <pivotCache cacheId="9" r:id="rId15"/>
    <pivotCache cacheId="2" r:id="rId16"/>
    <pivotCache cacheId="3"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02" i="11" l="1"/>
  <c r="H2" i="11" a="1"/>
  <c r="H2" i="11" s="1"/>
  <c r="H3" i="11" a="1"/>
  <c r="H3" i="11" s="1"/>
  <c r="H4" i="11" a="1"/>
  <c r="H4" i="11" s="1"/>
  <c r="H5" i="11" a="1"/>
  <c r="H5" i="11" s="1"/>
  <c r="H6" i="11" a="1"/>
  <c r="H6" i="11" s="1"/>
  <c r="H7" i="11" a="1"/>
  <c r="H7" i="11" s="1"/>
  <c r="H8" i="11" a="1"/>
  <c r="H8" i="11" s="1"/>
  <c r="H9" i="11" a="1"/>
  <c r="H9" i="11" s="1"/>
  <c r="H10" i="11" a="1"/>
  <c r="H10" i="11" s="1"/>
  <c r="H11" i="11" a="1"/>
  <c r="H11" i="11" s="1"/>
  <c r="H12" i="11" a="1"/>
  <c r="H12" i="11" s="1"/>
  <c r="H13" i="11" a="1"/>
  <c r="H13" i="11" s="1"/>
  <c r="H14" i="11" a="1"/>
  <c r="H14" i="11" s="1"/>
  <c r="H15" i="11" a="1"/>
  <c r="H15" i="11" s="1"/>
  <c r="H16" i="11" a="1"/>
  <c r="H16" i="11" s="1"/>
  <c r="H17" i="11" a="1"/>
  <c r="H17" i="11" s="1"/>
  <c r="H18" i="11" a="1"/>
  <c r="H18" i="11" s="1"/>
  <c r="H19" i="11" a="1"/>
  <c r="H19" i="11" s="1"/>
  <c r="H20" i="11" a="1"/>
  <c r="H20" i="11" s="1"/>
  <c r="H21" i="11" a="1"/>
  <c r="H21" i="11" s="1"/>
  <c r="H22" i="11" a="1"/>
  <c r="H22" i="11" s="1"/>
  <c r="H23" i="11" a="1"/>
  <c r="H23" i="11" s="1"/>
  <c r="H24" i="11" a="1"/>
  <c r="H24" i="11" s="1"/>
  <c r="H25" i="11" a="1"/>
  <c r="H25" i="11" s="1"/>
  <c r="H26" i="11" a="1"/>
  <c r="H26" i="11" s="1"/>
  <c r="H27" i="11" a="1"/>
  <c r="H27" i="11" s="1"/>
  <c r="H28" i="11" a="1"/>
  <c r="H28" i="11" s="1"/>
  <c r="H29" i="11" a="1"/>
  <c r="H29" i="11" s="1"/>
  <c r="H30" i="11" a="1"/>
  <c r="H30" i="11" s="1"/>
  <c r="H31" i="11" a="1"/>
  <c r="H31" i="11" s="1"/>
  <c r="H32" i="11" a="1"/>
  <c r="H32" i="11" s="1"/>
  <c r="H33" i="11" a="1"/>
  <c r="H33" i="11" s="1"/>
  <c r="H34" i="11" a="1"/>
  <c r="H34" i="11" s="1"/>
  <c r="H35" i="11" a="1"/>
  <c r="H35" i="11" s="1"/>
  <c r="H36" i="11" a="1"/>
  <c r="H36" i="11" s="1"/>
  <c r="H37" i="11" a="1"/>
  <c r="H37" i="11" s="1"/>
  <c r="H38" i="11" a="1"/>
  <c r="H38" i="11" s="1"/>
  <c r="H39" i="11" a="1"/>
  <c r="H39" i="11" s="1"/>
  <c r="H40" i="11" a="1"/>
  <c r="H40" i="11" s="1"/>
  <c r="H41" i="11" a="1"/>
  <c r="H41" i="11" s="1"/>
  <c r="H42" i="11" a="1"/>
  <c r="H42" i="11" s="1"/>
  <c r="H43" i="11" a="1"/>
  <c r="H43" i="11" s="1"/>
  <c r="H44" i="11" a="1"/>
  <c r="H44" i="11" s="1"/>
  <c r="H45" i="11" a="1"/>
  <c r="H45" i="11" s="1"/>
  <c r="H46" i="11" a="1"/>
  <c r="H46" i="11" s="1"/>
  <c r="H47" i="11" a="1"/>
  <c r="H47" i="11" s="1"/>
  <c r="H48" i="11" a="1"/>
  <c r="H48" i="11" s="1"/>
  <c r="H49" i="11" a="1"/>
  <c r="H49" i="11" s="1"/>
  <c r="H50" i="11" a="1"/>
  <c r="H50" i="11" s="1"/>
  <c r="H51" i="11" a="1"/>
  <c r="H51" i="11" s="1"/>
  <c r="H52" i="11" a="1"/>
  <c r="H52" i="11" s="1"/>
  <c r="H53" i="11" a="1"/>
  <c r="H53" i="11" s="1"/>
  <c r="H54" i="11" a="1"/>
  <c r="H54" i="11" s="1"/>
  <c r="H55" i="11" a="1"/>
  <c r="H55" i="11" s="1"/>
  <c r="H56" i="11" a="1"/>
  <c r="H56" i="11" s="1"/>
  <c r="H57" i="11" a="1"/>
  <c r="H57" i="11" s="1"/>
  <c r="H58" i="11" a="1"/>
  <c r="H58" i="11" s="1"/>
  <c r="H59" i="11" a="1"/>
  <c r="H59" i="11" s="1"/>
  <c r="H60" i="11" a="1"/>
  <c r="H60" i="11" s="1"/>
  <c r="H61" i="11" a="1"/>
  <c r="H61" i="11" s="1"/>
  <c r="H62" i="11" a="1"/>
  <c r="H62" i="11" s="1"/>
  <c r="H63" i="11" a="1"/>
  <c r="H63" i="11" s="1"/>
  <c r="H64" i="11" a="1"/>
  <c r="H64" i="11" s="1"/>
  <c r="H65" i="11" a="1"/>
  <c r="H65" i="11" s="1"/>
  <c r="H66" i="11" a="1"/>
  <c r="H66" i="11" s="1"/>
  <c r="H67" i="11" a="1"/>
  <c r="H67" i="11" s="1"/>
  <c r="H68" i="11" a="1"/>
  <c r="H68" i="11" s="1"/>
  <c r="H69" i="11" a="1"/>
  <c r="H69" i="11" s="1"/>
  <c r="H70" i="11" a="1"/>
  <c r="H70" i="11" s="1"/>
  <c r="H71" i="11" a="1"/>
  <c r="H71" i="11" s="1"/>
  <c r="H72" i="11" a="1"/>
  <c r="H72" i="11" s="1"/>
  <c r="H73" i="11" a="1"/>
  <c r="H73" i="11" s="1"/>
  <c r="H74" i="11" a="1"/>
  <c r="H74" i="11" s="1"/>
  <c r="H75" i="11" a="1"/>
  <c r="H75" i="11" s="1"/>
  <c r="H76" i="11" a="1"/>
  <c r="H76" i="11" s="1"/>
  <c r="H77" i="11" a="1"/>
  <c r="H77" i="11" s="1"/>
  <c r="H78" i="11" a="1"/>
  <c r="H78" i="11" s="1"/>
  <c r="H79" i="11" a="1"/>
  <c r="H79" i="11" s="1"/>
  <c r="H80" i="11" a="1"/>
  <c r="H80" i="11" s="1"/>
  <c r="H81" i="11" a="1"/>
  <c r="H81" i="11" s="1"/>
  <c r="H82" i="11" a="1"/>
  <c r="H82" i="11" s="1"/>
  <c r="H83" i="11" a="1"/>
  <c r="H83" i="11" s="1"/>
  <c r="H84" i="11" a="1"/>
  <c r="H84" i="11" s="1"/>
  <c r="H85" i="11" a="1"/>
  <c r="H85" i="11"/>
  <c r="H86" i="11" a="1"/>
  <c r="H86" i="11" s="1"/>
  <c r="H87" i="11" a="1"/>
  <c r="H87" i="11" s="1"/>
  <c r="H88" i="11" a="1"/>
  <c r="H88" i="11" s="1"/>
  <c r="H89" i="11" a="1"/>
  <c r="H89" i="11" s="1"/>
  <c r="H90" i="11" a="1"/>
  <c r="H90" i="11" s="1"/>
  <c r="H91" i="11" a="1"/>
  <c r="H91" i="11" s="1"/>
  <c r="H92" i="11" a="1"/>
  <c r="H92" i="11" s="1"/>
  <c r="H93" i="11" a="1"/>
  <c r="H93" i="11" s="1"/>
  <c r="H94" i="11" a="1"/>
  <c r="H94" i="11" s="1"/>
  <c r="H95" i="11" a="1"/>
  <c r="H95" i="11" s="1"/>
  <c r="H96" i="11" a="1"/>
  <c r="H96" i="11"/>
  <c r="H97" i="11" a="1"/>
  <c r="H97" i="11" s="1"/>
  <c r="H98" i="11" a="1"/>
  <c r="H98" i="11" s="1"/>
  <c r="H99" i="11" a="1"/>
  <c r="H99" i="11" s="1"/>
  <c r="H100" i="11" a="1"/>
  <c r="H100" i="11" s="1"/>
  <c r="H101" i="11" a="1"/>
  <c r="H101" i="11" s="1"/>
  <c r="H102" i="11" a="1"/>
  <c r="H102" i="11" s="1"/>
  <c r="H103" i="11" a="1"/>
  <c r="H103" i="11" s="1"/>
  <c r="H104" i="11" a="1"/>
  <c r="H104" i="11" s="1"/>
  <c r="H105" i="11" a="1"/>
  <c r="H105" i="11" s="1"/>
  <c r="H106" i="11" a="1"/>
  <c r="H106" i="11" s="1"/>
  <c r="H107" i="11" a="1"/>
  <c r="H107" i="11" s="1"/>
  <c r="H108" i="11" a="1"/>
  <c r="H108" i="11" s="1"/>
  <c r="H109" i="11" a="1"/>
  <c r="H109" i="11" s="1"/>
  <c r="H110" i="11" a="1"/>
  <c r="H110" i="11" s="1"/>
  <c r="H111" i="11" a="1"/>
  <c r="H111" i="11" s="1"/>
  <c r="H112" i="11" a="1"/>
  <c r="H112" i="11" s="1"/>
  <c r="H113" i="11" a="1"/>
  <c r="H113" i="11" s="1"/>
  <c r="H114" i="11" a="1"/>
  <c r="H114" i="11" s="1"/>
  <c r="H115" i="11" a="1"/>
  <c r="H115" i="11" s="1"/>
  <c r="H116" i="11" a="1"/>
  <c r="H116" i="11" s="1"/>
  <c r="H117" i="11" a="1"/>
  <c r="H117" i="11" s="1"/>
  <c r="H118" i="11" a="1"/>
  <c r="H118" i="11" s="1"/>
  <c r="H119" i="11" a="1"/>
  <c r="H119" i="11" s="1"/>
  <c r="H120" i="11" a="1"/>
  <c r="H120" i="11" s="1"/>
  <c r="H121" i="11" a="1"/>
  <c r="H121" i="11" s="1"/>
  <c r="H122" i="11" a="1"/>
  <c r="H122" i="11" s="1"/>
  <c r="H123" i="11" a="1"/>
  <c r="H123" i="11" s="1"/>
  <c r="H124" i="11" a="1"/>
  <c r="H124" i="11" s="1"/>
  <c r="H125" i="11" a="1"/>
  <c r="H125" i="11" s="1"/>
  <c r="H126" i="11" a="1"/>
  <c r="H126" i="11" s="1"/>
  <c r="H127" i="11" a="1"/>
  <c r="H127" i="11" s="1"/>
  <c r="H128" i="11" a="1"/>
  <c r="H128" i="11" s="1"/>
  <c r="H129" i="11" a="1"/>
  <c r="H129" i="11" s="1"/>
  <c r="H130" i="11" a="1"/>
  <c r="H130" i="11" s="1"/>
  <c r="H131" i="11" a="1"/>
  <c r="H131" i="11" s="1"/>
  <c r="H132" i="11" a="1"/>
  <c r="H132" i="11" s="1"/>
  <c r="H133" i="11" a="1"/>
  <c r="H133" i="11" s="1"/>
  <c r="H134" i="11" a="1"/>
  <c r="H134" i="11" s="1"/>
  <c r="H135" i="11" a="1"/>
  <c r="H135" i="11" s="1"/>
  <c r="H136" i="11" a="1"/>
  <c r="H136" i="11" s="1"/>
  <c r="H137" i="11" a="1"/>
  <c r="H137" i="11" s="1"/>
  <c r="H138" i="11" a="1"/>
  <c r="H138" i="11" s="1"/>
  <c r="H139" i="11" a="1"/>
  <c r="H139" i="11" s="1"/>
  <c r="H140" i="11" a="1"/>
  <c r="H140" i="11" s="1"/>
  <c r="H141" i="11" a="1"/>
  <c r="H141" i="11" s="1"/>
  <c r="H142" i="11" a="1"/>
  <c r="H142" i="11" s="1"/>
  <c r="H143" i="11" a="1"/>
  <c r="H143" i="11" s="1"/>
  <c r="H144" i="11" a="1"/>
  <c r="H144" i="11" s="1"/>
  <c r="H145" i="11" a="1"/>
  <c r="H145" i="11" s="1"/>
  <c r="H146" i="11" a="1"/>
  <c r="H146" i="11" s="1"/>
  <c r="H147" i="11" a="1"/>
  <c r="H147" i="11" s="1"/>
  <c r="H148" i="11" a="1"/>
  <c r="H148" i="11" s="1"/>
  <c r="H149" i="11" a="1"/>
  <c r="H149" i="11" s="1"/>
  <c r="H150" i="11" a="1"/>
  <c r="H150" i="11" s="1"/>
  <c r="H151" i="11" a="1"/>
  <c r="H151" i="11" s="1"/>
  <c r="H152" i="11" a="1"/>
  <c r="H152" i="11" s="1"/>
  <c r="H153" i="11" a="1"/>
  <c r="H153" i="11" s="1"/>
  <c r="H154" i="11" a="1"/>
  <c r="H154" i="11" s="1"/>
  <c r="H155" i="11" a="1"/>
  <c r="H155" i="11" s="1"/>
  <c r="H156" i="11" a="1"/>
  <c r="H156" i="11" s="1"/>
  <c r="H157" i="11" a="1"/>
  <c r="H157" i="11" s="1"/>
  <c r="H158" i="11" a="1"/>
  <c r="H158" i="11" s="1"/>
  <c r="H159" i="11" a="1"/>
  <c r="H159" i="11" s="1"/>
  <c r="H160" i="11" a="1"/>
  <c r="H160" i="11" s="1"/>
  <c r="H161" i="11" a="1"/>
  <c r="H161" i="11" s="1"/>
  <c r="H162" i="11" a="1"/>
  <c r="H162" i="11" s="1"/>
  <c r="H163" i="11" a="1"/>
  <c r="H163" i="11" s="1"/>
  <c r="H164" i="11" a="1"/>
  <c r="H164" i="11" s="1"/>
  <c r="H165" i="11" a="1"/>
  <c r="H165" i="11" s="1"/>
  <c r="H166" i="11" a="1"/>
  <c r="H166" i="11" s="1"/>
  <c r="H167" i="11" a="1"/>
  <c r="H167" i="11" s="1"/>
  <c r="H168" i="11" a="1"/>
  <c r="H168" i="11" s="1"/>
  <c r="H169" i="11" a="1"/>
  <c r="H169" i="11" s="1"/>
  <c r="H170" i="11" a="1"/>
  <c r="H170" i="11" s="1"/>
  <c r="H171" i="11" a="1"/>
  <c r="H171" i="11" s="1"/>
  <c r="H172" i="11" a="1"/>
  <c r="H172" i="11" s="1"/>
  <c r="H173" i="11" a="1"/>
  <c r="H173" i="11" s="1"/>
  <c r="H174" i="11" a="1"/>
  <c r="H174" i="11" s="1"/>
  <c r="H175" i="11" a="1"/>
  <c r="H175" i="11" s="1"/>
  <c r="H176" i="11" a="1"/>
  <c r="H176" i="11" s="1"/>
  <c r="H177" i="11" a="1"/>
  <c r="H177" i="11" s="1"/>
  <c r="H178" i="11" a="1"/>
  <c r="H178" i="11" s="1"/>
  <c r="H179" i="11" a="1"/>
  <c r="H179" i="11" s="1"/>
  <c r="H180" i="11" a="1"/>
  <c r="H180" i="11" s="1"/>
  <c r="H181" i="11" a="1"/>
  <c r="H181" i="11" s="1"/>
  <c r="H182" i="11" a="1"/>
  <c r="H182" i="11" s="1"/>
  <c r="H183" i="11" a="1"/>
  <c r="H183" i="11" s="1"/>
  <c r="H184" i="11" a="1"/>
  <c r="H184" i="11" s="1"/>
  <c r="H185" i="11" a="1"/>
  <c r="H185" i="11" s="1"/>
  <c r="H186" i="11" a="1"/>
  <c r="H186" i="11" s="1"/>
  <c r="H187" i="11" a="1"/>
  <c r="H187" i="11" s="1"/>
  <c r="H188" i="11" a="1"/>
  <c r="H188" i="11" s="1"/>
  <c r="H189" i="11" a="1"/>
  <c r="H189" i="11" s="1"/>
  <c r="H190" i="11" a="1"/>
  <c r="H190" i="11" s="1"/>
  <c r="H191" i="11" a="1"/>
  <c r="H191" i="11" s="1"/>
  <c r="H192" i="11" a="1"/>
  <c r="H192" i="11" s="1"/>
  <c r="H193" i="11" a="1"/>
  <c r="H193" i="11" s="1"/>
  <c r="H194" i="11" a="1"/>
  <c r="H194" i="11" s="1"/>
  <c r="H195" i="11" a="1"/>
  <c r="H195" i="11" s="1"/>
  <c r="H196" i="11" a="1"/>
  <c r="H196" i="11" s="1"/>
  <c r="H197" i="11" a="1"/>
  <c r="H197" i="11" s="1"/>
  <c r="H198" i="11" a="1"/>
  <c r="H198" i="11" s="1"/>
  <c r="H199" i="11" a="1"/>
  <c r="H199" i="11" s="1"/>
  <c r="H200" i="11" a="1"/>
  <c r="H200" i="11" s="1"/>
  <c r="H201" i="11" a="1"/>
  <c r="H201" i="11" s="1"/>
  <c r="H202" i="11" a="1"/>
  <c r="H202" i="11" s="1"/>
  <c r="H203" i="11" a="1"/>
  <c r="H203" i="11" s="1"/>
  <c r="H204" i="11" a="1"/>
  <c r="H204" i="11" s="1"/>
  <c r="H205" i="11" a="1"/>
  <c r="H205" i="11" s="1"/>
  <c r="H206" i="11" a="1"/>
  <c r="H206" i="11" s="1"/>
  <c r="H207" i="11" a="1"/>
  <c r="H207" i="11" s="1"/>
  <c r="H208" i="11" a="1"/>
  <c r="H208" i="11" s="1"/>
  <c r="H209" i="11" a="1"/>
  <c r="H209" i="11" s="1"/>
  <c r="H210" i="11" a="1"/>
  <c r="H210" i="11" s="1"/>
  <c r="H211" i="11" a="1"/>
  <c r="H211" i="11" s="1"/>
  <c r="H212" i="11" a="1"/>
  <c r="H212" i="11" s="1"/>
  <c r="H213" i="11" a="1"/>
  <c r="H213" i="11" s="1"/>
  <c r="H214" i="11" a="1"/>
  <c r="H214" i="11" s="1"/>
  <c r="H215" i="11" a="1"/>
  <c r="H215" i="11" s="1"/>
  <c r="H216" i="11" a="1"/>
  <c r="H216" i="11" s="1"/>
  <c r="H217" i="11" a="1"/>
  <c r="H217" i="11" s="1"/>
  <c r="H218" i="11" a="1"/>
  <c r="H218" i="11" s="1"/>
  <c r="H219" i="11" a="1"/>
  <c r="H219" i="11" s="1"/>
  <c r="H220" i="11" a="1"/>
  <c r="H220" i="11" s="1"/>
  <c r="H221" i="11" a="1"/>
  <c r="H221" i="11" s="1"/>
  <c r="H222" i="11" a="1"/>
  <c r="H222" i="11" s="1"/>
  <c r="H223" i="11" a="1"/>
  <c r="H223" i="11" s="1"/>
  <c r="H224" i="11" a="1"/>
  <c r="H224" i="11" s="1"/>
  <c r="H225" i="11" a="1"/>
  <c r="H225" i="11" s="1"/>
  <c r="H226" i="11" a="1"/>
  <c r="H226" i="11" s="1"/>
  <c r="H227" i="11" a="1"/>
  <c r="H227" i="11" s="1"/>
  <c r="H228" i="11" a="1"/>
  <c r="H228" i="11" s="1"/>
  <c r="H229" i="11" a="1"/>
  <c r="H229" i="11" s="1"/>
  <c r="H230" i="11" a="1"/>
  <c r="H230" i="11" s="1"/>
  <c r="H231" i="11" a="1"/>
  <c r="H231" i="11" s="1"/>
  <c r="H232" i="11" a="1"/>
  <c r="H232" i="11" s="1"/>
  <c r="H233" i="11" a="1"/>
  <c r="H233" i="11" s="1"/>
  <c r="H234" i="11" a="1"/>
  <c r="H234" i="11" s="1"/>
  <c r="H235" i="11" a="1"/>
  <c r="H235" i="11" s="1"/>
  <c r="H236" i="11" a="1"/>
  <c r="H236" i="11" s="1"/>
  <c r="H237" i="11" a="1"/>
  <c r="H237" i="11" s="1"/>
  <c r="H238" i="11" a="1"/>
  <c r="H238" i="11" s="1"/>
  <c r="H239" i="11" a="1"/>
  <c r="H239" i="11" s="1"/>
  <c r="H240" i="11" a="1"/>
  <c r="H240" i="11" s="1"/>
  <c r="H241" i="11" a="1"/>
  <c r="H241" i="11" s="1"/>
  <c r="H242" i="11" a="1"/>
  <c r="H242" i="11" s="1"/>
  <c r="H243" i="11" a="1"/>
  <c r="H243" i="11" s="1"/>
  <c r="H244" i="11" a="1"/>
  <c r="H244" i="11" s="1"/>
  <c r="H245" i="11" a="1"/>
  <c r="H245" i="11" s="1"/>
  <c r="H246" i="11" a="1"/>
  <c r="H246" i="11" s="1"/>
  <c r="H247" i="11" a="1"/>
  <c r="H247" i="11" s="1"/>
  <c r="H248" i="11" a="1"/>
  <c r="H248" i="11" s="1"/>
  <c r="H249" i="11" a="1"/>
  <c r="H249" i="11" s="1"/>
  <c r="H250" i="11" a="1"/>
  <c r="H250" i="11" s="1"/>
  <c r="H251" i="11" a="1"/>
  <c r="H251" i="11" s="1"/>
  <c r="H252" i="11" a="1"/>
  <c r="H252" i="11" s="1"/>
  <c r="H253" i="11" a="1"/>
  <c r="H253" i="11" s="1"/>
  <c r="H254" i="11" a="1"/>
  <c r="H254" i="11" s="1"/>
  <c r="H255" i="11" a="1"/>
  <c r="H255" i="11" s="1"/>
  <c r="H256" i="11" a="1"/>
  <c r="H256" i="11" s="1"/>
  <c r="H257" i="11" a="1"/>
  <c r="H257" i="11" s="1"/>
  <c r="H258" i="11" a="1"/>
  <c r="H258" i="11" s="1"/>
  <c r="H259" i="11" a="1"/>
  <c r="H259" i="11"/>
  <c r="H260" i="11" a="1"/>
  <c r="H260" i="11" s="1"/>
  <c r="H261" i="11" a="1"/>
  <c r="H261" i="11" s="1"/>
  <c r="H262" i="11" a="1"/>
  <c r="H262" i="11" s="1"/>
  <c r="H263" i="11" a="1"/>
  <c r="H263" i="11" s="1"/>
  <c r="H264" i="11" a="1"/>
  <c r="H264" i="11" s="1"/>
  <c r="H265" i="11" a="1"/>
  <c r="H265" i="11" s="1"/>
  <c r="H266" i="11" a="1"/>
  <c r="H266" i="11" s="1"/>
  <c r="H267" i="11" a="1"/>
  <c r="H267" i="11" s="1"/>
  <c r="H268" i="11" a="1"/>
  <c r="H268" i="11" s="1"/>
  <c r="H269" i="11" a="1"/>
  <c r="H269" i="11" s="1"/>
  <c r="H270" i="11" a="1"/>
  <c r="H270" i="11" s="1"/>
  <c r="H271" i="11" a="1"/>
  <c r="H271" i="11" s="1"/>
  <c r="H272" i="11" a="1"/>
  <c r="H272" i="11" s="1"/>
  <c r="H273" i="11" a="1"/>
  <c r="H273" i="11" s="1"/>
  <c r="H274" i="11" a="1"/>
  <c r="H274" i="11" s="1"/>
  <c r="H275" i="11" a="1"/>
  <c r="H275" i="11" s="1"/>
  <c r="H276" i="11" a="1"/>
  <c r="H276" i="11" s="1"/>
  <c r="H277" i="11" a="1"/>
  <c r="H277" i="11" s="1"/>
  <c r="H278" i="11" a="1"/>
  <c r="H278" i="11" s="1"/>
  <c r="H279" i="11" a="1"/>
  <c r="H279" i="11" s="1"/>
  <c r="H280" i="11" a="1"/>
  <c r="H280" i="11" s="1"/>
  <c r="H281" i="11" a="1"/>
  <c r="H281" i="11" s="1"/>
  <c r="H282" i="11" a="1"/>
  <c r="H282" i="11" s="1"/>
  <c r="H283" i="11" a="1"/>
  <c r="H283" i="11" s="1"/>
  <c r="H284" i="11" a="1"/>
  <c r="H284" i="11" s="1"/>
  <c r="H285" i="11" a="1"/>
  <c r="H285" i="11" s="1"/>
  <c r="H286" i="11" a="1"/>
  <c r="H286" i="11" s="1"/>
  <c r="H287" i="11" a="1"/>
  <c r="H287" i="11" s="1"/>
  <c r="H288" i="11" a="1"/>
  <c r="H288" i="11" s="1"/>
  <c r="H289" i="11" a="1"/>
  <c r="H289" i="11" s="1"/>
  <c r="H290" i="11" a="1"/>
  <c r="H290" i="11" s="1"/>
  <c r="H291" i="11" a="1"/>
  <c r="H291" i="11" s="1"/>
  <c r="H292" i="11" a="1"/>
  <c r="H292" i="11" s="1"/>
  <c r="H293" i="11" a="1"/>
  <c r="H293" i="11" s="1"/>
  <c r="H294" i="11" a="1"/>
  <c r="H294" i="11" s="1"/>
  <c r="H295" i="11" a="1"/>
  <c r="H295" i="11" s="1"/>
  <c r="H296" i="11" a="1"/>
  <c r="H296" i="11" s="1"/>
  <c r="H297" i="11" a="1"/>
  <c r="H297" i="11" s="1"/>
  <c r="H298" i="11" a="1"/>
  <c r="H298" i="11" s="1"/>
  <c r="H299" i="11" a="1"/>
  <c r="H299" i="11" s="1"/>
  <c r="H300" i="11" a="1"/>
  <c r="H300" i="11" s="1"/>
  <c r="H301" i="11" a="1"/>
  <c r="H301" i="11" s="1"/>
  <c r="H302" i="11" a="1"/>
  <c r="H302" i="11" s="1"/>
  <c r="H303" i="11" a="1"/>
  <c r="H303" i="11" s="1"/>
  <c r="H304" i="11" a="1"/>
  <c r="H304" i="11" s="1"/>
  <c r="H305" i="11" a="1"/>
  <c r="H305" i="11" s="1"/>
  <c r="H306" i="11" a="1"/>
  <c r="H306" i="11" s="1"/>
  <c r="H307" i="11" a="1"/>
  <c r="H307" i="11" s="1"/>
  <c r="H308" i="11" a="1"/>
  <c r="H308" i="11" s="1"/>
  <c r="H309" i="11" a="1"/>
  <c r="H309" i="11" s="1"/>
  <c r="H310" i="11" a="1"/>
  <c r="H310" i="11" s="1"/>
  <c r="H311" i="11" a="1"/>
  <c r="H311" i="11" s="1"/>
  <c r="H312" i="11" a="1"/>
  <c r="H312" i="11" s="1"/>
  <c r="H313" i="11" a="1"/>
  <c r="H313" i="11" s="1"/>
  <c r="H314" i="11" a="1"/>
  <c r="H314" i="11" s="1"/>
  <c r="H315" i="11" a="1"/>
  <c r="H315" i="11" s="1"/>
  <c r="H316" i="11" a="1"/>
  <c r="H316" i="11" s="1"/>
  <c r="H317" i="11" a="1"/>
  <c r="H317" i="11" s="1"/>
  <c r="H318" i="11" a="1"/>
  <c r="H318" i="11" s="1"/>
  <c r="H319" i="11" a="1"/>
  <c r="H319" i="11" s="1"/>
  <c r="H320" i="11" a="1"/>
  <c r="H320" i="11" s="1"/>
  <c r="H321" i="11" a="1"/>
  <c r="H321" i="11" s="1"/>
  <c r="H322" i="11" a="1"/>
  <c r="H322" i="11" s="1"/>
  <c r="H323" i="11" a="1"/>
  <c r="H323" i="11" s="1"/>
  <c r="H324" i="11" a="1"/>
  <c r="H324" i="11" s="1"/>
  <c r="H325" i="11" a="1"/>
  <c r="H325" i="11" s="1"/>
  <c r="H326" i="11" a="1"/>
  <c r="H326" i="11" s="1"/>
  <c r="H327" i="11" a="1"/>
  <c r="H327" i="11" s="1"/>
  <c r="H328" i="11" a="1"/>
  <c r="H328" i="11" s="1"/>
  <c r="H329" i="11" a="1"/>
  <c r="H329" i="11" s="1"/>
  <c r="H330" i="11" a="1"/>
  <c r="H330" i="11" s="1"/>
  <c r="H331" i="11" a="1"/>
  <c r="H331" i="11" s="1"/>
  <c r="H332" i="11" a="1"/>
  <c r="H332" i="11" s="1"/>
  <c r="H333" i="11" a="1"/>
  <c r="H333" i="11" s="1"/>
  <c r="H334" i="11" a="1"/>
  <c r="H334" i="11" s="1"/>
  <c r="H335" i="11" a="1"/>
  <c r="H335" i="11" s="1"/>
  <c r="H336" i="11" a="1"/>
  <c r="H336" i="11" s="1"/>
  <c r="H337" i="11" a="1"/>
  <c r="H337" i="11" s="1"/>
  <c r="H338" i="11" a="1"/>
  <c r="H338" i="11" s="1"/>
  <c r="H339" i="11" a="1"/>
  <c r="H339" i="11" s="1"/>
  <c r="H340" i="11" a="1"/>
  <c r="H340" i="11" s="1"/>
  <c r="H341" i="11" a="1"/>
  <c r="H341" i="11" s="1"/>
  <c r="H342" i="11" a="1"/>
  <c r="H342" i="11" s="1"/>
  <c r="H343" i="11" a="1"/>
  <c r="H343" i="11" s="1"/>
  <c r="H344" i="11" a="1"/>
  <c r="H344" i="11" s="1"/>
  <c r="H345" i="11" a="1"/>
  <c r="H345" i="11" s="1"/>
  <c r="H346" i="11" a="1"/>
  <c r="H346" i="11" s="1"/>
  <c r="H347" i="11" a="1"/>
  <c r="H347" i="11" s="1"/>
  <c r="H348" i="11" a="1"/>
  <c r="H348" i="11" s="1"/>
  <c r="H349" i="11" a="1"/>
  <c r="H349" i="11" s="1"/>
  <c r="H350" i="11" a="1"/>
  <c r="H350" i="11" s="1"/>
  <c r="H351" i="11" a="1"/>
  <c r="H351" i="11" s="1"/>
  <c r="H352" i="11" a="1"/>
  <c r="H352" i="11" s="1"/>
  <c r="H353" i="11" a="1"/>
  <c r="H353" i="11" s="1"/>
  <c r="H354" i="11" a="1"/>
  <c r="H354" i="11" s="1"/>
  <c r="H355" i="11" a="1"/>
  <c r="H355" i="11" s="1"/>
  <c r="H356" i="11" a="1"/>
  <c r="H356" i="11" s="1"/>
  <c r="H357" i="11" a="1"/>
  <c r="H357" i="11" s="1"/>
  <c r="H358" i="11" a="1"/>
  <c r="H358" i="11" s="1"/>
  <c r="H359" i="11" a="1"/>
  <c r="H359" i="11" s="1"/>
  <c r="H360" i="11" a="1"/>
  <c r="H360" i="11" s="1"/>
  <c r="H361" i="11" a="1"/>
  <c r="H361" i="11" s="1"/>
  <c r="H362" i="11" a="1"/>
  <c r="H362" i="11" s="1"/>
  <c r="H363" i="11" a="1"/>
  <c r="H363" i="11" s="1"/>
  <c r="H364" i="11" a="1"/>
  <c r="H364" i="11" s="1"/>
  <c r="H365" i="11" a="1"/>
  <c r="H365" i="11" s="1"/>
  <c r="H366" i="11" a="1"/>
  <c r="H366" i="11" s="1"/>
  <c r="H367" i="11" a="1"/>
  <c r="H367" i="11" s="1"/>
  <c r="H368" i="11" a="1"/>
  <c r="H368" i="11" s="1"/>
  <c r="H369" i="11" a="1"/>
  <c r="H369" i="11" s="1"/>
  <c r="H370" i="11" a="1"/>
  <c r="H370" i="11" s="1"/>
  <c r="H371" i="11" a="1"/>
  <c r="H371" i="11" s="1"/>
  <c r="H372" i="11" a="1"/>
  <c r="H372" i="11" s="1"/>
  <c r="H373" i="11" a="1"/>
  <c r="H373" i="11" s="1"/>
  <c r="H374" i="11" a="1"/>
  <c r="H374" i="11" s="1"/>
  <c r="H375" i="11" a="1"/>
  <c r="H375" i="11" s="1"/>
  <c r="H376" i="11" a="1"/>
  <c r="H376" i="11" s="1"/>
  <c r="H377" i="11" a="1"/>
  <c r="H377" i="11" s="1"/>
  <c r="H378" i="11" a="1"/>
  <c r="H378" i="11" s="1"/>
  <c r="H379" i="11" a="1"/>
  <c r="H379" i="11" s="1"/>
  <c r="H380" i="11" a="1"/>
  <c r="H380" i="11" s="1"/>
  <c r="H381" i="11" a="1"/>
  <c r="H381" i="11" s="1"/>
  <c r="H382" i="11" a="1"/>
  <c r="H382" i="11" s="1"/>
  <c r="H383" i="11" a="1"/>
  <c r="H383" i="11" s="1"/>
  <c r="H384" i="11" a="1"/>
  <c r="H384" i="11" s="1"/>
  <c r="H385" i="11" a="1"/>
  <c r="H385" i="11" s="1"/>
  <c r="H386" i="11" a="1"/>
  <c r="H386" i="11" s="1"/>
  <c r="H387" i="11" a="1"/>
  <c r="H387" i="11" s="1"/>
  <c r="H388" i="11" a="1"/>
  <c r="H388" i="11" s="1"/>
  <c r="H389" i="11" a="1"/>
  <c r="H389" i="11" s="1"/>
  <c r="H390" i="11" a="1"/>
  <c r="H390" i="11" s="1"/>
  <c r="H391" i="11" a="1"/>
  <c r="H391" i="11" s="1"/>
  <c r="H392" i="11" a="1"/>
  <c r="H392" i="11" s="1"/>
  <c r="H393" i="11" a="1"/>
  <c r="H393" i="11" s="1"/>
  <c r="H394" i="11" a="1"/>
  <c r="H394" i="11" s="1"/>
  <c r="H395" i="11" a="1"/>
  <c r="H395" i="11" s="1"/>
  <c r="H396" i="11" a="1"/>
  <c r="H396" i="11" s="1"/>
  <c r="H397" i="11" a="1"/>
  <c r="H397" i="11" s="1"/>
  <c r="H398" i="11" a="1"/>
  <c r="H398" i="11" s="1"/>
  <c r="H399" i="11" a="1"/>
  <c r="H399" i="11" s="1"/>
  <c r="H400" i="11" a="1"/>
  <c r="H400" i="11" s="1"/>
  <c r="H401" i="11" a="1"/>
  <c r="H401" i="11" s="1"/>
  <c r="H402" i="11" a="1"/>
  <c r="H402" i="11" s="1"/>
  <c r="H403" i="11" a="1"/>
  <c r="H403" i="11" s="1"/>
  <c r="H404" i="11" a="1"/>
  <c r="H404" i="11" s="1"/>
  <c r="H405" i="11" a="1"/>
  <c r="H405" i="11" s="1"/>
  <c r="H406" i="11" a="1"/>
  <c r="H406" i="11" s="1"/>
  <c r="H407" i="11" a="1"/>
  <c r="H407" i="11" s="1"/>
  <c r="H408" i="11" a="1"/>
  <c r="H408" i="11" s="1"/>
  <c r="H409" i="11" a="1"/>
  <c r="H409" i="11" s="1"/>
  <c r="H410" i="11" a="1"/>
  <c r="H410" i="11" s="1"/>
  <c r="H411" i="11" a="1"/>
  <c r="H411" i="11" s="1"/>
  <c r="H412" i="11" a="1"/>
  <c r="H412" i="11" s="1"/>
  <c r="H413" i="11" a="1"/>
  <c r="H413" i="11" s="1"/>
  <c r="H414" i="11" a="1"/>
  <c r="H414" i="11" s="1"/>
  <c r="H415" i="11" a="1"/>
  <c r="H415" i="11" s="1"/>
  <c r="H416" i="11" a="1"/>
  <c r="H416" i="11" s="1"/>
  <c r="H417" i="11" a="1"/>
  <c r="H417" i="11" s="1"/>
  <c r="H418" i="11" a="1"/>
  <c r="H418" i="11" s="1"/>
  <c r="H419" i="11" a="1"/>
  <c r="H419" i="11" s="1"/>
  <c r="H420" i="11" a="1"/>
  <c r="H420" i="11" s="1"/>
  <c r="H421" i="11" a="1"/>
  <c r="H421" i="11" s="1"/>
  <c r="H422" i="11" a="1"/>
  <c r="H422" i="11" s="1"/>
  <c r="H423" i="11" a="1"/>
  <c r="H423" i="11" s="1"/>
  <c r="H424" i="11" a="1"/>
  <c r="H424" i="11" s="1"/>
  <c r="H425" i="11" a="1"/>
  <c r="H425" i="11" s="1"/>
  <c r="H426" i="11" a="1"/>
  <c r="H426" i="11" s="1"/>
  <c r="H427" i="11" a="1"/>
  <c r="H427" i="11" s="1"/>
  <c r="H428" i="11" a="1"/>
  <c r="H428" i="11" s="1"/>
  <c r="H429" i="11" a="1"/>
  <c r="H429" i="11" s="1"/>
  <c r="H430" i="11" a="1"/>
  <c r="H430" i="11" s="1"/>
  <c r="H431" i="11" a="1"/>
  <c r="H431" i="11" s="1"/>
  <c r="H432" i="11" a="1"/>
  <c r="H432" i="11" s="1"/>
  <c r="H433" i="11" a="1"/>
  <c r="H433" i="11" s="1"/>
  <c r="H434" i="11" a="1"/>
  <c r="H434" i="11" s="1"/>
  <c r="H435" i="11" a="1"/>
  <c r="H435" i="11" s="1"/>
  <c r="H436" i="11" a="1"/>
  <c r="H436" i="11" s="1"/>
  <c r="H437" i="11" a="1"/>
  <c r="H437" i="11" s="1"/>
  <c r="H438" i="11" a="1"/>
  <c r="H438" i="11" s="1"/>
  <c r="H439" i="11" a="1"/>
  <c r="H439" i="11" s="1"/>
  <c r="H440" i="11" a="1"/>
  <c r="H440" i="11" s="1"/>
  <c r="H441" i="11" a="1"/>
  <c r="H441" i="11" s="1"/>
  <c r="H442" i="11" a="1"/>
  <c r="H442" i="11" s="1"/>
  <c r="H443" i="11" a="1"/>
  <c r="H443" i="11" s="1"/>
  <c r="H444" i="11" a="1"/>
  <c r="H444" i="11" s="1"/>
  <c r="H445" i="11" a="1"/>
  <c r="H445" i="11" s="1"/>
  <c r="H446" i="11" a="1"/>
  <c r="H446" i="11" s="1"/>
  <c r="H447" i="11" a="1"/>
  <c r="H447" i="11" s="1"/>
  <c r="H448" i="11" a="1"/>
  <c r="H448" i="11" s="1"/>
  <c r="H449" i="11" a="1"/>
  <c r="H449" i="11" s="1"/>
  <c r="H450" i="11" a="1"/>
  <c r="H450" i="11" s="1"/>
  <c r="H451" i="11" a="1"/>
  <c r="H451" i="11" s="1"/>
  <c r="H452" i="11" a="1"/>
  <c r="H452" i="11" s="1"/>
  <c r="H453" i="11" a="1"/>
  <c r="H453" i="11" s="1"/>
  <c r="H454" i="11" a="1"/>
  <c r="H454" i="11" s="1"/>
  <c r="H455" i="11" a="1"/>
  <c r="H455" i="11" s="1"/>
  <c r="H456" i="11" a="1"/>
  <c r="H456" i="11" s="1"/>
  <c r="H457" i="11" a="1"/>
  <c r="H457" i="11" s="1"/>
  <c r="H458" i="11" a="1"/>
  <c r="H458" i="11" s="1"/>
  <c r="H459" i="11" a="1"/>
  <c r="H459" i="11" s="1"/>
  <c r="H460" i="11" a="1"/>
  <c r="H460" i="11" s="1"/>
  <c r="H461" i="11" a="1"/>
  <c r="H461" i="11" s="1"/>
  <c r="H462" i="11" a="1"/>
  <c r="H462" i="11" s="1"/>
  <c r="H463" i="11" a="1"/>
  <c r="H463" i="11" s="1"/>
  <c r="H464" i="11" a="1"/>
  <c r="H464" i="11" s="1"/>
  <c r="H465" i="11" a="1"/>
  <c r="H465" i="11" s="1"/>
  <c r="H466" i="11" a="1"/>
  <c r="H466" i="11" s="1"/>
  <c r="H467" i="11" a="1"/>
  <c r="H467" i="11" s="1"/>
  <c r="H468" i="11" a="1"/>
  <c r="H468" i="11" s="1"/>
  <c r="H469" i="11" a="1"/>
  <c r="H469" i="11" s="1"/>
  <c r="H470" i="11" a="1"/>
  <c r="H470" i="11" s="1"/>
  <c r="H471" i="11" a="1"/>
  <c r="H471" i="11" s="1"/>
  <c r="H472" i="11" a="1"/>
  <c r="H472" i="11" s="1"/>
  <c r="H473" i="11" a="1"/>
  <c r="H473" i="11" s="1"/>
  <c r="H474" i="11" a="1"/>
  <c r="H474" i="11" s="1"/>
  <c r="H475" i="11" a="1"/>
  <c r="H475" i="11" s="1"/>
  <c r="H476" i="11" a="1"/>
  <c r="H476" i="11" s="1"/>
  <c r="H477" i="11" a="1"/>
  <c r="H477" i="11" s="1"/>
  <c r="H478" i="11" a="1"/>
  <c r="H478" i="11" s="1"/>
  <c r="H479" i="11" a="1"/>
  <c r="H479" i="11" s="1"/>
  <c r="H480" i="11" a="1"/>
  <c r="H480" i="11" s="1"/>
  <c r="H481" i="11" a="1"/>
  <c r="H481" i="11" s="1"/>
  <c r="H482" i="11" a="1"/>
  <c r="H482" i="11" s="1"/>
  <c r="H483" i="11" a="1"/>
  <c r="H483" i="11" s="1"/>
  <c r="H484" i="11" a="1"/>
  <c r="H484" i="11" s="1"/>
  <c r="H485" i="11" a="1"/>
  <c r="H485" i="11" s="1"/>
  <c r="H486" i="11" a="1"/>
  <c r="H486" i="11" s="1"/>
  <c r="H487" i="11" a="1"/>
  <c r="H487" i="11" s="1"/>
  <c r="H488" i="11" a="1"/>
  <c r="H488" i="11" s="1"/>
  <c r="H489" i="11" a="1"/>
  <c r="H489" i="11" s="1"/>
  <c r="H490" i="11" a="1"/>
  <c r="H490" i="11" s="1"/>
  <c r="H491" i="11" a="1"/>
  <c r="H491" i="11" s="1"/>
  <c r="H492" i="11" a="1"/>
  <c r="H492" i="11" s="1"/>
  <c r="H493" i="11" a="1"/>
  <c r="H493" i="11" s="1"/>
  <c r="H494" i="11" a="1"/>
  <c r="H494" i="11" s="1"/>
  <c r="H495" i="11" a="1"/>
  <c r="H495" i="11" s="1"/>
  <c r="H496" i="11" a="1"/>
  <c r="H496" i="11" s="1"/>
  <c r="H497" i="11" a="1"/>
  <c r="H497" i="11" s="1"/>
  <c r="H498" i="11" a="1"/>
  <c r="H498" i="11" s="1"/>
  <c r="H499" i="11" a="1"/>
  <c r="H499" i="11" s="1"/>
  <c r="H500" i="11" a="1"/>
  <c r="H500" i="11" s="1"/>
  <c r="H501" i="11" a="1"/>
  <c r="H501" i="11" s="1"/>
  <c r="H502" i="11" a="1"/>
  <c r="H502" i="11" s="1"/>
  <c r="H503" i="11" a="1"/>
  <c r="H503" i="11" s="1"/>
  <c r="H504" i="11" a="1"/>
  <c r="H504" i="11" s="1"/>
  <c r="H505" i="11" a="1"/>
  <c r="H505" i="11" s="1"/>
  <c r="H506" i="11" a="1"/>
  <c r="H506" i="11" s="1"/>
  <c r="H507" i="11" a="1"/>
  <c r="H507" i="11" s="1"/>
  <c r="H508" i="11" a="1"/>
  <c r="H508" i="11" s="1"/>
  <c r="H509" i="11" a="1"/>
  <c r="H509" i="11" s="1"/>
  <c r="H510" i="11" a="1"/>
  <c r="H510" i="11" s="1"/>
  <c r="H511" i="11" a="1"/>
  <c r="H511" i="11"/>
  <c r="H512" i="11" a="1"/>
  <c r="H512" i="11" s="1"/>
  <c r="H513" i="11" a="1"/>
  <c r="H513" i="11" s="1"/>
  <c r="H514" i="11" a="1"/>
  <c r="H514" i="11" s="1"/>
  <c r="H515" i="11" a="1"/>
  <c r="H515" i="11" s="1"/>
  <c r="H516" i="11" a="1"/>
  <c r="H516" i="11" s="1"/>
  <c r="H517" i="11" a="1"/>
  <c r="H517" i="11" s="1"/>
  <c r="H518" i="11" a="1"/>
  <c r="H518" i="11" s="1"/>
  <c r="H519" i="11" a="1"/>
  <c r="H519" i="11" s="1"/>
  <c r="H520" i="11" a="1"/>
  <c r="H520" i="11" s="1"/>
  <c r="H521" i="11" a="1"/>
  <c r="H521" i="11" s="1"/>
  <c r="H522" i="11" a="1"/>
  <c r="H522" i="11"/>
  <c r="H523" i="11" a="1"/>
  <c r="H523" i="11" s="1"/>
  <c r="H524" i="11" a="1"/>
  <c r="H524" i="11" s="1"/>
  <c r="H525" i="11" a="1"/>
  <c r="H525" i="11" s="1"/>
  <c r="H526" i="11" a="1"/>
  <c r="H526" i="11" s="1"/>
  <c r="H527" i="11" a="1"/>
  <c r="H527" i="11" s="1"/>
  <c r="H528" i="11" a="1"/>
  <c r="H528" i="11" s="1"/>
  <c r="H529" i="11" a="1"/>
  <c r="H529" i="11" s="1"/>
  <c r="H530" i="11" a="1"/>
  <c r="H530" i="11" s="1"/>
  <c r="H531" i="11" a="1"/>
  <c r="H531" i="11" s="1"/>
  <c r="H532" i="11" a="1"/>
  <c r="H532" i="11" s="1"/>
  <c r="H533" i="11" a="1"/>
  <c r="H533" i="11"/>
  <c r="H534" i="11" a="1"/>
  <c r="H534" i="11" s="1"/>
  <c r="H535" i="11" a="1"/>
  <c r="H535" i="11" s="1"/>
  <c r="H536" i="11" a="1"/>
  <c r="H536" i="11" s="1"/>
  <c r="H537" i="11" a="1"/>
  <c r="H537" i="11" s="1"/>
  <c r="H538" i="11" a="1"/>
  <c r="H538" i="11" s="1"/>
  <c r="H539" i="11" a="1"/>
  <c r="H539" i="11" s="1"/>
  <c r="H540" i="11" a="1"/>
  <c r="H540" i="11" s="1"/>
  <c r="H541" i="11" a="1"/>
  <c r="H541" i="11" s="1"/>
  <c r="H542" i="11" a="1"/>
  <c r="H542" i="11" s="1"/>
  <c r="H543" i="11" a="1"/>
  <c r="H543" i="11" s="1"/>
  <c r="H544" i="11" a="1"/>
  <c r="H544" i="11"/>
  <c r="H545" i="11" a="1"/>
  <c r="H545" i="11" s="1"/>
  <c r="H546" i="11" a="1"/>
  <c r="H546" i="11" s="1"/>
  <c r="H547" i="11" a="1"/>
  <c r="H547" i="11" s="1"/>
  <c r="H548" i="11" a="1"/>
  <c r="H548" i="11" s="1"/>
  <c r="H549" i="11" a="1"/>
  <c r="H549" i="11" s="1"/>
  <c r="H550" i="11" a="1"/>
  <c r="H550" i="11" s="1"/>
  <c r="H551" i="11" a="1"/>
  <c r="H551" i="11" s="1"/>
  <c r="H552" i="11" a="1"/>
  <c r="H552" i="11" s="1"/>
  <c r="H553" i="11" a="1"/>
  <c r="H553" i="11" s="1"/>
  <c r="H554" i="11" a="1"/>
  <c r="H554" i="11" s="1"/>
  <c r="H555" i="11" a="1"/>
  <c r="H555" i="11" s="1"/>
  <c r="H556" i="11" a="1"/>
  <c r="H556" i="11" s="1"/>
  <c r="H557" i="11" a="1"/>
  <c r="H557" i="11" s="1"/>
  <c r="H558" i="11" a="1"/>
  <c r="H558" i="11" s="1"/>
  <c r="H559" i="11" a="1"/>
  <c r="H559" i="11" s="1"/>
  <c r="H560" i="11" a="1"/>
  <c r="H560" i="11" s="1"/>
  <c r="H561" i="11" a="1"/>
  <c r="H561" i="11" s="1"/>
  <c r="H562" i="11" a="1"/>
  <c r="H562" i="11"/>
  <c r="H563" i="11" a="1"/>
  <c r="H563" i="11" s="1"/>
  <c r="H564" i="11" a="1"/>
  <c r="H564" i="11" s="1"/>
  <c r="H565" i="11" a="1"/>
  <c r="H565" i="11" s="1"/>
  <c r="H566" i="11" a="1"/>
  <c r="H566" i="11" s="1"/>
  <c r="H567" i="11" a="1"/>
  <c r="H567" i="11" s="1"/>
  <c r="H568" i="11" a="1"/>
  <c r="H568" i="11" s="1"/>
  <c r="H569" i="11" a="1"/>
  <c r="H569" i="11" s="1"/>
  <c r="H570" i="11" a="1"/>
  <c r="H570" i="11" s="1"/>
  <c r="H571" i="11" a="1"/>
  <c r="H571" i="11" s="1"/>
  <c r="H572" i="11" a="1"/>
  <c r="H572" i="11" s="1"/>
  <c r="H573" i="11" a="1"/>
  <c r="H573" i="11" s="1"/>
  <c r="H574" i="11" a="1"/>
  <c r="H574" i="11" s="1"/>
  <c r="H575" i="11" a="1"/>
  <c r="H575" i="11" s="1"/>
  <c r="H576" i="11" a="1"/>
  <c r="H576" i="11" s="1"/>
  <c r="H577" i="11" a="1"/>
  <c r="H577" i="11" s="1"/>
  <c r="H578" i="11" a="1"/>
  <c r="H578" i="11" s="1"/>
  <c r="H579" i="11" a="1"/>
  <c r="H579" i="11" s="1"/>
  <c r="H580" i="11" a="1"/>
  <c r="H580" i="11" s="1"/>
  <c r="H581" i="11" a="1"/>
  <c r="H581" i="11" s="1"/>
  <c r="H582" i="11" a="1"/>
  <c r="H582" i="11" s="1"/>
  <c r="H583" i="11" a="1"/>
  <c r="H583" i="11" s="1"/>
  <c r="H584" i="11" a="1"/>
  <c r="H584" i="11"/>
  <c r="H585" i="11" a="1"/>
  <c r="H585" i="11" s="1"/>
  <c r="H586" i="11" a="1"/>
  <c r="H586" i="11" s="1"/>
  <c r="H587" i="11" a="1"/>
  <c r="H587" i="11" s="1"/>
  <c r="H588" i="11" a="1"/>
  <c r="H588" i="11" s="1"/>
  <c r="H589" i="11" a="1"/>
  <c r="H589" i="11" s="1"/>
  <c r="H590" i="11" a="1"/>
  <c r="H590" i="11" s="1"/>
  <c r="H591" i="11" a="1"/>
  <c r="H591" i="11" s="1"/>
  <c r="H592" i="11" a="1"/>
  <c r="H592" i="11" s="1"/>
  <c r="H593" i="11" a="1"/>
  <c r="H593" i="11" s="1"/>
  <c r="H594" i="11" a="1"/>
  <c r="H594" i="11" s="1"/>
  <c r="H595" i="11" a="1"/>
  <c r="H595" i="11" s="1"/>
  <c r="H596" i="11" a="1"/>
  <c r="H596" i="11" s="1"/>
  <c r="H597" i="11" a="1"/>
  <c r="H597" i="11" s="1"/>
  <c r="H598" i="11" a="1"/>
  <c r="H598" i="11" s="1"/>
  <c r="H599" i="11" a="1"/>
  <c r="H599" i="11" s="1"/>
  <c r="H600" i="11" a="1"/>
  <c r="H600" i="11" s="1"/>
  <c r="H601" i="11" a="1"/>
  <c r="H601" i="11" s="1"/>
  <c r="H602" i="11" a="1"/>
  <c r="H602" i="11" s="1"/>
  <c r="H603" i="11" a="1"/>
  <c r="H603" i="11" s="1"/>
  <c r="H604" i="11" a="1"/>
  <c r="H604" i="11" s="1"/>
  <c r="H605" i="11" a="1"/>
  <c r="H605" i="11" s="1"/>
  <c r="H606" i="11" a="1"/>
  <c r="H606" i="11" s="1"/>
  <c r="H607" i="11" a="1"/>
  <c r="H607" i="11" s="1"/>
  <c r="H608" i="11" a="1"/>
  <c r="H608" i="11" s="1"/>
  <c r="H609" i="11" a="1"/>
  <c r="H609" i="11" s="1"/>
  <c r="H610" i="11" a="1"/>
  <c r="H610" i="11" s="1"/>
  <c r="H611" i="11" a="1"/>
  <c r="H611" i="11" s="1"/>
  <c r="H612" i="11" a="1"/>
  <c r="H612" i="11" s="1"/>
  <c r="H613" i="11" a="1"/>
  <c r="H613" i="11" s="1"/>
  <c r="H614" i="11" a="1"/>
  <c r="H614" i="11" s="1"/>
  <c r="H615" i="11" a="1"/>
  <c r="H615" i="11" s="1"/>
  <c r="H616" i="11" a="1"/>
  <c r="H616" i="11" s="1"/>
  <c r="H617" i="11" a="1"/>
  <c r="H617" i="11" s="1"/>
  <c r="H618" i="11" a="1"/>
  <c r="H618" i="11" s="1"/>
  <c r="H619" i="11" a="1"/>
  <c r="H619" i="11" s="1"/>
  <c r="H620" i="11" a="1"/>
  <c r="H620" i="11" s="1"/>
  <c r="H621" i="11" a="1"/>
  <c r="H621" i="11" s="1"/>
  <c r="H622" i="11" a="1"/>
  <c r="H622" i="11" s="1"/>
  <c r="H623" i="11" a="1"/>
  <c r="H623" i="11" s="1"/>
  <c r="H624" i="11" a="1"/>
  <c r="H624" i="11" s="1"/>
  <c r="H625" i="11" a="1"/>
  <c r="H625" i="11" s="1"/>
  <c r="H626" i="11" a="1"/>
  <c r="H626" i="11" s="1"/>
  <c r="H627" i="11" a="1"/>
  <c r="H627" i="11" s="1"/>
  <c r="H628" i="11" a="1"/>
  <c r="H628" i="11" s="1"/>
  <c r="H629" i="11" a="1"/>
  <c r="H629" i="11" s="1"/>
  <c r="H630" i="11" a="1"/>
  <c r="H630" i="11" s="1"/>
  <c r="H631" i="11" a="1"/>
  <c r="H631" i="11" s="1"/>
  <c r="H632" i="11" a="1"/>
  <c r="H632" i="11" s="1"/>
  <c r="H633" i="11" a="1"/>
  <c r="H633" i="11" s="1"/>
  <c r="H634" i="11" a="1"/>
  <c r="H634" i="11" s="1"/>
  <c r="H635" i="11" a="1"/>
  <c r="H635" i="11" s="1"/>
  <c r="H636" i="11" a="1"/>
  <c r="H636" i="11" s="1"/>
  <c r="H637" i="11" a="1"/>
  <c r="H637" i="11" s="1"/>
  <c r="H638" i="11" a="1"/>
  <c r="H638" i="11" s="1"/>
  <c r="H639" i="11" a="1"/>
  <c r="H639" i="11" s="1"/>
  <c r="H640" i="11" a="1"/>
  <c r="H640" i="11" s="1"/>
  <c r="H641" i="11" a="1"/>
  <c r="H641" i="11" s="1"/>
  <c r="H642" i="11" a="1"/>
  <c r="H642" i="11" s="1"/>
  <c r="H643" i="11" a="1"/>
  <c r="H643" i="11" s="1"/>
  <c r="H644" i="11" a="1"/>
  <c r="H644" i="11" s="1"/>
  <c r="H645" i="11" a="1"/>
  <c r="H645" i="11" s="1"/>
  <c r="H646" i="11" a="1"/>
  <c r="H646" i="11" s="1"/>
  <c r="H647" i="11" a="1"/>
  <c r="H647" i="11" s="1"/>
  <c r="H648" i="11" a="1"/>
  <c r="H648" i="11" s="1"/>
  <c r="H649" i="11" a="1"/>
  <c r="H649" i="11" s="1"/>
  <c r="H650" i="11" a="1"/>
  <c r="H650" i="11" s="1"/>
  <c r="H651" i="11" a="1"/>
  <c r="H651" i="11" s="1"/>
  <c r="H652" i="11" a="1"/>
  <c r="H652" i="11" s="1"/>
  <c r="H653" i="11" a="1"/>
  <c r="H653" i="11" s="1"/>
  <c r="H654" i="11" a="1"/>
  <c r="H654" i="11"/>
  <c r="H655" i="11" a="1"/>
  <c r="H655" i="11" s="1"/>
  <c r="H656" i="11" a="1"/>
  <c r="H656" i="11" s="1"/>
  <c r="H657" i="11" a="1"/>
  <c r="H657" i="11" s="1"/>
  <c r="H658" i="11" a="1"/>
  <c r="H658" i="11" s="1"/>
  <c r="H659" i="11" a="1"/>
  <c r="H659" i="11" s="1"/>
  <c r="H660" i="11" a="1"/>
  <c r="H660" i="11" s="1"/>
  <c r="H661" i="11" a="1"/>
  <c r="H661" i="11" s="1"/>
  <c r="H662" i="11" a="1"/>
  <c r="H662" i="11" s="1"/>
  <c r="H663" i="11" a="1"/>
  <c r="H663" i="11" s="1"/>
  <c r="H664" i="11" a="1"/>
  <c r="H664" i="11" s="1"/>
  <c r="H665" i="11" a="1"/>
  <c r="H665" i="11" s="1"/>
  <c r="H666" i="11" a="1"/>
  <c r="H666" i="11" s="1"/>
  <c r="H667" i="11" a="1"/>
  <c r="H667" i="11" s="1"/>
  <c r="H668" i="11" a="1"/>
  <c r="H668" i="11" s="1"/>
  <c r="H669" i="11" a="1"/>
  <c r="H669" i="11" s="1"/>
  <c r="H670" i="11" a="1"/>
  <c r="H670" i="11" s="1"/>
  <c r="H671" i="11" a="1"/>
  <c r="H671" i="11" s="1"/>
  <c r="H672" i="11" a="1"/>
  <c r="H672" i="11" s="1"/>
  <c r="H673" i="11" a="1"/>
  <c r="H673" i="11" s="1"/>
  <c r="H674" i="11" a="1"/>
  <c r="H674" i="11" s="1"/>
  <c r="H675" i="11" a="1"/>
  <c r="H675" i="11" s="1"/>
  <c r="H676" i="11" a="1"/>
  <c r="H676" i="11" s="1"/>
  <c r="H677" i="11" a="1"/>
  <c r="H677" i="11" s="1"/>
  <c r="H678" i="11" a="1"/>
  <c r="H678" i="11" s="1"/>
  <c r="H679" i="11" a="1"/>
  <c r="H679" i="11"/>
  <c r="H680" i="11" a="1"/>
  <c r="H680" i="11" s="1"/>
  <c r="H681" i="11" a="1"/>
  <c r="H681" i="11" s="1"/>
  <c r="H682" i="11" a="1"/>
  <c r="H682" i="11" s="1"/>
  <c r="H683" i="11" a="1"/>
  <c r="H683" i="11" s="1"/>
  <c r="H684" i="11" a="1"/>
  <c r="H684" i="11" s="1"/>
  <c r="H685" i="11" a="1"/>
  <c r="H685" i="11" s="1"/>
  <c r="H686" i="11" a="1"/>
  <c r="H686" i="11" s="1"/>
  <c r="H687" i="11" a="1"/>
  <c r="H687" i="11" s="1"/>
  <c r="H688" i="11" a="1"/>
  <c r="H688" i="11" s="1"/>
  <c r="H689" i="11" a="1"/>
  <c r="H689" i="11" s="1"/>
  <c r="H690" i="11" a="1"/>
  <c r="H690" i="11" s="1"/>
  <c r="H691" i="11" a="1"/>
  <c r="H691" i="11" s="1"/>
  <c r="H692" i="11" a="1"/>
  <c r="H692" i="11" s="1"/>
  <c r="H693" i="11" a="1"/>
  <c r="H693" i="11" s="1"/>
  <c r="H694" i="11" a="1"/>
  <c r="H694" i="11" s="1"/>
  <c r="H695" i="11" a="1"/>
  <c r="H695" i="11" s="1"/>
  <c r="H696" i="11" a="1"/>
  <c r="H696" i="11" s="1"/>
  <c r="H697" i="11" a="1"/>
  <c r="H697" i="11" s="1"/>
  <c r="H698" i="11" a="1"/>
  <c r="H698" i="11" s="1"/>
  <c r="H699" i="11" a="1"/>
  <c r="H699" i="11" s="1"/>
  <c r="H700" i="11" a="1"/>
  <c r="H700" i="11" s="1"/>
  <c r="H701" i="11" a="1"/>
  <c r="H701" i="11" s="1"/>
  <c r="H702" i="11" a="1"/>
  <c r="H702" i="11" s="1"/>
  <c r="H703" i="11" a="1"/>
  <c r="H703" i="11" s="1"/>
  <c r="H704" i="11" a="1"/>
  <c r="H704" i="11" s="1"/>
  <c r="H705" i="11" a="1"/>
  <c r="H705" i="11" s="1"/>
  <c r="H706" i="11" a="1"/>
  <c r="H706" i="11" s="1"/>
  <c r="H707" i="11" a="1"/>
  <c r="H707" i="11" s="1"/>
  <c r="H708" i="11" a="1"/>
  <c r="H708" i="11" s="1"/>
  <c r="H709" i="11" a="1"/>
  <c r="H709" i="11" s="1"/>
  <c r="H710" i="11" a="1"/>
  <c r="H710" i="11" s="1"/>
  <c r="H711" i="11" a="1"/>
  <c r="H711" i="11" s="1"/>
  <c r="H712" i="11" a="1"/>
  <c r="H712" i="11" s="1"/>
  <c r="H713" i="11" a="1"/>
  <c r="H713" i="11" s="1"/>
  <c r="H714" i="11" a="1"/>
  <c r="H714" i="11" s="1"/>
  <c r="H715" i="11" a="1"/>
  <c r="H715" i="11" s="1"/>
  <c r="H716" i="11" a="1"/>
  <c r="H716" i="11" s="1"/>
  <c r="H717" i="11" a="1"/>
  <c r="H717" i="11" s="1"/>
  <c r="H718" i="11" a="1"/>
  <c r="H718" i="11" s="1"/>
  <c r="H719" i="11" a="1"/>
  <c r="H719" i="11" s="1"/>
  <c r="H720" i="11" a="1"/>
  <c r="H720" i="11" s="1"/>
  <c r="H721" i="11" a="1"/>
  <c r="H721" i="11" s="1"/>
  <c r="H722" i="11" a="1"/>
  <c r="H722" i="11" s="1"/>
  <c r="H723" i="11" a="1"/>
  <c r="H723" i="11" s="1"/>
  <c r="H724" i="11" a="1"/>
  <c r="H724" i="11" s="1"/>
  <c r="H725" i="11" a="1"/>
  <c r="H725" i="11" s="1"/>
  <c r="H726" i="11" a="1"/>
  <c r="H726" i="11" s="1"/>
  <c r="H727" i="11" a="1"/>
  <c r="H727" i="11" s="1"/>
  <c r="H728" i="11" a="1"/>
  <c r="H728" i="11" s="1"/>
  <c r="H729" i="11" a="1"/>
  <c r="H729" i="11" s="1"/>
  <c r="H730" i="11" a="1"/>
  <c r="H730" i="11" s="1"/>
  <c r="H731" i="11" a="1"/>
  <c r="H731" i="11" s="1"/>
  <c r="H732" i="11" a="1"/>
  <c r="H732" i="11" s="1"/>
  <c r="H733" i="11" a="1"/>
  <c r="H733" i="11" s="1"/>
  <c r="H734" i="11" a="1"/>
  <c r="H734" i="11" s="1"/>
  <c r="H735" i="11" a="1"/>
  <c r="H735" i="11" s="1"/>
  <c r="H736" i="11" a="1"/>
  <c r="H736" i="11" s="1"/>
  <c r="H737" i="11" a="1"/>
  <c r="H737" i="11" s="1"/>
  <c r="H738" i="11" a="1"/>
  <c r="H738" i="11" s="1"/>
  <c r="H739" i="11" a="1"/>
  <c r="H739" i="11" s="1"/>
  <c r="H740" i="11" a="1"/>
  <c r="H740" i="11" s="1"/>
  <c r="H741" i="11" a="1"/>
  <c r="H741" i="11" s="1"/>
  <c r="H742" i="11" a="1"/>
  <c r="H742" i="11" s="1"/>
  <c r="H743" i="11" a="1"/>
  <c r="H743" i="11" s="1"/>
  <c r="H744" i="11" a="1"/>
  <c r="H744" i="11" s="1"/>
  <c r="H745" i="11" a="1"/>
  <c r="H745" i="11" s="1"/>
  <c r="H746" i="11" a="1"/>
  <c r="H746" i="11" s="1"/>
  <c r="H747" i="11" a="1"/>
  <c r="H747" i="11" s="1"/>
  <c r="H748" i="11" a="1"/>
  <c r="H748" i="11" s="1"/>
  <c r="H749" i="11" a="1"/>
  <c r="H749" i="11" s="1"/>
  <c r="H750" i="11" a="1"/>
  <c r="H750" i="11" s="1"/>
  <c r="H751" i="11" a="1"/>
  <c r="H751" i="11" s="1"/>
  <c r="H752" i="11" a="1"/>
  <c r="H752" i="11" s="1"/>
  <c r="H753" i="11" a="1"/>
  <c r="H753" i="11" s="1"/>
  <c r="H754" i="11" a="1"/>
  <c r="H754" i="11" s="1"/>
  <c r="H755" i="11" a="1"/>
  <c r="H755" i="11" s="1"/>
  <c r="H756" i="11" a="1"/>
  <c r="H756" i="11" s="1"/>
  <c r="H757" i="11" a="1"/>
  <c r="H757" i="11" s="1"/>
  <c r="H758" i="11" a="1"/>
  <c r="H758" i="11" s="1"/>
  <c r="H759" i="11" a="1"/>
  <c r="H759" i="11" s="1"/>
  <c r="H760" i="11" a="1"/>
  <c r="H760" i="11" s="1"/>
  <c r="H761" i="11" a="1"/>
  <c r="H761" i="11" s="1"/>
  <c r="H762" i="11" a="1"/>
  <c r="H762" i="11" s="1"/>
  <c r="H763" i="11" a="1"/>
  <c r="H763" i="11" s="1"/>
  <c r="H764" i="11" a="1"/>
  <c r="H764" i="11" s="1"/>
  <c r="H765" i="11" a="1"/>
  <c r="H765" i="11" s="1"/>
  <c r="H766" i="11" a="1"/>
  <c r="H766" i="11" s="1"/>
  <c r="H767" i="11" a="1"/>
  <c r="H767" i="11" s="1"/>
  <c r="H768" i="11" a="1"/>
  <c r="H768" i="11" s="1"/>
  <c r="H769" i="11" a="1"/>
  <c r="H769" i="11" s="1"/>
  <c r="H770" i="11" a="1"/>
  <c r="H770" i="11" s="1"/>
  <c r="H771" i="11" a="1"/>
  <c r="H771" i="11" s="1"/>
  <c r="H772" i="11" a="1"/>
  <c r="H772" i="11" s="1"/>
  <c r="H773" i="11" a="1"/>
  <c r="H773" i="11" s="1"/>
  <c r="H774" i="11" a="1"/>
  <c r="H774" i="11" s="1"/>
  <c r="H775" i="11" a="1"/>
  <c r="H775" i="11" s="1"/>
  <c r="H776" i="11" a="1"/>
  <c r="H776" i="11" s="1"/>
  <c r="H777" i="11" a="1"/>
  <c r="H777" i="11" s="1"/>
  <c r="H778" i="11" a="1"/>
  <c r="H778" i="11" s="1"/>
  <c r="H779" i="11" a="1"/>
  <c r="H779" i="11" s="1"/>
  <c r="H780" i="11" a="1"/>
  <c r="H780" i="11" s="1"/>
  <c r="H781" i="11" a="1"/>
  <c r="H781" i="11" s="1"/>
  <c r="H782" i="11" a="1"/>
  <c r="H782" i="11" s="1"/>
  <c r="H783" i="11" a="1"/>
  <c r="H783" i="11" s="1"/>
  <c r="H784" i="11" a="1"/>
  <c r="H784" i="11" s="1"/>
  <c r="H785" i="11" a="1"/>
  <c r="H785" i="11" s="1"/>
  <c r="H786" i="11" a="1"/>
  <c r="H786" i="11" s="1"/>
  <c r="H787" i="11" a="1"/>
  <c r="H787" i="11" s="1"/>
  <c r="H788" i="11" a="1"/>
  <c r="H788" i="11" s="1"/>
  <c r="H789" i="11" a="1"/>
  <c r="H789" i="11" s="1"/>
  <c r="H790" i="11" a="1"/>
  <c r="H790" i="11" s="1"/>
  <c r="H791" i="11" a="1"/>
  <c r="H791" i="11" s="1"/>
  <c r="H792" i="11" a="1"/>
  <c r="H792" i="11" s="1"/>
  <c r="H793" i="11" a="1"/>
  <c r="H793" i="11" s="1"/>
  <c r="H794" i="11" a="1"/>
  <c r="H794" i="11" s="1"/>
  <c r="H795" i="11" a="1"/>
  <c r="H795" i="11" s="1"/>
  <c r="H796" i="11" a="1"/>
  <c r="H796" i="11" s="1"/>
  <c r="H797" i="11" a="1"/>
  <c r="H797" i="11" s="1"/>
  <c r="H798" i="11" a="1"/>
  <c r="H798" i="11" s="1"/>
  <c r="H799" i="11" a="1"/>
  <c r="H799" i="11" s="1"/>
  <c r="H800" i="11" a="1"/>
  <c r="H800" i="11" s="1"/>
  <c r="H801" i="11" a="1"/>
  <c r="H801" i="11" s="1"/>
  <c r="H802" i="11" a="1"/>
  <c r="H802" i="11" s="1"/>
  <c r="H803" i="11" a="1"/>
  <c r="H803" i="11" s="1"/>
  <c r="H804" i="11" a="1"/>
  <c r="H804" i="11" s="1"/>
  <c r="H805" i="11" a="1"/>
  <c r="H805" i="11" s="1"/>
  <c r="H806" i="11" a="1"/>
  <c r="H806" i="11" s="1"/>
  <c r="H807" i="11" a="1"/>
  <c r="H807" i="11" s="1"/>
  <c r="H808" i="11" a="1"/>
  <c r="H808" i="11" s="1"/>
  <c r="H809" i="11" a="1"/>
  <c r="H809" i="11" s="1"/>
  <c r="H810" i="11" a="1"/>
  <c r="H810" i="11" s="1"/>
  <c r="H811" i="11" a="1"/>
  <c r="H811" i="11" s="1"/>
  <c r="H812" i="11" a="1"/>
  <c r="H812" i="11" s="1"/>
  <c r="H813" i="11" a="1"/>
  <c r="H813" i="11" s="1"/>
  <c r="H814" i="11" a="1"/>
  <c r="H814" i="11" s="1"/>
  <c r="H815" i="11" a="1"/>
  <c r="H815" i="11" s="1"/>
  <c r="H816" i="11" a="1"/>
  <c r="H816" i="11" s="1"/>
  <c r="H817" i="11" a="1"/>
  <c r="H817" i="11" s="1"/>
  <c r="H818" i="11" a="1"/>
  <c r="H818" i="11" s="1"/>
  <c r="H819" i="11" a="1"/>
  <c r="H819" i="11" s="1"/>
  <c r="H820" i="11" a="1"/>
  <c r="H820" i="11" s="1"/>
  <c r="H821" i="11" a="1"/>
  <c r="H821" i="11" s="1"/>
  <c r="H822" i="11" a="1"/>
  <c r="H822" i="11" s="1"/>
  <c r="H823" i="11" a="1"/>
  <c r="H823" i="11" s="1"/>
  <c r="H824" i="11" a="1"/>
  <c r="H824" i="11" s="1"/>
  <c r="H825" i="11" a="1"/>
  <c r="H825" i="11" s="1"/>
  <c r="H826" i="11" a="1"/>
  <c r="H826" i="11" s="1"/>
  <c r="H827" i="11" a="1"/>
  <c r="H827" i="11"/>
  <c r="H828" i="11" a="1"/>
  <c r="H828" i="11" s="1"/>
  <c r="H829" i="11" a="1"/>
  <c r="H829" i="11" s="1"/>
  <c r="H830" i="11" a="1"/>
  <c r="H830" i="11" s="1"/>
  <c r="H831" i="11" a="1"/>
  <c r="H831" i="11" s="1"/>
  <c r="H832" i="11" a="1"/>
  <c r="H832" i="11" s="1"/>
  <c r="H833" i="11" a="1"/>
  <c r="H833" i="11" s="1"/>
  <c r="H834" i="11" a="1"/>
  <c r="H834" i="11" s="1"/>
  <c r="H835" i="11" a="1"/>
  <c r="H835" i="11" s="1"/>
  <c r="H836" i="11" a="1"/>
  <c r="H836" i="11" s="1"/>
  <c r="H837" i="11" a="1"/>
  <c r="H837" i="11" s="1"/>
  <c r="H838" i="11" a="1"/>
  <c r="H838" i="11" s="1"/>
  <c r="H839" i="11" a="1"/>
  <c r="H839" i="11" s="1"/>
  <c r="H840" i="11" a="1"/>
  <c r="H840" i="11" s="1"/>
  <c r="H841" i="11" a="1"/>
  <c r="H841" i="11" s="1"/>
  <c r="H842" i="11" a="1"/>
  <c r="H842" i="11" s="1"/>
  <c r="H843" i="11" a="1"/>
  <c r="H843" i="11" s="1"/>
  <c r="H844" i="11" a="1"/>
  <c r="H844" i="11" s="1"/>
  <c r="H845" i="11" a="1"/>
  <c r="H845" i="11" s="1"/>
  <c r="H846" i="11" a="1"/>
  <c r="H846" i="11" s="1"/>
  <c r="H847" i="11" a="1"/>
  <c r="H847" i="11" s="1"/>
  <c r="H848" i="11" a="1"/>
  <c r="H848" i="11" s="1"/>
  <c r="H849" i="11" a="1"/>
  <c r="H849" i="11" s="1"/>
  <c r="H850" i="11" a="1"/>
  <c r="H850" i="11" s="1"/>
  <c r="H851" i="11" a="1"/>
  <c r="H851" i="11"/>
  <c r="H852" i="11" a="1"/>
  <c r="H852" i="11" s="1"/>
  <c r="H853" i="11" a="1"/>
  <c r="H853" i="11" s="1"/>
  <c r="H854" i="11" a="1"/>
  <c r="H854" i="11" s="1"/>
  <c r="H855" i="11" a="1"/>
  <c r="H855" i="11" s="1"/>
  <c r="H856" i="11" a="1"/>
  <c r="H856" i="11" s="1"/>
  <c r="H857" i="11" a="1"/>
  <c r="H857" i="11" s="1"/>
  <c r="H858" i="11" a="1"/>
  <c r="H858" i="11" s="1"/>
  <c r="H859" i="11" a="1"/>
  <c r="H859" i="11" s="1"/>
  <c r="H860" i="11" a="1"/>
  <c r="H860" i="11" s="1"/>
  <c r="H861" i="11" a="1"/>
  <c r="H861" i="11" s="1"/>
  <c r="H862" i="11" a="1"/>
  <c r="H862" i="11" s="1"/>
  <c r="H863" i="11" a="1"/>
  <c r="H863" i="11" s="1"/>
  <c r="H864" i="11" a="1"/>
  <c r="H864" i="11" s="1"/>
  <c r="H865" i="11" a="1"/>
  <c r="H865" i="11" s="1"/>
  <c r="H866" i="11" a="1"/>
  <c r="H866" i="11" s="1"/>
  <c r="H867" i="11" a="1"/>
  <c r="H867" i="11" s="1"/>
  <c r="H868" i="11" a="1"/>
  <c r="H868" i="11" s="1"/>
  <c r="H869" i="11" a="1"/>
  <c r="H869" i="11" s="1"/>
  <c r="H870" i="11" a="1"/>
  <c r="H870" i="11" s="1"/>
  <c r="H871" i="11" a="1"/>
  <c r="H871" i="11" s="1"/>
  <c r="H872" i="11" a="1"/>
  <c r="H872" i="11" s="1"/>
  <c r="H873" i="11" a="1"/>
  <c r="H873" i="11" s="1"/>
  <c r="H874" i="11" a="1"/>
  <c r="H874" i="11" s="1"/>
  <c r="H875" i="11" a="1"/>
  <c r="H875" i="11" s="1"/>
  <c r="H876" i="11" a="1"/>
  <c r="H876" i="11" s="1"/>
  <c r="H877" i="11" a="1"/>
  <c r="H877" i="11" s="1"/>
  <c r="H878" i="11" a="1"/>
  <c r="H878" i="11" s="1"/>
  <c r="H879" i="11" a="1"/>
  <c r="H879" i="11"/>
  <c r="H880" i="11" a="1"/>
  <c r="H880" i="11" s="1"/>
  <c r="H881" i="11" a="1"/>
  <c r="H881" i="11" s="1"/>
  <c r="H882" i="11" a="1"/>
  <c r="H882" i="11" s="1"/>
  <c r="H883" i="11" a="1"/>
  <c r="H883" i="11" s="1"/>
  <c r="H884" i="11" a="1"/>
  <c r="H884" i="11" s="1"/>
  <c r="H885" i="11" a="1"/>
  <c r="H885" i="11" s="1"/>
  <c r="H886" i="11" a="1"/>
  <c r="H886" i="11" s="1"/>
  <c r="H887" i="11" a="1"/>
  <c r="H887" i="11" s="1"/>
  <c r="H888" i="11" a="1"/>
  <c r="H888" i="11" s="1"/>
  <c r="H889" i="11" a="1"/>
  <c r="H889" i="11" s="1"/>
  <c r="H890" i="11" a="1"/>
  <c r="H890" i="11" s="1"/>
  <c r="H891" i="11" a="1"/>
  <c r="H891" i="11" s="1"/>
  <c r="H892" i="11" a="1"/>
  <c r="H892" i="11" s="1"/>
  <c r="H893" i="11" a="1"/>
  <c r="H893" i="11" s="1"/>
  <c r="H894" i="11" a="1"/>
  <c r="H894" i="11" s="1"/>
  <c r="H895" i="11" a="1"/>
  <c r="H895" i="11" s="1"/>
  <c r="H896" i="11" a="1"/>
  <c r="H896" i="11" s="1"/>
  <c r="H897" i="11" a="1"/>
  <c r="H897" i="11" s="1"/>
  <c r="H898" i="11" a="1"/>
  <c r="H898" i="11" s="1"/>
  <c r="H899" i="11" a="1"/>
  <c r="H899" i="11" s="1"/>
  <c r="H900" i="11" a="1"/>
  <c r="H900" i="11" s="1"/>
  <c r="H901" i="11" a="1"/>
  <c r="H901" i="11" s="1"/>
  <c r="H902" i="11" a="1"/>
  <c r="H902" i="11" s="1"/>
  <c r="H903" i="11" a="1"/>
  <c r="H903" i="11" s="1"/>
  <c r="H904" i="11" a="1"/>
  <c r="H904" i="11" s="1"/>
  <c r="H905" i="11" a="1"/>
  <c r="H905" i="11" s="1"/>
  <c r="H906" i="11" a="1"/>
  <c r="H906" i="11" s="1"/>
  <c r="H907" i="11" a="1"/>
  <c r="H907" i="11" s="1"/>
  <c r="H908" i="11" a="1"/>
  <c r="H908" i="11" s="1"/>
  <c r="H909" i="11" a="1"/>
  <c r="H909" i="11" s="1"/>
  <c r="H910" i="11" a="1"/>
  <c r="H910" i="11" s="1"/>
  <c r="H911" i="11" a="1"/>
  <c r="H911" i="11" s="1"/>
  <c r="H912" i="11" a="1"/>
  <c r="H912" i="11" s="1"/>
  <c r="H913" i="11" a="1"/>
  <c r="H913" i="11" s="1"/>
  <c r="H914" i="11" a="1"/>
  <c r="H914" i="11" s="1"/>
  <c r="H915" i="11" a="1"/>
  <c r="H915" i="11" s="1"/>
  <c r="H916" i="11" a="1"/>
  <c r="H916" i="11" s="1"/>
  <c r="H917" i="11" a="1"/>
  <c r="H917" i="11" s="1"/>
  <c r="H918" i="11" a="1"/>
  <c r="H918" i="11" s="1"/>
  <c r="H919" i="11" a="1"/>
  <c r="H919" i="11" s="1"/>
  <c r="H920" i="11" a="1"/>
  <c r="H920" i="11" s="1"/>
  <c r="H921" i="11" a="1"/>
  <c r="H921" i="11" s="1"/>
  <c r="H922" i="11" a="1"/>
  <c r="H922" i="11" s="1"/>
  <c r="H923" i="11" a="1"/>
  <c r="H923" i="11" s="1"/>
  <c r="H924" i="11" a="1"/>
  <c r="H924" i="11" s="1"/>
  <c r="H925" i="11" a="1"/>
  <c r="H925" i="11" s="1"/>
  <c r="H926" i="11" a="1"/>
  <c r="H926" i="11" s="1"/>
  <c r="H927" i="11" a="1"/>
  <c r="H927" i="11" s="1"/>
  <c r="H928" i="11" a="1"/>
  <c r="H928" i="11" s="1"/>
  <c r="H929" i="11" a="1"/>
  <c r="H929" i="11" s="1"/>
  <c r="H930" i="11" a="1"/>
  <c r="H930" i="11" s="1"/>
  <c r="H931" i="11" a="1"/>
  <c r="H931" i="11" s="1"/>
  <c r="H932" i="11" a="1"/>
  <c r="H932" i="11" s="1"/>
  <c r="H933" i="11" a="1"/>
  <c r="H933" i="11" s="1"/>
  <c r="H934" i="11" a="1"/>
  <c r="H934" i="11" s="1"/>
  <c r="H935" i="11" a="1"/>
  <c r="H935" i="11" s="1"/>
  <c r="H936" i="11" a="1"/>
  <c r="H936" i="11" s="1"/>
  <c r="H937" i="11" a="1"/>
  <c r="H937" i="11" s="1"/>
  <c r="H938" i="11" a="1"/>
  <c r="H938" i="11" s="1"/>
  <c r="H939" i="11" a="1"/>
  <c r="H939" i="11" s="1"/>
  <c r="H940" i="11" a="1"/>
  <c r="H940" i="11" s="1"/>
  <c r="H941" i="11" a="1"/>
  <c r="H941" i="11" s="1"/>
  <c r="H942" i="11" a="1"/>
  <c r="H942" i="11" s="1"/>
  <c r="H943" i="11" a="1"/>
  <c r="H943" i="11" s="1"/>
  <c r="H944" i="11" a="1"/>
  <c r="H944" i="11" s="1"/>
  <c r="H945" i="11" a="1"/>
  <c r="H945" i="11" s="1"/>
  <c r="H946" i="11" a="1"/>
  <c r="H946" i="11" s="1"/>
  <c r="H947" i="11" a="1"/>
  <c r="H947" i="11" s="1"/>
  <c r="H948" i="11" a="1"/>
  <c r="H948" i="11" s="1"/>
  <c r="H949" i="11" a="1"/>
  <c r="H949" i="11" s="1"/>
  <c r="H950" i="11" a="1"/>
  <c r="H950" i="11" s="1"/>
  <c r="H951" i="11" a="1"/>
  <c r="H951" i="11" s="1"/>
  <c r="H952" i="11" a="1"/>
  <c r="H952" i="11" s="1"/>
  <c r="H953" i="11" a="1"/>
  <c r="H953" i="11" s="1"/>
  <c r="H954" i="11" a="1"/>
  <c r="H954" i="11" s="1"/>
  <c r="H955" i="11" a="1"/>
  <c r="H955" i="11" s="1"/>
  <c r="H956" i="11" a="1"/>
  <c r="H956" i="11" s="1"/>
  <c r="H957" i="11" a="1"/>
  <c r="H957" i="11" s="1"/>
  <c r="H958" i="11" a="1"/>
  <c r="H958" i="11" s="1"/>
  <c r="H959" i="11" a="1"/>
  <c r="H959" i="11" s="1"/>
  <c r="H960" i="11" a="1"/>
  <c r="H960" i="11" s="1"/>
  <c r="H961" i="11" a="1"/>
  <c r="H961" i="11" s="1"/>
  <c r="H962" i="11" a="1"/>
  <c r="H962" i="11" s="1"/>
  <c r="H963" i="11" a="1"/>
  <c r="H963" i="11" s="1"/>
  <c r="H964" i="11" a="1"/>
  <c r="H964" i="11"/>
  <c r="H965" i="11" a="1"/>
  <c r="H965" i="11" s="1"/>
  <c r="H966" i="11" a="1"/>
  <c r="H966" i="11" s="1"/>
  <c r="H967" i="11" a="1"/>
  <c r="H967" i="11" s="1"/>
  <c r="H968" i="11" a="1"/>
  <c r="H968" i="11" s="1"/>
  <c r="H969" i="11" a="1"/>
  <c r="H969" i="11" s="1"/>
  <c r="H970" i="11" a="1"/>
  <c r="H970" i="11" s="1"/>
  <c r="H971" i="11" a="1"/>
  <c r="H971" i="11" s="1"/>
  <c r="H972" i="11" a="1"/>
  <c r="H972" i="11" s="1"/>
  <c r="H973" i="11" a="1"/>
  <c r="H973" i="11" s="1"/>
  <c r="H974" i="11" a="1"/>
  <c r="H974" i="11" s="1"/>
  <c r="H975" i="11" a="1"/>
  <c r="H975" i="11" s="1"/>
  <c r="H976" i="11" a="1"/>
  <c r="H976" i="11" s="1"/>
  <c r="H977" i="11" a="1"/>
  <c r="H977" i="11" s="1"/>
  <c r="H978" i="11" a="1"/>
  <c r="H978" i="11" s="1"/>
  <c r="H979" i="11" a="1"/>
  <c r="H979" i="11" s="1"/>
  <c r="H980" i="11" a="1"/>
  <c r="H980" i="11" s="1"/>
  <c r="H981" i="11" a="1"/>
  <c r="H981" i="11" s="1"/>
  <c r="H982" i="11" a="1"/>
  <c r="H982" i="11" s="1"/>
  <c r="H983" i="11" a="1"/>
  <c r="H983" i="11" s="1"/>
  <c r="H984" i="11" a="1"/>
  <c r="H984" i="11" s="1"/>
  <c r="H985" i="11" a="1"/>
  <c r="H985" i="11" s="1"/>
  <c r="H986" i="11" a="1"/>
  <c r="H986" i="11" s="1"/>
  <c r="H987" i="11" a="1"/>
  <c r="H987" i="11" s="1"/>
  <c r="H988" i="11" a="1"/>
  <c r="H988" i="11" s="1"/>
  <c r="H989" i="11" a="1"/>
  <c r="H989" i="11" s="1"/>
  <c r="H990" i="11" a="1"/>
  <c r="H990" i="11" s="1"/>
  <c r="H991" i="11" a="1"/>
  <c r="H991" i="11" s="1"/>
  <c r="H992" i="11" a="1"/>
  <c r="H992" i="11" s="1"/>
  <c r="H993" i="11" a="1"/>
  <c r="H993" i="11" s="1"/>
  <c r="H994" i="11" a="1"/>
  <c r="H994" i="11" s="1"/>
  <c r="H995" i="11" a="1"/>
  <c r="H995" i="11" s="1"/>
  <c r="H996" i="11" a="1"/>
  <c r="H996" i="11" s="1"/>
  <c r="H997" i="11" a="1"/>
  <c r="H997" i="11" s="1"/>
  <c r="H998" i="11" a="1"/>
  <c r="H998" i="11" s="1"/>
  <c r="H999" i="11" a="1"/>
  <c r="H999" i="11" s="1"/>
  <c r="H1000" i="11" a="1"/>
  <c r="H1000" i="11" s="1"/>
  <c r="H1001" i="11" a="1"/>
  <c r="H1001" i="11" s="1"/>
  <c r="I2" i="11" l="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F2" i="11" a="1"/>
  <c r="F2" i="11" s="1"/>
  <c r="F3" i="11" a="1"/>
  <c r="F3" i="11" s="1"/>
  <c r="F4" i="11" a="1"/>
  <c r="F4" i="11" s="1"/>
  <c r="F5" i="11" a="1"/>
  <c r="F5" i="11" s="1"/>
  <c r="F6" i="11" a="1"/>
  <c r="F6" i="11" s="1"/>
  <c r="F7" i="11" a="1"/>
  <c r="F7" i="11" s="1"/>
  <c r="F8" i="11" a="1"/>
  <c r="F8" i="11" s="1"/>
  <c r="F9" i="11" a="1"/>
  <c r="F9" i="11" s="1"/>
  <c r="F10" i="11" a="1"/>
  <c r="F10" i="11" s="1"/>
  <c r="F11" i="11" a="1"/>
  <c r="F11" i="11" s="1"/>
  <c r="F12" i="11" a="1"/>
  <c r="F12" i="11" s="1"/>
  <c r="F13" i="11" a="1"/>
  <c r="F13" i="11" s="1"/>
  <c r="F14" i="11" a="1"/>
  <c r="F14" i="11" s="1"/>
  <c r="F15" i="11" a="1"/>
  <c r="F15" i="11" s="1"/>
  <c r="F16" i="11" a="1"/>
  <c r="F16" i="11" s="1"/>
  <c r="F17" i="11" a="1"/>
  <c r="F17" i="11" s="1"/>
  <c r="F18" i="11" a="1"/>
  <c r="F18" i="11" s="1"/>
  <c r="F19" i="11" a="1"/>
  <c r="F19" i="11" s="1"/>
  <c r="F20" i="11" a="1"/>
  <c r="F20" i="11" s="1"/>
  <c r="F21" i="11" a="1"/>
  <c r="F21" i="11" s="1"/>
  <c r="F22" i="11" a="1"/>
  <c r="F22" i="11" s="1"/>
  <c r="F23" i="11" a="1"/>
  <c r="F23" i="11" s="1"/>
  <c r="F24" i="11" a="1"/>
  <c r="F24" i="11" s="1"/>
  <c r="F25" i="11" a="1"/>
  <c r="F25" i="11" s="1"/>
  <c r="F26" i="11" a="1"/>
  <c r="F26" i="11" s="1"/>
  <c r="F27" i="11" a="1"/>
  <c r="F27" i="11" s="1"/>
  <c r="F28" i="11" a="1"/>
  <c r="F28" i="11" s="1"/>
  <c r="F29" i="11" a="1"/>
  <c r="F29" i="11" s="1"/>
  <c r="F30" i="11" a="1"/>
  <c r="F30" i="11" s="1"/>
  <c r="F31" i="11" a="1"/>
  <c r="F31" i="11" s="1"/>
  <c r="F32" i="11" a="1"/>
  <c r="F32" i="11" s="1"/>
  <c r="F33" i="11" a="1"/>
  <c r="F33" i="11" s="1"/>
  <c r="F34" i="11" a="1"/>
  <c r="F34" i="11" s="1"/>
  <c r="F35" i="11" a="1"/>
  <c r="F35" i="11" s="1"/>
  <c r="F36" i="11" a="1"/>
  <c r="F36" i="11" s="1"/>
  <c r="F37" i="11" a="1"/>
  <c r="F37" i="11" s="1"/>
  <c r="F38" i="11" a="1"/>
  <c r="F38" i="11" s="1"/>
  <c r="F39" i="11" a="1"/>
  <c r="F39" i="11" s="1"/>
  <c r="F40" i="11" a="1"/>
  <c r="F40" i="11" s="1"/>
  <c r="F41" i="11" a="1"/>
  <c r="F41" i="11" s="1"/>
  <c r="F42" i="11" a="1"/>
  <c r="F42" i="11" s="1"/>
  <c r="F43" i="11" a="1"/>
  <c r="F43" i="11" s="1"/>
  <c r="F44" i="11" a="1"/>
  <c r="F44" i="11" s="1"/>
  <c r="F45" i="11" a="1"/>
  <c r="F45" i="11" s="1"/>
  <c r="F46" i="11" a="1"/>
  <c r="F46" i="11" s="1"/>
  <c r="F47" i="11" a="1"/>
  <c r="F47" i="11" s="1"/>
  <c r="F48" i="11" a="1"/>
  <c r="F48" i="11" s="1"/>
  <c r="F49" i="11" a="1"/>
  <c r="F49" i="11" s="1"/>
  <c r="F50" i="11" a="1"/>
  <c r="F50" i="11" s="1"/>
  <c r="F51" i="11" a="1"/>
  <c r="F51" i="11" s="1"/>
  <c r="F52" i="11" a="1"/>
  <c r="F52" i="11" s="1"/>
  <c r="F53" i="11" a="1"/>
  <c r="F53" i="11" s="1"/>
  <c r="F54" i="11" a="1"/>
  <c r="F54" i="11" s="1"/>
  <c r="F55" i="11" a="1"/>
  <c r="F55" i="11" s="1"/>
  <c r="F56" i="11" a="1"/>
  <c r="F56" i="11" s="1"/>
  <c r="F57" i="11" a="1"/>
  <c r="F57" i="11" s="1"/>
  <c r="F58" i="11" a="1"/>
  <c r="F58" i="11" s="1"/>
  <c r="F59" i="11" a="1"/>
  <c r="F59" i="11" s="1"/>
  <c r="F60" i="11" a="1"/>
  <c r="F60" i="11" s="1"/>
  <c r="F61" i="11" a="1"/>
  <c r="F61" i="11" s="1"/>
  <c r="F62" i="11" a="1"/>
  <c r="F62" i="11" s="1"/>
  <c r="F63" i="11" a="1"/>
  <c r="F63" i="11" s="1"/>
  <c r="F64" i="11" a="1"/>
  <c r="F64" i="11" s="1"/>
  <c r="F65" i="11" a="1"/>
  <c r="F65" i="11" s="1"/>
  <c r="F66" i="11" a="1"/>
  <c r="F66" i="11" s="1"/>
  <c r="F67" i="11" a="1"/>
  <c r="F67" i="11" s="1"/>
  <c r="F68" i="11" a="1"/>
  <c r="F68" i="11" s="1"/>
  <c r="F69" i="11" a="1"/>
  <c r="F69" i="11" s="1"/>
  <c r="F70" i="11" a="1"/>
  <c r="F70" i="11" s="1"/>
  <c r="F71" i="11" a="1"/>
  <c r="F71" i="11" s="1"/>
  <c r="F72" i="11" a="1"/>
  <c r="F72" i="11" s="1"/>
  <c r="F73" i="11" a="1"/>
  <c r="F73" i="11" s="1"/>
  <c r="F74" i="11" a="1"/>
  <c r="F74" i="11" s="1"/>
  <c r="F75" i="11" a="1"/>
  <c r="F75" i="11" s="1"/>
  <c r="F76" i="11" a="1"/>
  <c r="F76" i="11" s="1"/>
  <c r="F77" i="11" a="1"/>
  <c r="F77" i="11" s="1"/>
  <c r="F78" i="11" a="1"/>
  <c r="F78" i="11" s="1"/>
  <c r="F79" i="11" a="1"/>
  <c r="F79" i="11" s="1"/>
  <c r="F80" i="11" a="1"/>
  <c r="F80" i="11" s="1"/>
  <c r="F81" i="11" a="1"/>
  <c r="F81" i="11" s="1"/>
  <c r="F82" i="11" a="1"/>
  <c r="F82" i="11" s="1"/>
  <c r="F83" i="11" a="1"/>
  <c r="F83" i="11" s="1"/>
  <c r="F84" i="11" a="1"/>
  <c r="F84" i="11" s="1"/>
  <c r="F85" i="11" a="1"/>
  <c r="F85" i="11" s="1"/>
  <c r="F86" i="11" a="1"/>
  <c r="F86" i="11" s="1"/>
  <c r="F87" i="11" a="1"/>
  <c r="F87" i="11" s="1"/>
  <c r="F88" i="11" a="1"/>
  <c r="F88" i="11" s="1"/>
  <c r="F89" i="11" a="1"/>
  <c r="F89" i="11" s="1"/>
  <c r="F90" i="11" a="1"/>
  <c r="F90" i="11" s="1"/>
  <c r="F91" i="11" a="1"/>
  <c r="F91" i="11" s="1"/>
  <c r="F92" i="11" a="1"/>
  <c r="F92" i="11" s="1"/>
  <c r="F93" i="11" a="1"/>
  <c r="F93" i="11" s="1"/>
  <c r="F94" i="11" a="1"/>
  <c r="F94" i="11" s="1"/>
  <c r="F95" i="11" a="1"/>
  <c r="F95" i="11" s="1"/>
  <c r="F96" i="11" a="1"/>
  <c r="F96" i="11" s="1"/>
  <c r="F97" i="11" a="1"/>
  <c r="F97" i="11" s="1"/>
  <c r="F98" i="11" a="1"/>
  <c r="F98" i="11" s="1"/>
  <c r="F99" i="11" a="1"/>
  <c r="F99" i="11" s="1"/>
  <c r="F100" i="11" a="1"/>
  <c r="F100" i="11" s="1"/>
  <c r="F101" i="11" a="1"/>
  <c r="F101" i="11" s="1"/>
  <c r="F102" i="11" a="1"/>
  <c r="F102" i="11" s="1"/>
  <c r="F103" i="11" a="1"/>
  <c r="F103" i="11" s="1"/>
  <c r="F104" i="11" a="1"/>
  <c r="F104" i="11" s="1"/>
  <c r="F105" i="11" a="1"/>
  <c r="F105" i="11" s="1"/>
  <c r="F106" i="11" a="1"/>
  <c r="F106" i="11" s="1"/>
  <c r="F107" i="11" a="1"/>
  <c r="F107" i="11" s="1"/>
  <c r="F108" i="11" a="1"/>
  <c r="F108" i="11" s="1"/>
  <c r="F109" i="11" a="1"/>
  <c r="F109" i="11" s="1"/>
  <c r="F110" i="11" a="1"/>
  <c r="F110" i="11" s="1"/>
  <c r="F111" i="11" a="1"/>
  <c r="F111" i="11" s="1"/>
  <c r="F112" i="11" a="1"/>
  <c r="F112" i="11" s="1"/>
  <c r="F113" i="11" a="1"/>
  <c r="F113" i="11" s="1"/>
  <c r="F114" i="11" a="1"/>
  <c r="F114" i="11" s="1"/>
  <c r="F115" i="11" a="1"/>
  <c r="F115" i="11" s="1"/>
  <c r="F116" i="11" a="1"/>
  <c r="F116" i="11" s="1"/>
  <c r="F117" i="11" a="1"/>
  <c r="F117" i="11" s="1"/>
  <c r="F118" i="11" a="1"/>
  <c r="F118" i="11" s="1"/>
  <c r="F119" i="11" a="1"/>
  <c r="F119" i="11" s="1"/>
  <c r="F120" i="11" a="1"/>
  <c r="F120" i="11" s="1"/>
  <c r="F121" i="11" a="1"/>
  <c r="F121" i="11" s="1"/>
  <c r="F122" i="11" a="1"/>
  <c r="F122" i="11" s="1"/>
  <c r="F123" i="11" a="1"/>
  <c r="F123" i="11" s="1"/>
  <c r="F124" i="11" a="1"/>
  <c r="F124" i="11" s="1"/>
  <c r="F125" i="11" a="1"/>
  <c r="F125" i="11" s="1"/>
  <c r="F126" i="11" a="1"/>
  <c r="F126" i="11" s="1"/>
  <c r="F127" i="11" a="1"/>
  <c r="F127" i="11" s="1"/>
  <c r="F128" i="11" a="1"/>
  <c r="F128" i="11" s="1"/>
  <c r="F129" i="11" a="1"/>
  <c r="F129" i="11" s="1"/>
  <c r="F130" i="11" a="1"/>
  <c r="F130" i="11" s="1"/>
  <c r="F131" i="11" a="1"/>
  <c r="F131" i="11" s="1"/>
  <c r="F132" i="11" a="1"/>
  <c r="F132" i="11" s="1"/>
  <c r="F133" i="11" a="1"/>
  <c r="F133" i="11" s="1"/>
  <c r="F134" i="11" a="1"/>
  <c r="F134" i="11" s="1"/>
  <c r="F135" i="11" a="1"/>
  <c r="F135" i="11" s="1"/>
  <c r="F136" i="11" a="1"/>
  <c r="F136" i="11" s="1"/>
  <c r="F137" i="11" a="1"/>
  <c r="F137" i="11" s="1"/>
  <c r="F138" i="11" a="1"/>
  <c r="F138" i="11" s="1"/>
  <c r="F139" i="11" a="1"/>
  <c r="F139" i="11" s="1"/>
  <c r="F140" i="11" a="1"/>
  <c r="F140" i="11" s="1"/>
  <c r="F141" i="11" a="1"/>
  <c r="F141" i="11" s="1"/>
  <c r="F142" i="11" a="1"/>
  <c r="F142" i="11" s="1"/>
  <c r="F143" i="11" a="1"/>
  <c r="F143" i="11" s="1"/>
  <c r="F144" i="11" a="1"/>
  <c r="F144" i="11" s="1"/>
  <c r="F145" i="11" a="1"/>
  <c r="F145" i="11" s="1"/>
  <c r="F146" i="11" a="1"/>
  <c r="F146" i="11" s="1"/>
  <c r="F147" i="11" a="1"/>
  <c r="F147" i="11" s="1"/>
  <c r="F148" i="11" a="1"/>
  <c r="F148" i="11" s="1"/>
  <c r="F149" i="11" a="1"/>
  <c r="F149" i="11" s="1"/>
  <c r="F150" i="11" a="1"/>
  <c r="F150" i="11" s="1"/>
  <c r="F151" i="11" a="1"/>
  <c r="F151" i="11" s="1"/>
  <c r="F152" i="11" a="1"/>
  <c r="F152" i="11" s="1"/>
  <c r="F153" i="11" a="1"/>
  <c r="F153" i="11" s="1"/>
  <c r="F154" i="11" a="1"/>
  <c r="F154" i="11" s="1"/>
  <c r="F155" i="11" a="1"/>
  <c r="F155" i="11" s="1"/>
  <c r="F156" i="11" a="1"/>
  <c r="F156" i="11" s="1"/>
  <c r="F157" i="11" a="1"/>
  <c r="F157" i="11" s="1"/>
  <c r="F158" i="11" a="1"/>
  <c r="F158" i="11" s="1"/>
  <c r="F159" i="11" a="1"/>
  <c r="F159" i="11" s="1"/>
  <c r="F160" i="11" a="1"/>
  <c r="F160" i="11" s="1"/>
  <c r="F161" i="11" a="1"/>
  <c r="F161" i="11" s="1"/>
  <c r="F162" i="11" a="1"/>
  <c r="F162" i="11" s="1"/>
  <c r="F163" i="11" a="1"/>
  <c r="F163" i="11" s="1"/>
  <c r="F164" i="11" a="1"/>
  <c r="F164" i="11" s="1"/>
  <c r="F165" i="11" a="1"/>
  <c r="F165" i="11" s="1"/>
  <c r="F166" i="11" a="1"/>
  <c r="F166" i="11" s="1"/>
  <c r="F167" i="11" a="1"/>
  <c r="F167" i="11" s="1"/>
  <c r="F168" i="11" a="1"/>
  <c r="F168" i="11" s="1"/>
  <c r="F169" i="11" a="1"/>
  <c r="F169" i="11" s="1"/>
  <c r="F170" i="11" a="1"/>
  <c r="F170" i="11" s="1"/>
  <c r="F171" i="11" a="1"/>
  <c r="F171" i="11" s="1"/>
  <c r="F172" i="11" a="1"/>
  <c r="F172" i="11" s="1"/>
  <c r="F173" i="11" a="1"/>
  <c r="F173" i="11" s="1"/>
  <c r="F174" i="11" a="1"/>
  <c r="F174" i="11" s="1"/>
  <c r="F175" i="11" a="1"/>
  <c r="F175" i="11" s="1"/>
  <c r="F176" i="11" a="1"/>
  <c r="F176" i="11" s="1"/>
  <c r="F177" i="11" a="1"/>
  <c r="F177" i="11" s="1"/>
  <c r="F178" i="11" a="1"/>
  <c r="F178" i="11" s="1"/>
  <c r="F179" i="11" a="1"/>
  <c r="F179" i="11" s="1"/>
  <c r="F180" i="11" a="1"/>
  <c r="F180" i="11" s="1"/>
  <c r="F181" i="11" a="1"/>
  <c r="F181" i="11" s="1"/>
  <c r="F182" i="11" a="1"/>
  <c r="F182" i="11" s="1"/>
  <c r="F183" i="11" a="1"/>
  <c r="F183" i="11" s="1"/>
  <c r="F184" i="11" a="1"/>
  <c r="F184" i="11" s="1"/>
  <c r="F185" i="11" a="1"/>
  <c r="F185" i="11" s="1"/>
  <c r="F186" i="11" a="1"/>
  <c r="F186" i="11" s="1"/>
  <c r="F187" i="11" a="1"/>
  <c r="F187" i="11" s="1"/>
  <c r="F188" i="11" a="1"/>
  <c r="F188" i="11" s="1"/>
  <c r="F189" i="11" a="1"/>
  <c r="F189" i="11" s="1"/>
  <c r="F190" i="11" a="1"/>
  <c r="F190" i="11" s="1"/>
  <c r="F191" i="11" a="1"/>
  <c r="F191" i="11" s="1"/>
  <c r="F192" i="11" a="1"/>
  <c r="F192" i="11" s="1"/>
  <c r="F193" i="11" a="1"/>
  <c r="F193" i="11" s="1"/>
  <c r="F194" i="11" a="1"/>
  <c r="F194" i="11" s="1"/>
  <c r="F195" i="11" a="1"/>
  <c r="F195" i="11" s="1"/>
  <c r="F196" i="11" a="1"/>
  <c r="F196" i="11" s="1"/>
  <c r="F197" i="11" a="1"/>
  <c r="F197" i="11" s="1"/>
  <c r="F198" i="11" a="1"/>
  <c r="F198" i="11" s="1"/>
  <c r="F199" i="11" a="1"/>
  <c r="F199" i="11" s="1"/>
  <c r="F200" i="11" a="1"/>
  <c r="F200" i="11" s="1"/>
  <c r="F201" i="11" a="1"/>
  <c r="F201" i="11" s="1"/>
  <c r="F202" i="11" a="1"/>
  <c r="F202" i="11" s="1"/>
  <c r="F203" i="11" a="1"/>
  <c r="F203" i="11" s="1"/>
  <c r="F204" i="11" a="1"/>
  <c r="F204" i="11" s="1"/>
  <c r="F205" i="11" a="1"/>
  <c r="F205" i="11" s="1"/>
  <c r="F206" i="11" a="1"/>
  <c r="F206" i="11" s="1"/>
  <c r="F207" i="11" a="1"/>
  <c r="F207" i="11" s="1"/>
  <c r="F208" i="11" a="1"/>
  <c r="F208" i="11" s="1"/>
  <c r="F209" i="11" a="1"/>
  <c r="F209" i="11" s="1"/>
  <c r="F210" i="11" a="1"/>
  <c r="F210" i="11" s="1"/>
  <c r="F211" i="11" a="1"/>
  <c r="F211" i="11" s="1"/>
  <c r="F212" i="11" a="1"/>
  <c r="F212" i="11" s="1"/>
  <c r="F213" i="11" a="1"/>
  <c r="F213" i="11" s="1"/>
  <c r="F214" i="11" a="1"/>
  <c r="F214" i="11" s="1"/>
  <c r="F215" i="11" a="1"/>
  <c r="F215" i="11" s="1"/>
  <c r="F216" i="11" a="1"/>
  <c r="F216" i="11" s="1"/>
  <c r="F217" i="11" a="1"/>
  <c r="F217" i="11" s="1"/>
  <c r="F218" i="11" a="1"/>
  <c r="F218" i="11" s="1"/>
  <c r="F219" i="11" a="1"/>
  <c r="F219" i="11" s="1"/>
  <c r="F220" i="11" a="1"/>
  <c r="F220" i="11" s="1"/>
  <c r="F221" i="11" a="1"/>
  <c r="F221" i="11" s="1"/>
  <c r="F222" i="11" a="1"/>
  <c r="F222" i="11" s="1"/>
  <c r="F223" i="11" a="1"/>
  <c r="F223" i="11" s="1"/>
  <c r="F224" i="11" a="1"/>
  <c r="F224" i="11" s="1"/>
  <c r="F225" i="11" a="1"/>
  <c r="F225" i="11" s="1"/>
  <c r="F226" i="11" a="1"/>
  <c r="F226" i="11" s="1"/>
  <c r="F227" i="11" a="1"/>
  <c r="F227" i="11" s="1"/>
  <c r="F228" i="11" a="1"/>
  <c r="F228" i="11" s="1"/>
  <c r="F229" i="11" a="1"/>
  <c r="F229" i="11" s="1"/>
  <c r="F230" i="11" a="1"/>
  <c r="F230" i="11" s="1"/>
  <c r="F231" i="11" a="1"/>
  <c r="F231" i="11" s="1"/>
  <c r="F232" i="11" a="1"/>
  <c r="F232" i="11" s="1"/>
  <c r="F233" i="11" a="1"/>
  <c r="F233" i="11" s="1"/>
  <c r="F234" i="11" a="1"/>
  <c r="F234" i="11" s="1"/>
  <c r="F235" i="11" a="1"/>
  <c r="F235" i="11" s="1"/>
  <c r="F236" i="11" a="1"/>
  <c r="F236" i="11" s="1"/>
  <c r="F237" i="11" a="1"/>
  <c r="F237" i="11" s="1"/>
  <c r="F238" i="11" a="1"/>
  <c r="F238" i="11" s="1"/>
  <c r="F239" i="11" a="1"/>
  <c r="F239" i="11" s="1"/>
  <c r="F240" i="11" a="1"/>
  <c r="F240" i="11" s="1"/>
  <c r="F241" i="11" a="1"/>
  <c r="F241" i="11" s="1"/>
  <c r="F242" i="11" a="1"/>
  <c r="F242" i="11" s="1"/>
  <c r="F243" i="11" a="1"/>
  <c r="F243" i="11" s="1"/>
  <c r="F244" i="11" a="1"/>
  <c r="F244" i="11" s="1"/>
  <c r="F245" i="11" a="1"/>
  <c r="F245" i="11" s="1"/>
  <c r="F246" i="11" a="1"/>
  <c r="F246" i="11" s="1"/>
  <c r="F247" i="11" a="1"/>
  <c r="F247" i="11" s="1"/>
  <c r="F248" i="11" a="1"/>
  <c r="F248" i="11" s="1"/>
  <c r="F249" i="11" a="1"/>
  <c r="F249" i="11" s="1"/>
  <c r="F250" i="11" a="1"/>
  <c r="F250" i="11" s="1"/>
  <c r="F251" i="11" a="1"/>
  <c r="F251" i="11" s="1"/>
  <c r="F252" i="11" a="1"/>
  <c r="F252" i="11" s="1"/>
  <c r="F253" i="11" a="1"/>
  <c r="F253" i="11" s="1"/>
  <c r="F254" i="11" a="1"/>
  <c r="F254" i="11" s="1"/>
  <c r="F255" i="11" a="1"/>
  <c r="F255" i="11" s="1"/>
  <c r="F256" i="11" a="1"/>
  <c r="F256" i="11" s="1"/>
  <c r="F257" i="11" a="1"/>
  <c r="F257" i="11" s="1"/>
  <c r="F258" i="11" a="1"/>
  <c r="F258" i="11" s="1"/>
  <c r="F259" i="11" a="1"/>
  <c r="F259" i="11" s="1"/>
  <c r="F260" i="11" a="1"/>
  <c r="F260" i="11" s="1"/>
  <c r="F261" i="11" a="1"/>
  <c r="F261" i="11" s="1"/>
  <c r="F262" i="11" a="1"/>
  <c r="F262" i="11" s="1"/>
  <c r="F263" i="11" a="1"/>
  <c r="F263" i="11" s="1"/>
  <c r="F264" i="11" a="1"/>
  <c r="F264" i="11" s="1"/>
  <c r="F265" i="11" a="1"/>
  <c r="F265" i="11" s="1"/>
  <c r="F266" i="11" a="1"/>
  <c r="F266" i="11" s="1"/>
  <c r="F267" i="11" a="1"/>
  <c r="F267" i="11" s="1"/>
  <c r="F268" i="11" a="1"/>
  <c r="F268" i="11" s="1"/>
  <c r="F269" i="11" a="1"/>
  <c r="F269" i="11" s="1"/>
  <c r="F270" i="11" a="1"/>
  <c r="F270" i="11" s="1"/>
  <c r="F271" i="11" a="1"/>
  <c r="F271" i="11" s="1"/>
  <c r="F272" i="11" a="1"/>
  <c r="F272" i="11" s="1"/>
  <c r="F273" i="11" a="1"/>
  <c r="F273" i="11" s="1"/>
  <c r="F274" i="11" a="1"/>
  <c r="F274" i="11" s="1"/>
  <c r="F275" i="11" a="1"/>
  <c r="F275" i="11" s="1"/>
  <c r="F276" i="11" a="1"/>
  <c r="F276" i="11" s="1"/>
  <c r="F277" i="11" a="1"/>
  <c r="F277" i="11" s="1"/>
  <c r="F278" i="11" a="1"/>
  <c r="F278" i="11" s="1"/>
  <c r="F279" i="11" a="1"/>
  <c r="F279" i="11" s="1"/>
  <c r="F280" i="11" a="1"/>
  <c r="F280" i="11" s="1"/>
  <c r="F281" i="11" a="1"/>
  <c r="F281" i="11" s="1"/>
  <c r="F282" i="11" a="1"/>
  <c r="F282" i="11" s="1"/>
  <c r="F283" i="11" a="1"/>
  <c r="F283" i="11" s="1"/>
  <c r="F284" i="11" a="1"/>
  <c r="F284" i="11" s="1"/>
  <c r="F285" i="11" a="1"/>
  <c r="F285" i="11" s="1"/>
  <c r="F286" i="11" a="1"/>
  <c r="F286" i="11" s="1"/>
  <c r="F287" i="11" a="1"/>
  <c r="F287" i="11" s="1"/>
  <c r="F288" i="11" a="1"/>
  <c r="F288" i="11" s="1"/>
  <c r="F289" i="11" a="1"/>
  <c r="F289" i="11" s="1"/>
  <c r="F290" i="11" a="1"/>
  <c r="F290" i="11" s="1"/>
  <c r="F291" i="11" a="1"/>
  <c r="F291" i="11" s="1"/>
  <c r="F292" i="11" a="1"/>
  <c r="F292" i="11" s="1"/>
  <c r="F293" i="11" a="1"/>
  <c r="F293" i="11" s="1"/>
  <c r="F294" i="11" a="1"/>
  <c r="F294" i="11" s="1"/>
  <c r="F295" i="11" a="1"/>
  <c r="F295" i="11" s="1"/>
  <c r="F296" i="11" a="1"/>
  <c r="F296" i="11" s="1"/>
  <c r="F297" i="11" a="1"/>
  <c r="F297" i="11" s="1"/>
  <c r="F298" i="11" a="1"/>
  <c r="F298" i="11" s="1"/>
  <c r="F299" i="11" a="1"/>
  <c r="F299" i="11" s="1"/>
  <c r="F300" i="11" a="1"/>
  <c r="F300" i="11" s="1"/>
  <c r="F301" i="11" a="1"/>
  <c r="F301" i="11" s="1"/>
  <c r="F302" i="11" a="1"/>
  <c r="F302" i="11" s="1"/>
  <c r="F303" i="11" a="1"/>
  <c r="F303" i="11" s="1"/>
  <c r="F304" i="11" a="1"/>
  <c r="F304" i="11" s="1"/>
  <c r="F305" i="11" a="1"/>
  <c r="F305" i="11" s="1"/>
  <c r="F306" i="11" a="1"/>
  <c r="F306" i="11" s="1"/>
  <c r="F307" i="11" a="1"/>
  <c r="F307" i="11" s="1"/>
  <c r="F308" i="11" a="1"/>
  <c r="F308" i="11" s="1"/>
  <c r="F309" i="11" a="1"/>
  <c r="F309" i="11" s="1"/>
  <c r="F310" i="11" a="1"/>
  <c r="F310" i="11" s="1"/>
  <c r="F311" i="11" a="1"/>
  <c r="F311" i="11" s="1"/>
  <c r="F312" i="11" a="1"/>
  <c r="F312" i="11" s="1"/>
  <c r="F313" i="11" a="1"/>
  <c r="F313" i="11" s="1"/>
  <c r="F314" i="11" a="1"/>
  <c r="F314" i="11" s="1"/>
  <c r="F315" i="11" a="1"/>
  <c r="F315" i="11" s="1"/>
  <c r="F316" i="11" a="1"/>
  <c r="F316" i="11" s="1"/>
  <c r="F317" i="11" a="1"/>
  <c r="F317" i="11" s="1"/>
  <c r="F318" i="11" a="1"/>
  <c r="F318" i="11" s="1"/>
  <c r="F319" i="11" a="1"/>
  <c r="F319" i="11" s="1"/>
  <c r="F320" i="11" a="1"/>
  <c r="F320" i="11" s="1"/>
  <c r="F321" i="11" a="1"/>
  <c r="F321" i="11" s="1"/>
  <c r="F322" i="11" a="1"/>
  <c r="F322" i="11" s="1"/>
  <c r="F323" i="11" a="1"/>
  <c r="F323" i="11" s="1"/>
  <c r="F324" i="11" a="1"/>
  <c r="F324" i="11" s="1"/>
  <c r="F325" i="11" a="1"/>
  <c r="F325" i="11" s="1"/>
  <c r="F326" i="11" a="1"/>
  <c r="F326" i="11" s="1"/>
  <c r="F327" i="11" a="1"/>
  <c r="F327" i="11" s="1"/>
  <c r="F328" i="11" a="1"/>
  <c r="F328" i="11" s="1"/>
  <c r="F329" i="11" a="1"/>
  <c r="F329" i="11" s="1"/>
  <c r="F330" i="11" a="1"/>
  <c r="F330" i="11" s="1"/>
  <c r="F331" i="11" a="1"/>
  <c r="F331" i="11" s="1"/>
  <c r="F332" i="11" a="1"/>
  <c r="F332" i="11" s="1"/>
  <c r="F333" i="11" a="1"/>
  <c r="F333" i="11" s="1"/>
  <c r="F334" i="11" a="1"/>
  <c r="F334" i="11" s="1"/>
  <c r="F335" i="11" a="1"/>
  <c r="F335" i="11" s="1"/>
  <c r="F336" i="11" a="1"/>
  <c r="F336" i="11" s="1"/>
  <c r="F337" i="11" a="1"/>
  <c r="F337" i="11" s="1"/>
  <c r="F338" i="11" a="1"/>
  <c r="F338" i="11" s="1"/>
  <c r="F339" i="11" a="1"/>
  <c r="F339" i="11" s="1"/>
  <c r="F340" i="11" a="1"/>
  <c r="F340" i="11" s="1"/>
  <c r="F341" i="11" a="1"/>
  <c r="F341" i="11" s="1"/>
  <c r="F342" i="11" a="1"/>
  <c r="F342" i="11" s="1"/>
  <c r="F343" i="11" a="1"/>
  <c r="F343" i="11" s="1"/>
  <c r="F344" i="11" a="1"/>
  <c r="F344" i="11" s="1"/>
  <c r="F345" i="11" a="1"/>
  <c r="F345" i="11" s="1"/>
  <c r="F346" i="11" a="1"/>
  <c r="F346" i="11" s="1"/>
  <c r="F347" i="11" a="1"/>
  <c r="F347" i="11" s="1"/>
  <c r="F348" i="11" a="1"/>
  <c r="F348" i="11" s="1"/>
  <c r="F349" i="11" a="1"/>
  <c r="F349" i="11" s="1"/>
  <c r="F350" i="11" a="1"/>
  <c r="F350" i="11" s="1"/>
  <c r="F351" i="11" a="1"/>
  <c r="F351" i="11" s="1"/>
  <c r="F352" i="11" a="1"/>
  <c r="F352" i="11" s="1"/>
  <c r="F353" i="11" a="1"/>
  <c r="F353" i="11" s="1"/>
  <c r="F354" i="11" a="1"/>
  <c r="F354" i="11" s="1"/>
  <c r="F355" i="11" a="1"/>
  <c r="F355" i="11" s="1"/>
  <c r="F356" i="11" a="1"/>
  <c r="F356" i="11" s="1"/>
  <c r="F357" i="11" a="1"/>
  <c r="F357" i="11" s="1"/>
  <c r="F358" i="11" a="1"/>
  <c r="F358" i="11" s="1"/>
  <c r="F359" i="11" a="1"/>
  <c r="F359" i="11" s="1"/>
  <c r="F360" i="11" a="1"/>
  <c r="F360" i="11" s="1"/>
  <c r="F361" i="11" a="1"/>
  <c r="F361" i="11" s="1"/>
  <c r="F362" i="11" a="1"/>
  <c r="F362" i="11" s="1"/>
  <c r="F363" i="11" a="1"/>
  <c r="F363" i="11" s="1"/>
  <c r="F364" i="11" a="1"/>
  <c r="F364" i="11" s="1"/>
  <c r="F365" i="11" a="1"/>
  <c r="F365" i="11" s="1"/>
  <c r="F366" i="11" a="1"/>
  <c r="F366" i="11" s="1"/>
  <c r="F367" i="11" a="1"/>
  <c r="F367" i="11" s="1"/>
  <c r="F368" i="11" a="1"/>
  <c r="F368" i="11" s="1"/>
  <c r="F369" i="11" a="1"/>
  <c r="F369" i="11" s="1"/>
  <c r="F370" i="11" a="1"/>
  <c r="F370" i="11" s="1"/>
  <c r="F371" i="11" a="1"/>
  <c r="F371" i="11" s="1"/>
  <c r="F372" i="11" a="1"/>
  <c r="F372" i="11" s="1"/>
  <c r="F373" i="11" a="1"/>
  <c r="F373" i="11" s="1"/>
  <c r="F374" i="11" a="1"/>
  <c r="F374" i="11" s="1"/>
  <c r="F375" i="11" a="1"/>
  <c r="F375" i="11" s="1"/>
  <c r="F376" i="11" a="1"/>
  <c r="F376" i="11" s="1"/>
  <c r="F377" i="11" a="1"/>
  <c r="F377" i="11" s="1"/>
  <c r="F378" i="11" a="1"/>
  <c r="F378" i="11" s="1"/>
  <c r="F379" i="11" a="1"/>
  <c r="F379" i="11" s="1"/>
  <c r="F380" i="11" a="1"/>
  <c r="F380" i="11" s="1"/>
  <c r="F381" i="11" a="1"/>
  <c r="F381" i="11" s="1"/>
  <c r="F382" i="11" a="1"/>
  <c r="F382" i="11" s="1"/>
  <c r="F383" i="11" a="1"/>
  <c r="F383" i="11" s="1"/>
  <c r="F384" i="11" a="1"/>
  <c r="F384" i="11" s="1"/>
  <c r="F385" i="11" a="1"/>
  <c r="F385" i="11" s="1"/>
  <c r="F386" i="11" a="1"/>
  <c r="F386" i="11" s="1"/>
  <c r="F387" i="11" a="1"/>
  <c r="F387" i="11" s="1"/>
  <c r="F388" i="11" a="1"/>
  <c r="F388" i="11" s="1"/>
  <c r="F389" i="11" a="1"/>
  <c r="F389" i="11" s="1"/>
  <c r="F390" i="11" a="1"/>
  <c r="F390" i="11" s="1"/>
  <c r="F391" i="11" a="1"/>
  <c r="F391" i="11" s="1"/>
  <c r="F392" i="11" a="1"/>
  <c r="F392" i="11" s="1"/>
  <c r="F393" i="11" a="1"/>
  <c r="F393" i="11" s="1"/>
  <c r="F394" i="11" a="1"/>
  <c r="F394" i="11" s="1"/>
  <c r="F395" i="11" a="1"/>
  <c r="F395" i="11" s="1"/>
  <c r="F396" i="11" a="1"/>
  <c r="F396" i="11" s="1"/>
  <c r="F397" i="11" a="1"/>
  <c r="F397" i="11" s="1"/>
  <c r="F398" i="11" a="1"/>
  <c r="F398" i="11" s="1"/>
  <c r="F399" i="11" a="1"/>
  <c r="F399" i="11" s="1"/>
  <c r="F400" i="11" a="1"/>
  <c r="F400" i="11" s="1"/>
  <c r="F401" i="11" a="1"/>
  <c r="F401" i="11" s="1"/>
  <c r="F402" i="11" a="1"/>
  <c r="F402" i="11" s="1"/>
  <c r="F403" i="11" a="1"/>
  <c r="F403" i="11" s="1"/>
  <c r="F404" i="11" a="1"/>
  <c r="F404" i="11" s="1"/>
  <c r="F405" i="11" a="1"/>
  <c r="F405" i="11" s="1"/>
  <c r="F406" i="11" a="1"/>
  <c r="F406" i="11" s="1"/>
  <c r="F407" i="11" a="1"/>
  <c r="F407" i="11" s="1"/>
  <c r="F408" i="11" a="1"/>
  <c r="F408" i="11" s="1"/>
  <c r="F409" i="11" a="1"/>
  <c r="F409" i="11" s="1"/>
  <c r="F410" i="11" a="1"/>
  <c r="F410" i="11" s="1"/>
  <c r="F411" i="11" a="1"/>
  <c r="F411" i="11" s="1"/>
  <c r="F412" i="11" a="1"/>
  <c r="F412" i="11" s="1"/>
  <c r="F413" i="11" a="1"/>
  <c r="F413" i="11" s="1"/>
  <c r="F414" i="11" a="1"/>
  <c r="F414" i="11" s="1"/>
  <c r="F415" i="11" a="1"/>
  <c r="F415" i="11" s="1"/>
  <c r="F416" i="11" a="1"/>
  <c r="F416" i="11" s="1"/>
  <c r="F417" i="11" a="1"/>
  <c r="F417" i="11" s="1"/>
  <c r="F418" i="11" a="1"/>
  <c r="F418" i="11" s="1"/>
  <c r="F419" i="11" a="1"/>
  <c r="F419" i="11" s="1"/>
  <c r="F420" i="11" a="1"/>
  <c r="F420" i="11" s="1"/>
  <c r="F421" i="11" a="1"/>
  <c r="F421" i="11" s="1"/>
  <c r="F422" i="11" a="1"/>
  <c r="F422" i="11" s="1"/>
  <c r="F423" i="11" a="1"/>
  <c r="F423" i="11" s="1"/>
  <c r="F424" i="11" a="1"/>
  <c r="F424" i="11" s="1"/>
  <c r="F425" i="11" a="1"/>
  <c r="F425" i="11" s="1"/>
  <c r="F426" i="11" a="1"/>
  <c r="F426" i="11" s="1"/>
  <c r="F427" i="11" a="1"/>
  <c r="F427" i="11" s="1"/>
  <c r="F428" i="11" a="1"/>
  <c r="F428" i="11" s="1"/>
  <c r="F429" i="11" a="1"/>
  <c r="F429" i="11" s="1"/>
  <c r="F430" i="11" a="1"/>
  <c r="F430" i="11" s="1"/>
  <c r="F431" i="11" a="1"/>
  <c r="F431" i="11" s="1"/>
  <c r="F432" i="11" a="1"/>
  <c r="F432" i="11" s="1"/>
  <c r="F433" i="11" a="1"/>
  <c r="F433" i="11" s="1"/>
  <c r="F434" i="11" a="1"/>
  <c r="F434" i="11" s="1"/>
  <c r="F435" i="11" a="1"/>
  <c r="F435" i="11" s="1"/>
  <c r="F436" i="11" a="1"/>
  <c r="F436" i="11" s="1"/>
  <c r="F437" i="11" a="1"/>
  <c r="F437" i="11" s="1"/>
  <c r="F438" i="11" a="1"/>
  <c r="F438" i="11" s="1"/>
  <c r="F439" i="11" a="1"/>
  <c r="F439" i="11" s="1"/>
  <c r="F440" i="11" a="1"/>
  <c r="F440" i="11" s="1"/>
  <c r="F441" i="11" a="1"/>
  <c r="F441" i="11" s="1"/>
  <c r="F442" i="11" a="1"/>
  <c r="F442" i="11" s="1"/>
  <c r="F443" i="11" a="1"/>
  <c r="F443" i="11" s="1"/>
  <c r="F444" i="11" a="1"/>
  <c r="F444" i="11" s="1"/>
  <c r="F445" i="11" a="1"/>
  <c r="F445" i="11" s="1"/>
  <c r="F446" i="11" a="1"/>
  <c r="F446" i="11" s="1"/>
  <c r="F447" i="11" a="1"/>
  <c r="F447" i="11" s="1"/>
  <c r="F448" i="11" a="1"/>
  <c r="F448" i="11" s="1"/>
  <c r="F449" i="11" a="1"/>
  <c r="F449" i="11" s="1"/>
  <c r="F450" i="11" a="1"/>
  <c r="F450" i="11" s="1"/>
  <c r="F451" i="11" a="1"/>
  <c r="F451" i="11" s="1"/>
  <c r="F452" i="11" a="1"/>
  <c r="F452" i="11" s="1"/>
  <c r="F453" i="11" a="1"/>
  <c r="F453" i="11" s="1"/>
  <c r="F454" i="11" a="1"/>
  <c r="F454" i="11" s="1"/>
  <c r="F455" i="11" a="1"/>
  <c r="F455" i="11" s="1"/>
  <c r="F456" i="11" a="1"/>
  <c r="F456" i="11" s="1"/>
  <c r="F457" i="11" a="1"/>
  <c r="F457" i="11" s="1"/>
  <c r="F458" i="11" a="1"/>
  <c r="F458" i="11" s="1"/>
  <c r="F459" i="11" a="1"/>
  <c r="F459" i="11" s="1"/>
  <c r="F460" i="11" a="1"/>
  <c r="F460" i="11" s="1"/>
  <c r="F461" i="11" a="1"/>
  <c r="F461" i="11" s="1"/>
  <c r="F462" i="11" a="1"/>
  <c r="F462" i="11" s="1"/>
  <c r="F463" i="11" a="1"/>
  <c r="F463" i="11" s="1"/>
  <c r="F464" i="11" a="1"/>
  <c r="F464" i="11" s="1"/>
  <c r="F465" i="11" a="1"/>
  <c r="F465" i="11" s="1"/>
  <c r="F466" i="11" a="1"/>
  <c r="F466" i="11" s="1"/>
  <c r="F467" i="11" a="1"/>
  <c r="F467" i="11" s="1"/>
  <c r="F468" i="11" a="1"/>
  <c r="F468" i="11" s="1"/>
  <c r="F469" i="11" a="1"/>
  <c r="F469" i="11" s="1"/>
  <c r="F470" i="11" a="1"/>
  <c r="F470" i="11" s="1"/>
  <c r="F471" i="11" a="1"/>
  <c r="F471" i="11" s="1"/>
  <c r="F472" i="11" a="1"/>
  <c r="F472" i="11" s="1"/>
  <c r="F473" i="11" a="1"/>
  <c r="F473" i="11" s="1"/>
  <c r="F474" i="11" a="1"/>
  <c r="F474" i="11" s="1"/>
  <c r="F475" i="11" a="1"/>
  <c r="F475" i="11" s="1"/>
  <c r="F476" i="11" a="1"/>
  <c r="F476" i="11" s="1"/>
  <c r="F477" i="11" a="1"/>
  <c r="F477" i="11" s="1"/>
  <c r="F478" i="11" a="1"/>
  <c r="F478" i="11" s="1"/>
  <c r="F479" i="11" a="1"/>
  <c r="F479" i="11" s="1"/>
  <c r="F480" i="11" a="1"/>
  <c r="F480" i="11" s="1"/>
  <c r="F481" i="11" a="1"/>
  <c r="F481" i="11" s="1"/>
  <c r="F482" i="11" a="1"/>
  <c r="F482" i="11" s="1"/>
  <c r="F483" i="11" a="1"/>
  <c r="F483" i="11" s="1"/>
  <c r="F484" i="11" a="1"/>
  <c r="F484" i="11" s="1"/>
  <c r="F485" i="11" a="1"/>
  <c r="F485" i="11" s="1"/>
  <c r="F486" i="11" a="1"/>
  <c r="F486" i="11" s="1"/>
  <c r="F487" i="11" a="1"/>
  <c r="F487" i="11" s="1"/>
  <c r="F488" i="11" a="1"/>
  <c r="F488" i="11" s="1"/>
  <c r="F489" i="11" a="1"/>
  <c r="F489" i="11" s="1"/>
  <c r="F490" i="11" a="1"/>
  <c r="F490" i="11" s="1"/>
  <c r="F491" i="11" a="1"/>
  <c r="F491" i="11" s="1"/>
  <c r="F492" i="11" a="1"/>
  <c r="F492" i="11" s="1"/>
  <c r="F493" i="11" a="1"/>
  <c r="F493" i="11" s="1"/>
  <c r="F494" i="11" a="1"/>
  <c r="F494" i="11" s="1"/>
  <c r="F495" i="11" a="1"/>
  <c r="F495" i="11" s="1"/>
  <c r="F496" i="11" a="1"/>
  <c r="F496" i="11" s="1"/>
  <c r="F497" i="11" a="1"/>
  <c r="F497" i="11" s="1"/>
  <c r="F498" i="11" a="1"/>
  <c r="F498" i="11" s="1"/>
  <c r="F499" i="11" a="1"/>
  <c r="F499" i="11" s="1"/>
  <c r="F500" i="11" a="1"/>
  <c r="F500" i="11" s="1"/>
  <c r="F501" i="11" a="1"/>
  <c r="F501" i="11" s="1"/>
  <c r="F502" i="11" a="1"/>
  <c r="F502" i="11" s="1"/>
  <c r="F503" i="11" a="1"/>
  <c r="F503" i="11" s="1"/>
  <c r="F504" i="11" a="1"/>
  <c r="F504" i="11" s="1"/>
  <c r="F505" i="11" a="1"/>
  <c r="F505" i="11" s="1"/>
  <c r="F506" i="11" a="1"/>
  <c r="F506" i="11" s="1"/>
  <c r="F507" i="11" a="1"/>
  <c r="F507" i="11" s="1"/>
  <c r="F508" i="11" a="1"/>
  <c r="F508" i="11" s="1"/>
  <c r="F509" i="11" a="1"/>
  <c r="F509" i="11" s="1"/>
  <c r="F510" i="11" a="1"/>
  <c r="F510" i="11" s="1"/>
  <c r="F511" i="11" a="1"/>
  <c r="F511" i="11" s="1"/>
  <c r="F512" i="11" a="1"/>
  <c r="F512" i="11" s="1"/>
  <c r="F513" i="11" a="1"/>
  <c r="F513" i="11" s="1"/>
  <c r="F514" i="11" a="1"/>
  <c r="F514" i="11" s="1"/>
  <c r="F515" i="11" a="1"/>
  <c r="F515" i="11" s="1"/>
  <c r="F516" i="11" a="1"/>
  <c r="F516" i="11" s="1"/>
  <c r="F517" i="11" a="1"/>
  <c r="F517" i="11" s="1"/>
  <c r="F518" i="11" a="1"/>
  <c r="F518" i="11" s="1"/>
  <c r="F519" i="11" a="1"/>
  <c r="F519" i="11" s="1"/>
  <c r="F520" i="11" a="1"/>
  <c r="F520" i="11" s="1"/>
  <c r="F521" i="11" a="1"/>
  <c r="F521" i="11" s="1"/>
  <c r="F522" i="11" a="1"/>
  <c r="F522" i="11" s="1"/>
  <c r="F523" i="11" a="1"/>
  <c r="F523" i="11" s="1"/>
  <c r="F524" i="11" a="1"/>
  <c r="F524" i="11" s="1"/>
  <c r="F525" i="11" a="1"/>
  <c r="F525" i="11" s="1"/>
  <c r="F526" i="11" a="1"/>
  <c r="F526" i="11" s="1"/>
  <c r="F527" i="11" a="1"/>
  <c r="F527" i="11" s="1"/>
  <c r="F528" i="11" a="1"/>
  <c r="F528" i="11" s="1"/>
  <c r="F529" i="11" a="1"/>
  <c r="F529" i="11" s="1"/>
  <c r="F530" i="11" a="1"/>
  <c r="F530" i="11" s="1"/>
  <c r="F531" i="11" a="1"/>
  <c r="F531" i="11" s="1"/>
  <c r="F532" i="11" a="1"/>
  <c r="F532" i="11" s="1"/>
  <c r="F533" i="11" a="1"/>
  <c r="F533" i="11" s="1"/>
  <c r="F534" i="11" a="1"/>
  <c r="F534" i="11" s="1"/>
  <c r="F535" i="11" a="1"/>
  <c r="F535" i="11" s="1"/>
  <c r="F536" i="11" a="1"/>
  <c r="F536" i="11" s="1"/>
  <c r="F537" i="11" a="1"/>
  <c r="F537" i="11" s="1"/>
  <c r="F538" i="11" a="1"/>
  <c r="F538" i="11" s="1"/>
  <c r="F539" i="11" a="1"/>
  <c r="F539" i="11" s="1"/>
  <c r="F540" i="11" a="1"/>
  <c r="F540" i="11" s="1"/>
  <c r="F541" i="11" a="1"/>
  <c r="F541" i="11" s="1"/>
  <c r="F542" i="11" a="1"/>
  <c r="F542" i="11" s="1"/>
  <c r="F543" i="11" a="1"/>
  <c r="F543" i="11" s="1"/>
  <c r="F544" i="11" a="1"/>
  <c r="F544" i="11" s="1"/>
  <c r="F545" i="11" a="1"/>
  <c r="F545" i="11" s="1"/>
  <c r="F546" i="11" a="1"/>
  <c r="F546" i="11" s="1"/>
  <c r="F547" i="11" a="1"/>
  <c r="F547" i="11" s="1"/>
  <c r="F548" i="11" a="1"/>
  <c r="F548" i="11" s="1"/>
  <c r="F549" i="11" a="1"/>
  <c r="F549" i="11" s="1"/>
  <c r="F550" i="11" a="1"/>
  <c r="F550" i="11" s="1"/>
  <c r="F551" i="11" a="1"/>
  <c r="F551" i="11" s="1"/>
  <c r="F552" i="11" a="1"/>
  <c r="F552" i="11" s="1"/>
  <c r="F553" i="11" a="1"/>
  <c r="F553" i="11" s="1"/>
  <c r="F554" i="11" a="1"/>
  <c r="F554" i="11" s="1"/>
  <c r="F555" i="11" a="1"/>
  <c r="F555" i="11" s="1"/>
  <c r="F556" i="11" a="1"/>
  <c r="F556" i="11" s="1"/>
  <c r="F557" i="11" a="1"/>
  <c r="F557" i="11" s="1"/>
  <c r="F558" i="11" a="1"/>
  <c r="F558" i="11" s="1"/>
  <c r="F559" i="11" a="1"/>
  <c r="F559" i="11" s="1"/>
  <c r="F560" i="11" a="1"/>
  <c r="F560" i="11" s="1"/>
  <c r="F561" i="11" a="1"/>
  <c r="F561" i="11" s="1"/>
  <c r="F562" i="11" a="1"/>
  <c r="F562" i="11" s="1"/>
  <c r="F563" i="11" a="1"/>
  <c r="F563" i="11" s="1"/>
  <c r="F564" i="11" a="1"/>
  <c r="F564" i="11" s="1"/>
  <c r="F565" i="11" a="1"/>
  <c r="F565" i="11" s="1"/>
  <c r="F566" i="11" a="1"/>
  <c r="F566" i="11" s="1"/>
  <c r="F567" i="11" a="1"/>
  <c r="F567" i="11" s="1"/>
  <c r="F568" i="11" a="1"/>
  <c r="F568" i="11" s="1"/>
  <c r="F569" i="11" a="1"/>
  <c r="F569" i="11" s="1"/>
  <c r="F570" i="11" a="1"/>
  <c r="F570" i="11" s="1"/>
  <c r="F571" i="11" a="1"/>
  <c r="F571" i="11" s="1"/>
  <c r="F572" i="11" a="1"/>
  <c r="F572" i="11" s="1"/>
  <c r="F573" i="11" a="1"/>
  <c r="F573" i="11" s="1"/>
  <c r="F574" i="11" a="1"/>
  <c r="F574" i="11" s="1"/>
  <c r="F575" i="11" a="1"/>
  <c r="F575" i="11" s="1"/>
  <c r="F576" i="11" a="1"/>
  <c r="F576" i="11" s="1"/>
  <c r="F577" i="11" a="1"/>
  <c r="F577" i="11" s="1"/>
  <c r="F578" i="11" a="1"/>
  <c r="F578" i="11" s="1"/>
  <c r="F579" i="11" a="1"/>
  <c r="F579" i="11" s="1"/>
  <c r="F580" i="11" a="1"/>
  <c r="F580" i="11" s="1"/>
  <c r="F581" i="11" a="1"/>
  <c r="F581" i="11" s="1"/>
  <c r="F582" i="11" a="1"/>
  <c r="F582" i="11" s="1"/>
  <c r="F583" i="11" a="1"/>
  <c r="F583" i="11" s="1"/>
  <c r="F584" i="11" a="1"/>
  <c r="F584" i="11" s="1"/>
  <c r="F585" i="11" a="1"/>
  <c r="F585" i="11" s="1"/>
  <c r="F586" i="11" a="1"/>
  <c r="F586" i="11" s="1"/>
  <c r="F587" i="11" a="1"/>
  <c r="F587" i="11" s="1"/>
  <c r="F588" i="11" a="1"/>
  <c r="F588" i="11" s="1"/>
  <c r="F589" i="11" a="1"/>
  <c r="F589" i="11" s="1"/>
  <c r="F590" i="11" a="1"/>
  <c r="F590" i="11" s="1"/>
  <c r="F591" i="11" a="1"/>
  <c r="F591" i="11" s="1"/>
  <c r="F592" i="11" a="1"/>
  <c r="F592" i="11" s="1"/>
  <c r="F593" i="11" a="1"/>
  <c r="F593" i="11" s="1"/>
  <c r="F594" i="11" a="1"/>
  <c r="F594" i="11" s="1"/>
  <c r="F595" i="11" a="1"/>
  <c r="F595" i="11" s="1"/>
  <c r="F596" i="11" a="1"/>
  <c r="F596" i="11" s="1"/>
  <c r="F597" i="11" a="1"/>
  <c r="F597" i="11" s="1"/>
  <c r="F598" i="11" a="1"/>
  <c r="F598" i="11" s="1"/>
  <c r="F599" i="11" a="1"/>
  <c r="F599" i="11" s="1"/>
  <c r="F600" i="11" a="1"/>
  <c r="F600" i="11" s="1"/>
  <c r="F601" i="11" a="1"/>
  <c r="F601" i="11" s="1"/>
  <c r="F602" i="11" a="1"/>
  <c r="F602" i="11" s="1"/>
  <c r="F603" i="11" a="1"/>
  <c r="F603" i="11" s="1"/>
  <c r="F604" i="11" a="1"/>
  <c r="F604" i="11" s="1"/>
  <c r="F605" i="11" a="1"/>
  <c r="F605" i="11" s="1"/>
  <c r="F606" i="11" a="1"/>
  <c r="F606" i="11" s="1"/>
  <c r="F607" i="11" a="1"/>
  <c r="F607" i="11" s="1"/>
  <c r="F608" i="11" a="1"/>
  <c r="F608" i="11" s="1"/>
  <c r="F609" i="11" a="1"/>
  <c r="F609" i="11" s="1"/>
  <c r="F610" i="11" a="1"/>
  <c r="F610" i="11" s="1"/>
  <c r="F611" i="11" a="1"/>
  <c r="F611" i="11" s="1"/>
  <c r="F612" i="11" a="1"/>
  <c r="F612" i="11" s="1"/>
  <c r="F613" i="11" a="1"/>
  <c r="F613" i="11" s="1"/>
  <c r="F614" i="11" a="1"/>
  <c r="F614" i="11" s="1"/>
  <c r="F615" i="11" a="1"/>
  <c r="F615" i="11" s="1"/>
  <c r="F616" i="11" a="1"/>
  <c r="F616" i="11" s="1"/>
  <c r="F617" i="11" a="1"/>
  <c r="F617" i="11" s="1"/>
  <c r="F618" i="11" a="1"/>
  <c r="F618" i="11" s="1"/>
  <c r="F619" i="11" a="1"/>
  <c r="F619" i="11" s="1"/>
  <c r="F620" i="11" a="1"/>
  <c r="F620" i="11" s="1"/>
  <c r="F621" i="11" a="1"/>
  <c r="F621" i="11" s="1"/>
  <c r="F622" i="11" a="1"/>
  <c r="F622" i="11" s="1"/>
  <c r="F623" i="11" a="1"/>
  <c r="F623" i="11" s="1"/>
  <c r="F624" i="11" a="1"/>
  <c r="F624" i="11" s="1"/>
  <c r="F625" i="11" a="1"/>
  <c r="F625" i="11" s="1"/>
  <c r="F626" i="11" a="1"/>
  <c r="F626" i="11" s="1"/>
  <c r="F627" i="11" a="1"/>
  <c r="F627" i="11" s="1"/>
  <c r="F628" i="11" a="1"/>
  <c r="F628" i="11" s="1"/>
  <c r="F629" i="11" a="1"/>
  <c r="F629" i="11" s="1"/>
  <c r="F630" i="11" a="1"/>
  <c r="F630" i="11" s="1"/>
  <c r="F631" i="11" a="1"/>
  <c r="F631" i="11" s="1"/>
  <c r="F632" i="11" a="1"/>
  <c r="F632" i="11" s="1"/>
  <c r="F633" i="11" a="1"/>
  <c r="F633" i="11" s="1"/>
  <c r="F634" i="11" a="1"/>
  <c r="F634" i="11" s="1"/>
  <c r="F635" i="11" a="1"/>
  <c r="F635" i="11" s="1"/>
  <c r="F636" i="11" a="1"/>
  <c r="F636" i="11" s="1"/>
  <c r="F637" i="11" a="1"/>
  <c r="F637" i="11" s="1"/>
  <c r="F638" i="11" a="1"/>
  <c r="F638" i="11" s="1"/>
  <c r="F639" i="11" a="1"/>
  <c r="F639" i="11" s="1"/>
  <c r="F640" i="11" a="1"/>
  <c r="F640" i="11" s="1"/>
  <c r="F641" i="11" a="1"/>
  <c r="F641" i="11" s="1"/>
  <c r="F642" i="11" a="1"/>
  <c r="F642" i="11" s="1"/>
  <c r="F643" i="11" a="1"/>
  <c r="F643" i="11" s="1"/>
  <c r="F644" i="11" a="1"/>
  <c r="F644" i="11" s="1"/>
  <c r="F645" i="11" a="1"/>
  <c r="F645" i="11" s="1"/>
  <c r="F646" i="11" a="1"/>
  <c r="F646" i="11" s="1"/>
  <c r="F647" i="11" a="1"/>
  <c r="F647" i="11" s="1"/>
  <c r="F648" i="11" a="1"/>
  <c r="F648" i="11" s="1"/>
  <c r="F649" i="11" a="1"/>
  <c r="F649" i="11" s="1"/>
  <c r="F650" i="11" a="1"/>
  <c r="F650" i="11" s="1"/>
  <c r="F651" i="11" a="1"/>
  <c r="F651" i="11" s="1"/>
  <c r="F652" i="11" a="1"/>
  <c r="F652" i="11" s="1"/>
  <c r="F653" i="11" a="1"/>
  <c r="F653" i="11" s="1"/>
  <c r="F654" i="11" a="1"/>
  <c r="F654" i="11" s="1"/>
  <c r="F655" i="11" a="1"/>
  <c r="F655" i="11" s="1"/>
  <c r="F656" i="11" a="1"/>
  <c r="F656" i="11" s="1"/>
  <c r="F657" i="11" a="1"/>
  <c r="F657" i="11" s="1"/>
  <c r="F658" i="11" a="1"/>
  <c r="F658" i="11" s="1"/>
  <c r="F659" i="11" a="1"/>
  <c r="F659" i="11" s="1"/>
  <c r="F660" i="11" a="1"/>
  <c r="F660" i="11" s="1"/>
  <c r="F661" i="11" a="1"/>
  <c r="F661" i="11" s="1"/>
  <c r="F662" i="11" a="1"/>
  <c r="F662" i="11" s="1"/>
  <c r="F663" i="11" a="1"/>
  <c r="F663" i="11" s="1"/>
  <c r="F664" i="11" a="1"/>
  <c r="F664" i="11" s="1"/>
  <c r="F665" i="11" a="1"/>
  <c r="F665" i="11" s="1"/>
  <c r="F666" i="11" a="1"/>
  <c r="F666" i="11" s="1"/>
  <c r="F667" i="11" a="1"/>
  <c r="F667" i="11" s="1"/>
  <c r="F668" i="11" a="1"/>
  <c r="F668" i="11" s="1"/>
  <c r="F669" i="11" a="1"/>
  <c r="F669" i="11" s="1"/>
  <c r="F670" i="11" a="1"/>
  <c r="F670" i="11" s="1"/>
  <c r="F671" i="11" a="1"/>
  <c r="F671" i="11" s="1"/>
  <c r="F672" i="11" a="1"/>
  <c r="F672" i="11" s="1"/>
  <c r="F673" i="11" a="1"/>
  <c r="F673" i="11" s="1"/>
  <c r="F674" i="11" a="1"/>
  <c r="F674" i="11" s="1"/>
  <c r="F675" i="11" a="1"/>
  <c r="F675" i="11" s="1"/>
  <c r="F676" i="11" a="1"/>
  <c r="F676" i="11" s="1"/>
  <c r="F677" i="11" a="1"/>
  <c r="F677" i="11" s="1"/>
  <c r="F678" i="11" a="1"/>
  <c r="F678" i="11" s="1"/>
  <c r="F679" i="11" a="1"/>
  <c r="F679" i="11" s="1"/>
  <c r="F680" i="11" a="1"/>
  <c r="F680" i="11" s="1"/>
  <c r="F681" i="11" a="1"/>
  <c r="F681" i="11" s="1"/>
  <c r="F682" i="11" a="1"/>
  <c r="F682" i="11" s="1"/>
  <c r="F683" i="11" a="1"/>
  <c r="F683" i="11" s="1"/>
  <c r="F684" i="11" a="1"/>
  <c r="F684" i="11" s="1"/>
  <c r="F685" i="11" a="1"/>
  <c r="F685" i="11" s="1"/>
  <c r="F686" i="11" a="1"/>
  <c r="F686" i="11" s="1"/>
  <c r="F687" i="11" a="1"/>
  <c r="F687" i="11" s="1"/>
  <c r="F688" i="11" a="1"/>
  <c r="F688" i="11" s="1"/>
  <c r="F689" i="11" a="1"/>
  <c r="F689" i="11" s="1"/>
  <c r="F690" i="11" a="1"/>
  <c r="F690" i="11" s="1"/>
  <c r="F691" i="11" a="1"/>
  <c r="F691" i="11" s="1"/>
  <c r="F692" i="11" a="1"/>
  <c r="F692" i="11" s="1"/>
  <c r="F693" i="11" a="1"/>
  <c r="F693" i="11" s="1"/>
  <c r="F694" i="11" a="1"/>
  <c r="F694" i="11" s="1"/>
  <c r="F695" i="11" a="1"/>
  <c r="F695" i="11" s="1"/>
  <c r="F696" i="11" a="1"/>
  <c r="F696" i="11" s="1"/>
  <c r="F697" i="11" a="1"/>
  <c r="F697" i="11" s="1"/>
  <c r="F698" i="11" a="1"/>
  <c r="F698" i="11" s="1"/>
  <c r="F699" i="11" a="1"/>
  <c r="F699" i="11" s="1"/>
  <c r="F700" i="11" a="1"/>
  <c r="F700" i="11" s="1"/>
  <c r="F701" i="11" a="1"/>
  <c r="F701" i="11" s="1"/>
  <c r="F702" i="11" a="1"/>
  <c r="F702" i="11" s="1"/>
  <c r="F703" i="11" a="1"/>
  <c r="F703" i="11" s="1"/>
  <c r="F704" i="11" a="1"/>
  <c r="F704" i="11" s="1"/>
  <c r="F705" i="11" a="1"/>
  <c r="F705" i="11" s="1"/>
  <c r="F706" i="11" a="1"/>
  <c r="F706" i="11" s="1"/>
  <c r="F707" i="11" a="1"/>
  <c r="F707" i="11" s="1"/>
  <c r="F708" i="11" a="1"/>
  <c r="F708" i="11" s="1"/>
  <c r="F709" i="11" a="1"/>
  <c r="F709" i="11" s="1"/>
  <c r="F710" i="11" a="1"/>
  <c r="F710" i="11" s="1"/>
  <c r="F711" i="11" a="1"/>
  <c r="F711" i="11" s="1"/>
  <c r="F712" i="11" a="1"/>
  <c r="F712" i="11" s="1"/>
  <c r="F713" i="11" a="1"/>
  <c r="F713" i="11" s="1"/>
  <c r="F714" i="11" a="1"/>
  <c r="F714" i="11" s="1"/>
  <c r="F715" i="11" a="1"/>
  <c r="F715" i="11" s="1"/>
  <c r="F716" i="11" a="1"/>
  <c r="F716" i="11" s="1"/>
  <c r="F717" i="11" a="1"/>
  <c r="F717" i="11" s="1"/>
  <c r="F718" i="11" a="1"/>
  <c r="F718" i="11" s="1"/>
  <c r="F719" i="11" a="1"/>
  <c r="F719" i="11" s="1"/>
  <c r="F720" i="11" a="1"/>
  <c r="F720" i="11" s="1"/>
  <c r="F721" i="11" a="1"/>
  <c r="F721" i="11" s="1"/>
  <c r="F722" i="11" a="1"/>
  <c r="F722" i="11" s="1"/>
  <c r="F723" i="11" a="1"/>
  <c r="F723" i="11" s="1"/>
  <c r="F724" i="11" a="1"/>
  <c r="F724" i="11" s="1"/>
  <c r="F725" i="11" a="1"/>
  <c r="F725" i="11" s="1"/>
  <c r="F726" i="11" a="1"/>
  <c r="F726" i="11" s="1"/>
  <c r="F727" i="11" a="1"/>
  <c r="F727" i="11" s="1"/>
  <c r="F728" i="11" a="1"/>
  <c r="F728" i="11" s="1"/>
  <c r="F729" i="11" a="1"/>
  <c r="F729" i="11" s="1"/>
  <c r="F730" i="11" a="1"/>
  <c r="F730" i="11" s="1"/>
  <c r="F731" i="11" a="1"/>
  <c r="F731" i="11" s="1"/>
  <c r="F732" i="11" a="1"/>
  <c r="F732" i="11" s="1"/>
  <c r="F733" i="11" a="1"/>
  <c r="F733" i="11" s="1"/>
  <c r="F734" i="11" a="1"/>
  <c r="F734" i="11" s="1"/>
  <c r="F735" i="11" a="1"/>
  <c r="F735" i="11" s="1"/>
  <c r="F736" i="11" a="1"/>
  <c r="F736" i="11" s="1"/>
  <c r="F737" i="11" a="1"/>
  <c r="F737" i="11" s="1"/>
  <c r="F738" i="11" a="1"/>
  <c r="F738" i="11" s="1"/>
  <c r="F739" i="11" a="1"/>
  <c r="F739" i="11" s="1"/>
  <c r="F740" i="11" a="1"/>
  <c r="F740" i="11" s="1"/>
  <c r="F741" i="11" a="1"/>
  <c r="F741" i="11" s="1"/>
  <c r="F742" i="11" a="1"/>
  <c r="F742" i="11" s="1"/>
  <c r="F743" i="11" a="1"/>
  <c r="F743" i="11" s="1"/>
  <c r="F744" i="11" a="1"/>
  <c r="F744" i="11" s="1"/>
  <c r="F745" i="11" a="1"/>
  <c r="F745" i="11" s="1"/>
  <c r="F746" i="11" a="1"/>
  <c r="F746" i="11" s="1"/>
  <c r="F747" i="11" a="1"/>
  <c r="F747" i="11" s="1"/>
  <c r="F748" i="11" a="1"/>
  <c r="F748" i="11" s="1"/>
  <c r="F749" i="11" a="1"/>
  <c r="F749" i="11" s="1"/>
  <c r="F750" i="11" a="1"/>
  <c r="F750" i="11" s="1"/>
  <c r="F751" i="11" a="1"/>
  <c r="F751" i="11" s="1"/>
  <c r="F752" i="11" a="1"/>
  <c r="F752" i="11" s="1"/>
  <c r="F753" i="11" a="1"/>
  <c r="F753" i="11" s="1"/>
  <c r="F754" i="11" a="1"/>
  <c r="F754" i="11" s="1"/>
  <c r="F755" i="11" a="1"/>
  <c r="F755" i="11" s="1"/>
  <c r="F756" i="11" a="1"/>
  <c r="F756" i="11" s="1"/>
  <c r="F757" i="11" a="1"/>
  <c r="F757" i="11" s="1"/>
  <c r="F758" i="11" a="1"/>
  <c r="F758" i="11" s="1"/>
  <c r="F759" i="11" a="1"/>
  <c r="F759" i="11" s="1"/>
  <c r="F760" i="11" a="1"/>
  <c r="F760" i="11" s="1"/>
  <c r="F761" i="11" a="1"/>
  <c r="F761" i="11" s="1"/>
  <c r="F762" i="11" a="1"/>
  <c r="F762" i="11" s="1"/>
  <c r="F763" i="11" a="1"/>
  <c r="F763" i="11" s="1"/>
  <c r="F764" i="11" a="1"/>
  <c r="F764" i="11" s="1"/>
  <c r="F765" i="11" a="1"/>
  <c r="F765" i="11" s="1"/>
  <c r="F766" i="11" a="1"/>
  <c r="F766" i="11" s="1"/>
  <c r="F767" i="11" a="1"/>
  <c r="F767" i="11" s="1"/>
  <c r="F768" i="11" a="1"/>
  <c r="F768" i="11" s="1"/>
  <c r="F769" i="11" a="1"/>
  <c r="F769" i="11" s="1"/>
  <c r="F770" i="11" a="1"/>
  <c r="F770" i="11" s="1"/>
  <c r="F771" i="11" a="1"/>
  <c r="F771" i="11" s="1"/>
  <c r="F772" i="11" a="1"/>
  <c r="F772" i="11" s="1"/>
  <c r="F773" i="11" a="1"/>
  <c r="F773" i="11" s="1"/>
  <c r="F774" i="11" a="1"/>
  <c r="F774" i="11" s="1"/>
  <c r="F775" i="11" a="1"/>
  <c r="F775" i="11" s="1"/>
  <c r="F776" i="11" a="1"/>
  <c r="F776" i="11" s="1"/>
  <c r="F777" i="11" a="1"/>
  <c r="F777" i="11" s="1"/>
  <c r="F778" i="11" a="1"/>
  <c r="F778" i="11" s="1"/>
  <c r="F779" i="11" a="1"/>
  <c r="F779" i="11" s="1"/>
  <c r="F780" i="11" a="1"/>
  <c r="F780" i="11" s="1"/>
  <c r="F781" i="11" a="1"/>
  <c r="F781" i="11" s="1"/>
  <c r="F782" i="11" a="1"/>
  <c r="F782" i="11" s="1"/>
  <c r="F783" i="11" a="1"/>
  <c r="F783" i="11" s="1"/>
  <c r="F784" i="11" a="1"/>
  <c r="F784" i="11" s="1"/>
  <c r="F785" i="11" a="1"/>
  <c r="F785" i="11" s="1"/>
  <c r="F786" i="11" a="1"/>
  <c r="F786" i="11" s="1"/>
  <c r="F787" i="11" a="1"/>
  <c r="F787" i="11" s="1"/>
  <c r="F788" i="11" a="1"/>
  <c r="F788" i="11" s="1"/>
  <c r="F789" i="11" a="1"/>
  <c r="F789" i="11" s="1"/>
  <c r="F790" i="11" a="1"/>
  <c r="F790" i="11" s="1"/>
  <c r="F791" i="11" a="1"/>
  <c r="F791" i="11" s="1"/>
  <c r="F792" i="11" a="1"/>
  <c r="F792" i="11" s="1"/>
  <c r="F793" i="11" a="1"/>
  <c r="F793" i="11" s="1"/>
  <c r="F794" i="11" a="1"/>
  <c r="F794" i="11" s="1"/>
  <c r="F795" i="11" a="1"/>
  <c r="F795" i="11" s="1"/>
  <c r="F796" i="11" a="1"/>
  <c r="F796" i="11" s="1"/>
  <c r="F797" i="11" a="1"/>
  <c r="F797" i="11" s="1"/>
  <c r="F798" i="11" a="1"/>
  <c r="F798" i="11" s="1"/>
  <c r="F799" i="11" a="1"/>
  <c r="F799" i="11" s="1"/>
  <c r="F800" i="11" a="1"/>
  <c r="F800" i="11" s="1"/>
  <c r="F801" i="11" a="1"/>
  <c r="F801" i="11" s="1"/>
  <c r="F802" i="11" a="1"/>
  <c r="F802" i="11" s="1"/>
  <c r="F803" i="11" a="1"/>
  <c r="F803" i="11" s="1"/>
  <c r="F804" i="11" a="1"/>
  <c r="F804" i="11" s="1"/>
  <c r="F805" i="11" a="1"/>
  <c r="F805" i="11" s="1"/>
  <c r="F806" i="11" a="1"/>
  <c r="F806" i="11" s="1"/>
  <c r="F807" i="11" a="1"/>
  <c r="F807" i="11" s="1"/>
  <c r="F808" i="11" a="1"/>
  <c r="F808" i="11" s="1"/>
  <c r="F809" i="11" a="1"/>
  <c r="F809" i="11" s="1"/>
  <c r="F810" i="11" a="1"/>
  <c r="F810" i="11" s="1"/>
  <c r="F811" i="11" a="1"/>
  <c r="F811" i="11" s="1"/>
  <c r="F812" i="11" a="1"/>
  <c r="F812" i="11" s="1"/>
  <c r="F813" i="11" a="1"/>
  <c r="F813" i="11" s="1"/>
  <c r="F814" i="11" a="1"/>
  <c r="F814" i="11" s="1"/>
  <c r="F815" i="11" a="1"/>
  <c r="F815" i="11" s="1"/>
  <c r="F816" i="11" a="1"/>
  <c r="F816" i="11" s="1"/>
  <c r="F817" i="11" a="1"/>
  <c r="F817" i="11" s="1"/>
  <c r="F818" i="11" a="1"/>
  <c r="F818" i="11" s="1"/>
  <c r="F819" i="11" a="1"/>
  <c r="F819" i="11" s="1"/>
  <c r="F820" i="11" a="1"/>
  <c r="F820" i="11" s="1"/>
  <c r="F821" i="11" a="1"/>
  <c r="F821" i="11" s="1"/>
  <c r="F822" i="11" a="1"/>
  <c r="F822" i="11" s="1"/>
  <c r="F823" i="11" a="1"/>
  <c r="F823" i="11" s="1"/>
  <c r="F824" i="11" a="1"/>
  <c r="F824" i="11" s="1"/>
  <c r="F825" i="11" a="1"/>
  <c r="F825" i="11" s="1"/>
  <c r="F826" i="11" a="1"/>
  <c r="F826" i="11" s="1"/>
  <c r="F827" i="11" a="1"/>
  <c r="F827" i="11" s="1"/>
  <c r="F828" i="11" a="1"/>
  <c r="F828" i="11" s="1"/>
  <c r="F829" i="11" a="1"/>
  <c r="F829" i="11" s="1"/>
  <c r="F830" i="11" a="1"/>
  <c r="F830" i="11" s="1"/>
  <c r="F831" i="11" a="1"/>
  <c r="F831" i="11" s="1"/>
  <c r="F832" i="11" a="1"/>
  <c r="F832" i="11" s="1"/>
  <c r="F833" i="11" a="1"/>
  <c r="F833" i="11" s="1"/>
  <c r="F834" i="11" a="1"/>
  <c r="F834" i="11" s="1"/>
  <c r="F835" i="11" a="1"/>
  <c r="F835" i="11" s="1"/>
  <c r="F836" i="11" a="1"/>
  <c r="F836" i="11" s="1"/>
  <c r="F837" i="11" a="1"/>
  <c r="F837" i="11" s="1"/>
  <c r="F838" i="11" a="1"/>
  <c r="F838" i="11" s="1"/>
  <c r="F839" i="11" a="1"/>
  <c r="F839" i="11" s="1"/>
  <c r="F840" i="11" a="1"/>
  <c r="F840" i="11" s="1"/>
  <c r="F841" i="11" a="1"/>
  <c r="F841" i="11" s="1"/>
  <c r="F842" i="11" a="1"/>
  <c r="F842" i="11" s="1"/>
  <c r="F843" i="11" a="1"/>
  <c r="F843" i="11" s="1"/>
  <c r="F844" i="11" a="1"/>
  <c r="F844" i="11" s="1"/>
  <c r="F845" i="11" a="1"/>
  <c r="F845" i="11" s="1"/>
  <c r="F846" i="11" a="1"/>
  <c r="F846" i="11" s="1"/>
  <c r="F847" i="11" a="1"/>
  <c r="F847" i="11" s="1"/>
  <c r="F848" i="11" a="1"/>
  <c r="F848" i="11" s="1"/>
  <c r="F849" i="11" a="1"/>
  <c r="F849" i="11" s="1"/>
  <c r="F850" i="11" a="1"/>
  <c r="F850" i="11" s="1"/>
  <c r="F851" i="11" a="1"/>
  <c r="F851" i="11" s="1"/>
  <c r="F852" i="11" a="1"/>
  <c r="F852" i="11" s="1"/>
  <c r="F853" i="11" a="1"/>
  <c r="F853" i="11" s="1"/>
  <c r="F854" i="11" a="1"/>
  <c r="F854" i="11" s="1"/>
  <c r="F855" i="11" a="1"/>
  <c r="F855" i="11" s="1"/>
  <c r="F856" i="11" a="1"/>
  <c r="F856" i="11" s="1"/>
  <c r="F857" i="11" a="1"/>
  <c r="F857" i="11" s="1"/>
  <c r="F858" i="11" a="1"/>
  <c r="F858" i="11" s="1"/>
  <c r="F859" i="11" a="1"/>
  <c r="F859" i="11" s="1"/>
  <c r="F860" i="11" a="1"/>
  <c r="F860" i="11" s="1"/>
  <c r="F861" i="11" a="1"/>
  <c r="F861" i="11" s="1"/>
  <c r="F862" i="11" a="1"/>
  <c r="F862" i="11" s="1"/>
  <c r="F863" i="11" a="1"/>
  <c r="F863" i="11" s="1"/>
  <c r="F864" i="11" a="1"/>
  <c r="F864" i="11" s="1"/>
  <c r="F865" i="11" a="1"/>
  <c r="F865" i="11" s="1"/>
  <c r="F866" i="11" a="1"/>
  <c r="F866" i="11" s="1"/>
  <c r="F867" i="11" a="1"/>
  <c r="F867" i="11" s="1"/>
  <c r="F868" i="11" a="1"/>
  <c r="F868" i="11" s="1"/>
  <c r="F869" i="11" a="1"/>
  <c r="F869" i="11" s="1"/>
  <c r="F870" i="11" a="1"/>
  <c r="F870" i="11" s="1"/>
  <c r="F871" i="11" a="1"/>
  <c r="F871" i="11" s="1"/>
  <c r="F872" i="11" a="1"/>
  <c r="F872" i="11" s="1"/>
  <c r="F873" i="11" a="1"/>
  <c r="F873" i="11" s="1"/>
  <c r="F874" i="11" a="1"/>
  <c r="F874" i="11" s="1"/>
  <c r="F875" i="11" a="1"/>
  <c r="F875" i="11" s="1"/>
  <c r="F876" i="11" a="1"/>
  <c r="F876" i="11" s="1"/>
  <c r="F877" i="11" a="1"/>
  <c r="F877" i="11" s="1"/>
  <c r="F878" i="11" a="1"/>
  <c r="F878" i="11" s="1"/>
  <c r="F879" i="11" a="1"/>
  <c r="F879" i="11" s="1"/>
  <c r="F880" i="11" a="1"/>
  <c r="F880" i="11" s="1"/>
  <c r="F881" i="11" a="1"/>
  <c r="F881" i="11" s="1"/>
  <c r="F882" i="11" a="1"/>
  <c r="F882" i="11" s="1"/>
  <c r="F883" i="11" a="1"/>
  <c r="F883" i="11" s="1"/>
  <c r="F884" i="11" a="1"/>
  <c r="F884" i="11" s="1"/>
  <c r="F885" i="11" a="1"/>
  <c r="F885" i="11" s="1"/>
  <c r="F886" i="11" a="1"/>
  <c r="F886" i="11" s="1"/>
  <c r="F887" i="11" a="1"/>
  <c r="F887" i="11" s="1"/>
  <c r="F888" i="11" a="1"/>
  <c r="F888" i="11" s="1"/>
  <c r="F889" i="11" a="1"/>
  <c r="F889" i="11" s="1"/>
  <c r="F890" i="11" a="1"/>
  <c r="F890" i="11" s="1"/>
  <c r="F891" i="11" a="1"/>
  <c r="F891" i="11" s="1"/>
  <c r="F892" i="11" a="1"/>
  <c r="F892" i="11" s="1"/>
  <c r="F893" i="11" a="1"/>
  <c r="F893" i="11" s="1"/>
  <c r="F894" i="11" a="1"/>
  <c r="F894" i="11" s="1"/>
  <c r="F895" i="11" a="1"/>
  <c r="F895" i="11" s="1"/>
  <c r="F896" i="11" a="1"/>
  <c r="F896" i="11" s="1"/>
  <c r="F897" i="11" a="1"/>
  <c r="F897" i="11" s="1"/>
  <c r="F898" i="11" a="1"/>
  <c r="F898" i="11" s="1"/>
  <c r="F899" i="11" a="1"/>
  <c r="F899" i="11" s="1"/>
  <c r="F900" i="11" a="1"/>
  <c r="F900" i="11" s="1"/>
  <c r="F901" i="11" a="1"/>
  <c r="F901" i="11" s="1"/>
  <c r="F902" i="11" a="1"/>
  <c r="F902" i="11" s="1"/>
  <c r="F903" i="11" a="1"/>
  <c r="F903" i="11" s="1"/>
  <c r="F904" i="11" a="1"/>
  <c r="F904" i="11" s="1"/>
  <c r="F905" i="11" a="1"/>
  <c r="F905" i="11" s="1"/>
  <c r="F906" i="11" a="1"/>
  <c r="F906" i="11" s="1"/>
  <c r="F907" i="11" a="1"/>
  <c r="F907" i="11" s="1"/>
  <c r="F908" i="11" a="1"/>
  <c r="F908" i="11" s="1"/>
  <c r="F909" i="11" a="1"/>
  <c r="F909" i="11" s="1"/>
  <c r="F910" i="11" a="1"/>
  <c r="F910" i="11" s="1"/>
  <c r="F911" i="11" a="1"/>
  <c r="F911" i="11" s="1"/>
  <c r="F912" i="11" a="1"/>
  <c r="F912" i="11" s="1"/>
  <c r="F913" i="11" a="1"/>
  <c r="F913" i="11" s="1"/>
  <c r="F914" i="11" a="1"/>
  <c r="F914" i="11" s="1"/>
  <c r="F915" i="11" a="1"/>
  <c r="F915" i="11" s="1"/>
  <c r="F916" i="11" a="1"/>
  <c r="F916" i="11" s="1"/>
  <c r="F917" i="11" a="1"/>
  <c r="F917" i="11" s="1"/>
  <c r="F918" i="11" a="1"/>
  <c r="F918" i="11" s="1"/>
  <c r="F919" i="11" a="1"/>
  <c r="F919" i="11" s="1"/>
  <c r="F920" i="11" a="1"/>
  <c r="F920" i="11" s="1"/>
  <c r="F921" i="11" a="1"/>
  <c r="F921" i="11" s="1"/>
  <c r="F922" i="11" a="1"/>
  <c r="F922" i="11" s="1"/>
  <c r="F923" i="11" a="1"/>
  <c r="F923" i="11" s="1"/>
  <c r="F924" i="11" a="1"/>
  <c r="F924" i="11" s="1"/>
  <c r="F925" i="11" a="1"/>
  <c r="F925" i="11" s="1"/>
  <c r="F926" i="11" a="1"/>
  <c r="F926" i="11" s="1"/>
  <c r="F927" i="11" a="1"/>
  <c r="F927" i="11" s="1"/>
  <c r="F928" i="11" a="1"/>
  <c r="F928" i="11" s="1"/>
  <c r="F929" i="11" a="1"/>
  <c r="F929" i="11" s="1"/>
  <c r="F930" i="11" a="1"/>
  <c r="F930" i="11" s="1"/>
  <c r="F931" i="11" a="1"/>
  <c r="F931" i="11" s="1"/>
  <c r="F932" i="11" a="1"/>
  <c r="F932" i="11" s="1"/>
  <c r="F933" i="11" a="1"/>
  <c r="F933" i="11" s="1"/>
  <c r="F934" i="11" a="1"/>
  <c r="F934" i="11" s="1"/>
  <c r="F935" i="11" a="1"/>
  <c r="F935" i="11" s="1"/>
  <c r="F936" i="11" a="1"/>
  <c r="F936" i="11" s="1"/>
  <c r="F937" i="11" a="1"/>
  <c r="F937" i="11" s="1"/>
  <c r="F938" i="11" a="1"/>
  <c r="F938" i="11" s="1"/>
  <c r="F939" i="11" a="1"/>
  <c r="F939" i="11" s="1"/>
  <c r="F940" i="11" a="1"/>
  <c r="F940" i="11" s="1"/>
  <c r="F941" i="11" a="1"/>
  <c r="F941" i="11" s="1"/>
  <c r="F942" i="11" a="1"/>
  <c r="F942" i="11" s="1"/>
  <c r="F943" i="11" a="1"/>
  <c r="F943" i="11" s="1"/>
  <c r="F944" i="11" a="1"/>
  <c r="F944" i="11" s="1"/>
  <c r="F945" i="11" a="1"/>
  <c r="F945" i="11" s="1"/>
  <c r="F946" i="11" a="1"/>
  <c r="F946" i="11" s="1"/>
  <c r="F947" i="11" a="1"/>
  <c r="F947" i="11" s="1"/>
  <c r="F948" i="11" a="1"/>
  <c r="F948" i="11" s="1"/>
  <c r="F949" i="11" a="1"/>
  <c r="F949" i="11" s="1"/>
  <c r="F950" i="11" a="1"/>
  <c r="F950" i="11" s="1"/>
  <c r="F951" i="11" a="1"/>
  <c r="F951" i="11" s="1"/>
  <c r="F952" i="11" a="1"/>
  <c r="F952" i="11" s="1"/>
  <c r="F953" i="11" a="1"/>
  <c r="F953" i="11" s="1"/>
  <c r="F954" i="11" a="1"/>
  <c r="F954" i="11" s="1"/>
  <c r="F955" i="11" a="1"/>
  <c r="F955" i="11" s="1"/>
  <c r="F956" i="11" a="1"/>
  <c r="F956" i="11" s="1"/>
  <c r="F957" i="11" a="1"/>
  <c r="F957" i="11" s="1"/>
  <c r="F958" i="11" a="1"/>
  <c r="F958" i="11" s="1"/>
  <c r="F959" i="11" a="1"/>
  <c r="F959" i="11" s="1"/>
  <c r="F960" i="11" a="1"/>
  <c r="F960" i="11" s="1"/>
  <c r="F961" i="11" a="1"/>
  <c r="F961" i="11" s="1"/>
  <c r="F962" i="11" a="1"/>
  <c r="F962" i="11" s="1"/>
  <c r="F963" i="11" a="1"/>
  <c r="F963" i="11" s="1"/>
  <c r="F964" i="11" a="1"/>
  <c r="F964" i="11" s="1"/>
  <c r="F965" i="11" a="1"/>
  <c r="F965" i="11" s="1"/>
  <c r="F966" i="11" a="1"/>
  <c r="F966" i="11" s="1"/>
  <c r="F967" i="11" a="1"/>
  <c r="F967" i="11" s="1"/>
  <c r="F968" i="11" a="1"/>
  <c r="F968" i="11" s="1"/>
  <c r="F969" i="11" a="1"/>
  <c r="F969" i="11" s="1"/>
  <c r="F970" i="11" a="1"/>
  <c r="F970" i="11" s="1"/>
  <c r="F971" i="11" a="1"/>
  <c r="F971" i="11" s="1"/>
  <c r="F972" i="11" a="1"/>
  <c r="F972" i="11" s="1"/>
  <c r="F973" i="11" a="1"/>
  <c r="F973" i="11" s="1"/>
  <c r="F974" i="11" a="1"/>
  <c r="F974" i="11" s="1"/>
  <c r="F975" i="11" a="1"/>
  <c r="F975" i="11" s="1"/>
  <c r="F976" i="11" a="1"/>
  <c r="F976" i="11" s="1"/>
  <c r="F977" i="11" a="1"/>
  <c r="F977" i="11" s="1"/>
  <c r="F978" i="11" a="1"/>
  <c r="F978" i="11" s="1"/>
  <c r="F979" i="11" a="1"/>
  <c r="F979" i="11" s="1"/>
  <c r="F980" i="11" a="1"/>
  <c r="F980" i="11" s="1"/>
  <c r="F981" i="11" a="1"/>
  <c r="F981" i="11" s="1"/>
  <c r="F982" i="11" a="1"/>
  <c r="F982" i="11" s="1"/>
  <c r="F983" i="11" a="1"/>
  <c r="F983" i="11" s="1"/>
  <c r="F984" i="11" a="1"/>
  <c r="F984" i="11" s="1"/>
  <c r="F985" i="11" a="1"/>
  <c r="F985" i="11" s="1"/>
  <c r="F986" i="11" a="1"/>
  <c r="F986" i="11" s="1"/>
  <c r="F987" i="11" a="1"/>
  <c r="F987" i="11" s="1"/>
  <c r="F988" i="11" a="1"/>
  <c r="F988" i="11" s="1"/>
  <c r="F989" i="11" a="1"/>
  <c r="F989" i="11" s="1"/>
  <c r="F990" i="11" a="1"/>
  <c r="F990" i="11" s="1"/>
  <c r="F991" i="11" a="1"/>
  <c r="F991" i="11" s="1"/>
  <c r="F992" i="11" a="1"/>
  <c r="F992" i="11" s="1"/>
  <c r="F993" i="11" a="1"/>
  <c r="F993" i="11" s="1"/>
  <c r="F994" i="11" a="1"/>
  <c r="F994" i="11" s="1"/>
  <c r="F995" i="11" a="1"/>
  <c r="F995" i="11" s="1"/>
  <c r="F996" i="11" a="1"/>
  <c r="F996" i="11" s="1"/>
  <c r="F997" i="11" a="1"/>
  <c r="F997" i="11" s="1"/>
  <c r="F998" i="11" a="1"/>
  <c r="F998" i="11" s="1"/>
  <c r="F999" i="11" a="1"/>
  <c r="F999" i="11" s="1"/>
  <c r="F1000" i="11" a="1"/>
  <c r="F1000" i="11" s="1"/>
  <c r="F1001" i="11" a="1"/>
  <c r="F1001" i="11" s="1"/>
  <c r="D2" i="11" a="1"/>
  <c r="D2" i="11" s="1"/>
  <c r="D3" i="11" a="1"/>
  <c r="D3" i="11" s="1"/>
  <c r="D4" i="11" a="1"/>
  <c r="D4" i="11" s="1"/>
  <c r="D5" i="11" a="1"/>
  <c r="D5" i="11" s="1"/>
  <c r="D6" i="11" a="1"/>
  <c r="D6" i="11" s="1"/>
  <c r="D7" i="11" a="1"/>
  <c r="D7" i="11" s="1"/>
  <c r="D8" i="11" a="1"/>
  <c r="D8" i="11" s="1"/>
  <c r="D9" i="11" a="1"/>
  <c r="D9" i="11" s="1"/>
  <c r="D10" i="11" a="1"/>
  <c r="D10" i="11" s="1"/>
  <c r="D11" i="11" a="1"/>
  <c r="D11" i="11" s="1"/>
  <c r="D12" i="11" a="1"/>
  <c r="D12" i="11" s="1"/>
  <c r="D13" i="11" a="1"/>
  <c r="D13" i="11" s="1"/>
  <c r="D14" i="11" a="1"/>
  <c r="D14" i="11" s="1"/>
  <c r="D15" i="11" a="1"/>
  <c r="D15" i="11" s="1"/>
  <c r="D16" i="11" a="1"/>
  <c r="D16" i="11" s="1"/>
  <c r="D17" i="11" a="1"/>
  <c r="D17" i="11" s="1"/>
  <c r="D18" i="11" a="1"/>
  <c r="D18" i="11" s="1"/>
  <c r="D19" i="11" a="1"/>
  <c r="D19" i="11" s="1"/>
  <c r="D20" i="11" a="1"/>
  <c r="D20" i="11" s="1"/>
  <c r="D21" i="11" a="1"/>
  <c r="D21" i="11" s="1"/>
  <c r="D22" i="11" a="1"/>
  <c r="D22" i="11" s="1"/>
  <c r="D23" i="11" a="1"/>
  <c r="D23" i="11" s="1"/>
  <c r="D24" i="11" a="1"/>
  <c r="D24" i="11" s="1"/>
  <c r="D25" i="11" a="1"/>
  <c r="D25" i="11" s="1"/>
  <c r="D26" i="11" a="1"/>
  <c r="D26" i="11" s="1"/>
  <c r="D27" i="11" a="1"/>
  <c r="D27" i="11" s="1"/>
  <c r="D28" i="11" a="1"/>
  <c r="D28" i="11" s="1"/>
  <c r="D29" i="11" a="1"/>
  <c r="D29" i="11" s="1"/>
  <c r="D30" i="11" a="1"/>
  <c r="D30" i="11" s="1"/>
  <c r="D31" i="11" a="1"/>
  <c r="D31" i="11" s="1"/>
  <c r="D32" i="11" a="1"/>
  <c r="D32" i="11" s="1"/>
  <c r="D33" i="11" a="1"/>
  <c r="D33" i="11" s="1"/>
  <c r="D34" i="11" a="1"/>
  <c r="D34" i="11" s="1"/>
  <c r="D35" i="11" a="1"/>
  <c r="D35" i="11" s="1"/>
  <c r="D36" i="11" a="1"/>
  <c r="D36" i="11" s="1"/>
  <c r="D37" i="11" a="1"/>
  <c r="D37" i="11" s="1"/>
  <c r="D38" i="11" a="1"/>
  <c r="D38" i="11" s="1"/>
  <c r="D39" i="11" a="1"/>
  <c r="D39" i="11" s="1"/>
  <c r="D40" i="11" a="1"/>
  <c r="D40" i="11" s="1"/>
  <c r="D41" i="11" a="1"/>
  <c r="D41" i="11" s="1"/>
  <c r="D42" i="11" a="1"/>
  <c r="D42" i="11" s="1"/>
  <c r="D43" i="11" a="1"/>
  <c r="D43" i="11" s="1"/>
  <c r="D44" i="11" a="1"/>
  <c r="D44" i="11" s="1"/>
  <c r="D45" i="11" a="1"/>
  <c r="D45" i="11" s="1"/>
  <c r="D46" i="11" a="1"/>
  <c r="D46" i="11" s="1"/>
  <c r="D47" i="11" a="1"/>
  <c r="D47" i="11" s="1"/>
  <c r="D48" i="11" a="1"/>
  <c r="D48" i="11" s="1"/>
  <c r="D49" i="11" a="1"/>
  <c r="D49" i="11" s="1"/>
  <c r="D50" i="11" a="1"/>
  <c r="D50" i="11" s="1"/>
  <c r="D51" i="11" a="1"/>
  <c r="D51" i="11" s="1"/>
  <c r="D52" i="11" a="1"/>
  <c r="D52" i="11" s="1"/>
  <c r="D53" i="11" a="1"/>
  <c r="D53" i="11" s="1"/>
  <c r="D54" i="11" a="1"/>
  <c r="D54" i="11" s="1"/>
  <c r="D55" i="11" a="1"/>
  <c r="D55" i="11" s="1"/>
  <c r="D56" i="11" a="1"/>
  <c r="D56" i="11" s="1"/>
  <c r="D57" i="11" a="1"/>
  <c r="D57" i="11" s="1"/>
  <c r="D58" i="11" a="1"/>
  <c r="D58" i="11" s="1"/>
  <c r="D59" i="11" a="1"/>
  <c r="D59" i="11" s="1"/>
  <c r="D60" i="11" a="1"/>
  <c r="D60" i="11" s="1"/>
  <c r="D61" i="11" a="1"/>
  <c r="D61" i="11" s="1"/>
  <c r="D62" i="11" a="1"/>
  <c r="D62" i="11" s="1"/>
  <c r="D63" i="11" a="1"/>
  <c r="D63" i="11" s="1"/>
  <c r="D64" i="11" a="1"/>
  <c r="D64" i="11" s="1"/>
  <c r="D65" i="11" a="1"/>
  <c r="D65" i="11" s="1"/>
  <c r="D66" i="11" a="1"/>
  <c r="D66" i="11" s="1"/>
  <c r="D67" i="11" a="1"/>
  <c r="D67" i="11" s="1"/>
  <c r="D68" i="11" a="1"/>
  <c r="D68" i="11" s="1"/>
  <c r="D69" i="11" a="1"/>
  <c r="D69" i="11" s="1"/>
  <c r="D70" i="11" a="1"/>
  <c r="D70" i="11" s="1"/>
  <c r="D71" i="11" a="1"/>
  <c r="D71" i="11" s="1"/>
  <c r="D72" i="11" a="1"/>
  <c r="D72" i="11" s="1"/>
  <c r="D73" i="11" a="1"/>
  <c r="D73" i="11" s="1"/>
  <c r="D74" i="11" a="1"/>
  <c r="D74" i="11" s="1"/>
  <c r="D75" i="11" a="1"/>
  <c r="D75" i="11" s="1"/>
  <c r="D76" i="11" a="1"/>
  <c r="D76" i="11" s="1"/>
  <c r="D77" i="11" a="1"/>
  <c r="D77" i="11" s="1"/>
  <c r="D78" i="11" a="1"/>
  <c r="D78" i="11" s="1"/>
  <c r="D79" i="11" a="1"/>
  <c r="D79" i="11" s="1"/>
  <c r="D80" i="11" a="1"/>
  <c r="D80" i="11" s="1"/>
  <c r="D81" i="11" a="1"/>
  <c r="D81" i="11" s="1"/>
  <c r="D82" i="11" a="1"/>
  <c r="D82" i="11" s="1"/>
  <c r="D83" i="11" a="1"/>
  <c r="D83" i="11" s="1"/>
  <c r="D84" i="11" a="1"/>
  <c r="D84" i="11" s="1"/>
  <c r="D85" i="11" a="1"/>
  <c r="D85" i="11" s="1"/>
  <c r="D86" i="11" a="1"/>
  <c r="D86" i="11" s="1"/>
  <c r="D87" i="11" a="1"/>
  <c r="D87" i="11" s="1"/>
  <c r="D88" i="11" a="1"/>
  <c r="D88" i="11" s="1"/>
  <c r="D89" i="11" a="1"/>
  <c r="D89" i="11" s="1"/>
  <c r="D90" i="11" a="1"/>
  <c r="D90" i="11" s="1"/>
  <c r="D91" i="11" a="1"/>
  <c r="D91" i="11" s="1"/>
  <c r="D92" i="11" a="1"/>
  <c r="D92" i="11" s="1"/>
  <c r="D93" i="11" a="1"/>
  <c r="D93" i="11" s="1"/>
  <c r="D94" i="11" a="1"/>
  <c r="D94" i="11" s="1"/>
  <c r="D95" i="11" a="1"/>
  <c r="D95" i="11" s="1"/>
  <c r="D96" i="11" a="1"/>
  <c r="D96" i="11" s="1"/>
  <c r="D97" i="11" a="1"/>
  <c r="D97" i="11" s="1"/>
  <c r="D98" i="11" a="1"/>
  <c r="D98" i="11" s="1"/>
  <c r="D99" i="11" a="1"/>
  <c r="D99" i="11" s="1"/>
  <c r="D100" i="11" a="1"/>
  <c r="D100" i="11" s="1"/>
  <c r="D101" i="11" a="1"/>
  <c r="D101" i="11" s="1"/>
  <c r="D102" i="11" a="1"/>
  <c r="D102" i="11" s="1"/>
  <c r="D103" i="11" a="1"/>
  <c r="D103" i="11" s="1"/>
  <c r="D104" i="11" a="1"/>
  <c r="D104" i="11" s="1"/>
  <c r="D105" i="11" a="1"/>
  <c r="D105" i="11" s="1"/>
  <c r="D106" i="11" a="1"/>
  <c r="D106" i="11" s="1"/>
  <c r="D107" i="11" a="1"/>
  <c r="D107" i="11" s="1"/>
  <c r="D108" i="11" a="1"/>
  <c r="D108" i="11" s="1"/>
  <c r="D109" i="11" a="1"/>
  <c r="D109" i="11" s="1"/>
  <c r="D110" i="11" a="1"/>
  <c r="D110" i="11" s="1"/>
  <c r="D111" i="11" a="1"/>
  <c r="D111" i="11" s="1"/>
  <c r="D112" i="11" a="1"/>
  <c r="D112" i="11" s="1"/>
  <c r="D113" i="11" a="1"/>
  <c r="D113" i="11" s="1"/>
  <c r="D114" i="11" a="1"/>
  <c r="D114" i="11" s="1"/>
  <c r="D115" i="11" a="1"/>
  <c r="D115" i="11" s="1"/>
  <c r="D116" i="11" a="1"/>
  <c r="D116" i="11" s="1"/>
  <c r="D117" i="11" a="1"/>
  <c r="D117" i="11" s="1"/>
  <c r="D118" i="11" a="1"/>
  <c r="D118" i="11" s="1"/>
  <c r="D119" i="11" a="1"/>
  <c r="D119" i="11" s="1"/>
  <c r="D120" i="11" a="1"/>
  <c r="D120" i="11" s="1"/>
  <c r="D121" i="11" a="1"/>
  <c r="D121" i="11" s="1"/>
  <c r="D122" i="11" a="1"/>
  <c r="D122" i="11" s="1"/>
  <c r="D123" i="11" a="1"/>
  <c r="D123" i="11" s="1"/>
  <c r="D124" i="11" a="1"/>
  <c r="D124" i="11" s="1"/>
  <c r="D125" i="11" a="1"/>
  <c r="D125" i="11" s="1"/>
  <c r="D126" i="11" a="1"/>
  <c r="D126" i="11" s="1"/>
  <c r="D127" i="11" a="1"/>
  <c r="D127" i="11" s="1"/>
  <c r="D128" i="11" a="1"/>
  <c r="D128" i="11" s="1"/>
  <c r="D129" i="11" a="1"/>
  <c r="D129" i="11" s="1"/>
  <c r="D130" i="11" a="1"/>
  <c r="D130" i="11" s="1"/>
  <c r="D131" i="11" a="1"/>
  <c r="D131" i="11" s="1"/>
  <c r="D132" i="11" a="1"/>
  <c r="D132" i="11" s="1"/>
  <c r="D133" i="11" a="1"/>
  <c r="D133" i="11" s="1"/>
  <c r="D134" i="11" a="1"/>
  <c r="D134" i="11" s="1"/>
  <c r="D135" i="11" a="1"/>
  <c r="D135" i="11" s="1"/>
  <c r="D136" i="11" a="1"/>
  <c r="D136" i="11" s="1"/>
  <c r="D137" i="11" a="1"/>
  <c r="D137" i="11" s="1"/>
  <c r="D138" i="11" a="1"/>
  <c r="D138" i="11" s="1"/>
  <c r="D139" i="11" a="1"/>
  <c r="D139" i="11" s="1"/>
  <c r="D140" i="11" a="1"/>
  <c r="D140" i="11" s="1"/>
  <c r="D141" i="11" a="1"/>
  <c r="D141" i="11" s="1"/>
  <c r="D142" i="11" a="1"/>
  <c r="D142" i="11" s="1"/>
  <c r="D143" i="11" a="1"/>
  <c r="D143" i="11" s="1"/>
  <c r="D144" i="11" a="1"/>
  <c r="D144" i="11" s="1"/>
  <c r="D145" i="11" a="1"/>
  <c r="D145" i="11" s="1"/>
  <c r="D146" i="11" a="1"/>
  <c r="D146" i="11" s="1"/>
  <c r="D147" i="11" a="1"/>
  <c r="D147" i="11" s="1"/>
  <c r="D148" i="11" a="1"/>
  <c r="D148" i="11" s="1"/>
  <c r="D149" i="11" a="1"/>
  <c r="D149" i="11" s="1"/>
  <c r="D150" i="11" a="1"/>
  <c r="D150" i="11" s="1"/>
  <c r="D151" i="11" a="1"/>
  <c r="D151" i="11" s="1"/>
  <c r="D152" i="11" a="1"/>
  <c r="D152" i="11" s="1"/>
  <c r="D153" i="11" a="1"/>
  <c r="D153" i="11" s="1"/>
  <c r="D154" i="11" a="1"/>
  <c r="D154" i="11" s="1"/>
  <c r="D155" i="11" a="1"/>
  <c r="D155" i="11" s="1"/>
  <c r="D156" i="11" a="1"/>
  <c r="D156" i="11" s="1"/>
  <c r="D157" i="11" a="1"/>
  <c r="D157" i="11" s="1"/>
  <c r="D158" i="11" a="1"/>
  <c r="D158" i="11" s="1"/>
  <c r="D159" i="11" a="1"/>
  <c r="D159" i="11" s="1"/>
  <c r="D160" i="11" a="1"/>
  <c r="D160" i="11" s="1"/>
  <c r="D161" i="11" a="1"/>
  <c r="D161" i="11" s="1"/>
  <c r="D162" i="11" a="1"/>
  <c r="D162" i="11" s="1"/>
  <c r="D163" i="11" a="1"/>
  <c r="D163" i="11" s="1"/>
  <c r="D164" i="11" a="1"/>
  <c r="D164" i="11" s="1"/>
  <c r="D165" i="11" a="1"/>
  <c r="D165" i="11" s="1"/>
  <c r="D166" i="11" a="1"/>
  <c r="D166" i="11" s="1"/>
  <c r="D167" i="11" a="1"/>
  <c r="D167" i="11" s="1"/>
  <c r="D168" i="11" a="1"/>
  <c r="D168" i="11" s="1"/>
  <c r="D169" i="11" a="1"/>
  <c r="D169" i="11" s="1"/>
  <c r="D170" i="11" a="1"/>
  <c r="D170" i="11" s="1"/>
  <c r="D171" i="11" a="1"/>
  <c r="D171" i="11" s="1"/>
  <c r="D172" i="11" a="1"/>
  <c r="D172" i="11" s="1"/>
  <c r="D173" i="11" a="1"/>
  <c r="D173" i="11" s="1"/>
  <c r="D174" i="11" a="1"/>
  <c r="D174" i="11" s="1"/>
  <c r="D175" i="11" a="1"/>
  <c r="D175" i="11" s="1"/>
  <c r="D176" i="11" a="1"/>
  <c r="D176" i="11" s="1"/>
  <c r="D177" i="11" a="1"/>
  <c r="D177" i="11" s="1"/>
  <c r="D178" i="11" a="1"/>
  <c r="D178" i="11" s="1"/>
  <c r="D179" i="11" a="1"/>
  <c r="D179" i="11" s="1"/>
  <c r="D180" i="11" a="1"/>
  <c r="D180" i="11" s="1"/>
  <c r="D181" i="11" a="1"/>
  <c r="D181" i="11" s="1"/>
  <c r="D182" i="11" a="1"/>
  <c r="D182" i="11" s="1"/>
  <c r="D183" i="11" a="1"/>
  <c r="D183" i="11" s="1"/>
  <c r="D184" i="11" a="1"/>
  <c r="D184" i="11" s="1"/>
  <c r="D185" i="11" a="1"/>
  <c r="D185" i="11" s="1"/>
  <c r="D186" i="11" a="1"/>
  <c r="D186" i="11" s="1"/>
  <c r="D187" i="11" a="1"/>
  <c r="D187" i="11" s="1"/>
  <c r="D188" i="11" a="1"/>
  <c r="D188" i="11" s="1"/>
  <c r="D189" i="11" a="1"/>
  <c r="D189" i="11" s="1"/>
  <c r="D190" i="11" a="1"/>
  <c r="D190" i="11" s="1"/>
  <c r="D191" i="11" a="1"/>
  <c r="D191" i="11" s="1"/>
  <c r="D192" i="11" a="1"/>
  <c r="D192" i="11" s="1"/>
  <c r="D193" i="11" a="1"/>
  <c r="D193" i="11" s="1"/>
  <c r="D194" i="11" a="1"/>
  <c r="D194" i="11" s="1"/>
  <c r="D195" i="11" a="1"/>
  <c r="D195" i="11" s="1"/>
  <c r="D196" i="11" a="1"/>
  <c r="D196" i="11" s="1"/>
  <c r="D197" i="11" a="1"/>
  <c r="D197" i="11" s="1"/>
  <c r="D198" i="11" a="1"/>
  <c r="D198" i="11" s="1"/>
  <c r="D199" i="11" a="1"/>
  <c r="D199" i="11" s="1"/>
  <c r="D200" i="11" a="1"/>
  <c r="D200" i="11" s="1"/>
  <c r="D201" i="11" a="1"/>
  <c r="D201" i="11" s="1"/>
  <c r="D202" i="11" a="1"/>
  <c r="D202" i="11" s="1"/>
  <c r="D203" i="11" a="1"/>
  <c r="D203" i="11" s="1"/>
  <c r="D204" i="11" a="1"/>
  <c r="D204" i="11" s="1"/>
  <c r="D205" i="11" a="1"/>
  <c r="D205" i="11" s="1"/>
  <c r="D206" i="11" a="1"/>
  <c r="D206" i="11" s="1"/>
  <c r="D207" i="11" a="1"/>
  <c r="D207" i="11" s="1"/>
  <c r="D208" i="11" a="1"/>
  <c r="D208" i="11" s="1"/>
  <c r="D209" i="11" a="1"/>
  <c r="D209" i="11" s="1"/>
  <c r="D210" i="11" a="1"/>
  <c r="D210" i="11" s="1"/>
  <c r="D211" i="11" a="1"/>
  <c r="D211" i="11" s="1"/>
  <c r="D212" i="11" a="1"/>
  <c r="D212" i="11" s="1"/>
  <c r="D213" i="11" a="1"/>
  <c r="D213" i="11" s="1"/>
  <c r="D214" i="11" a="1"/>
  <c r="D214" i="11" s="1"/>
  <c r="D215" i="11" a="1"/>
  <c r="D215" i="11" s="1"/>
  <c r="D216" i="11" a="1"/>
  <c r="D216" i="11" s="1"/>
  <c r="D217" i="11" a="1"/>
  <c r="D217" i="11" s="1"/>
  <c r="D218" i="11" a="1"/>
  <c r="D218" i="11" s="1"/>
  <c r="D219" i="11" a="1"/>
  <c r="D219" i="11" s="1"/>
  <c r="D220" i="11" a="1"/>
  <c r="D220" i="11" s="1"/>
  <c r="D221" i="11" a="1"/>
  <c r="D221" i="11" s="1"/>
  <c r="D222" i="11" a="1"/>
  <c r="D222" i="11" s="1"/>
  <c r="D223" i="11" a="1"/>
  <c r="D223" i="11" s="1"/>
  <c r="D224" i="11" a="1"/>
  <c r="D224" i="11" s="1"/>
  <c r="D225" i="11" a="1"/>
  <c r="D225" i="11" s="1"/>
  <c r="D226" i="11" a="1"/>
  <c r="D226" i="11" s="1"/>
  <c r="D227" i="11" a="1"/>
  <c r="D227" i="11" s="1"/>
  <c r="D228" i="11" a="1"/>
  <c r="D228" i="11" s="1"/>
  <c r="D229" i="11" a="1"/>
  <c r="D229" i="11" s="1"/>
  <c r="D230" i="11" a="1"/>
  <c r="D230" i="11" s="1"/>
  <c r="D231" i="11" a="1"/>
  <c r="D231" i="11" s="1"/>
  <c r="D232" i="11" a="1"/>
  <c r="D232" i="11" s="1"/>
  <c r="D233" i="11" a="1"/>
  <c r="D233" i="11" s="1"/>
  <c r="D234" i="11" a="1"/>
  <c r="D234" i="11" s="1"/>
  <c r="D235" i="11" a="1"/>
  <c r="D235" i="11" s="1"/>
  <c r="D236" i="11" a="1"/>
  <c r="D236" i="11" s="1"/>
  <c r="D237" i="11" a="1"/>
  <c r="D237" i="11" s="1"/>
  <c r="D238" i="11" a="1"/>
  <c r="D238" i="11" s="1"/>
  <c r="D239" i="11" a="1"/>
  <c r="D239" i="11" s="1"/>
  <c r="D240" i="11" a="1"/>
  <c r="D240" i="11" s="1"/>
  <c r="D241" i="11" a="1"/>
  <c r="D241" i="11" s="1"/>
  <c r="D242" i="11" a="1"/>
  <c r="D242" i="11" s="1"/>
  <c r="D243" i="11" a="1"/>
  <c r="D243" i="11" s="1"/>
  <c r="D244" i="11" a="1"/>
  <c r="D244" i="11" s="1"/>
  <c r="D245" i="11" a="1"/>
  <c r="D245" i="11" s="1"/>
  <c r="D246" i="11" a="1"/>
  <c r="D246" i="11" s="1"/>
  <c r="D247" i="11" a="1"/>
  <c r="D247" i="11" s="1"/>
  <c r="D248" i="11" a="1"/>
  <c r="D248" i="11" s="1"/>
  <c r="D249" i="11" a="1"/>
  <c r="D249" i="11" s="1"/>
  <c r="D250" i="11" a="1"/>
  <c r="D250" i="11" s="1"/>
  <c r="D251" i="11" a="1"/>
  <c r="D251" i="11" s="1"/>
  <c r="D252" i="11" a="1"/>
  <c r="D252" i="11" s="1"/>
  <c r="D253" i="11" a="1"/>
  <c r="D253" i="11" s="1"/>
  <c r="D254" i="11" a="1"/>
  <c r="D254" i="11" s="1"/>
  <c r="D255" i="11" a="1"/>
  <c r="D255" i="11" s="1"/>
  <c r="D256" i="11" a="1"/>
  <c r="D256" i="11" s="1"/>
  <c r="D257" i="11" a="1"/>
  <c r="D257" i="11" s="1"/>
  <c r="D258" i="11" a="1"/>
  <c r="D258" i="11" s="1"/>
  <c r="D259" i="11" a="1"/>
  <c r="D259" i="11" s="1"/>
  <c r="D260" i="11" a="1"/>
  <c r="D260" i="11" s="1"/>
  <c r="D261" i="11" a="1"/>
  <c r="D261" i="11" s="1"/>
  <c r="D262" i="11" a="1"/>
  <c r="D262" i="11" s="1"/>
  <c r="D263" i="11" a="1"/>
  <c r="D263" i="11" s="1"/>
  <c r="D264" i="11" a="1"/>
  <c r="D264" i="11" s="1"/>
  <c r="D265" i="11" a="1"/>
  <c r="D265" i="11" s="1"/>
  <c r="D266" i="11" a="1"/>
  <c r="D266" i="11" s="1"/>
  <c r="D267" i="11" a="1"/>
  <c r="D267" i="11" s="1"/>
  <c r="D268" i="11" a="1"/>
  <c r="D268" i="11" s="1"/>
  <c r="D269" i="11" a="1"/>
  <c r="D269" i="11" s="1"/>
  <c r="D270" i="11" a="1"/>
  <c r="D270" i="11" s="1"/>
  <c r="D271" i="11" a="1"/>
  <c r="D271" i="11" s="1"/>
  <c r="D272" i="11" a="1"/>
  <c r="D272" i="11" s="1"/>
  <c r="D273" i="11" a="1"/>
  <c r="D273" i="11" s="1"/>
  <c r="D274" i="11" a="1"/>
  <c r="D274" i="11" s="1"/>
  <c r="D275" i="11" a="1"/>
  <c r="D275" i="11" s="1"/>
  <c r="D276" i="11" a="1"/>
  <c r="D276" i="11" s="1"/>
  <c r="D277" i="11" a="1"/>
  <c r="D277" i="11" s="1"/>
  <c r="D278" i="11" a="1"/>
  <c r="D278" i="11" s="1"/>
  <c r="D279" i="11" a="1"/>
  <c r="D279" i="11" s="1"/>
  <c r="D280" i="11" a="1"/>
  <c r="D280" i="11" s="1"/>
  <c r="D281" i="11" a="1"/>
  <c r="D281" i="11" s="1"/>
  <c r="D282" i="11" a="1"/>
  <c r="D282" i="11" s="1"/>
  <c r="D283" i="11" a="1"/>
  <c r="D283" i="11" s="1"/>
  <c r="D284" i="11" a="1"/>
  <c r="D284" i="11" s="1"/>
  <c r="D285" i="11" a="1"/>
  <c r="D285" i="11" s="1"/>
  <c r="D286" i="11" a="1"/>
  <c r="D286" i="11" s="1"/>
  <c r="D287" i="11" a="1"/>
  <c r="D287" i="11" s="1"/>
  <c r="D288" i="11" a="1"/>
  <c r="D288" i="11" s="1"/>
  <c r="D289" i="11" a="1"/>
  <c r="D289" i="11" s="1"/>
  <c r="D290" i="11" a="1"/>
  <c r="D290" i="11" s="1"/>
  <c r="D291" i="11" a="1"/>
  <c r="D291" i="11" s="1"/>
  <c r="D292" i="11" a="1"/>
  <c r="D292" i="11" s="1"/>
  <c r="D293" i="11" a="1"/>
  <c r="D293" i="11" s="1"/>
  <c r="D294" i="11" a="1"/>
  <c r="D294" i="11" s="1"/>
  <c r="D295" i="11" a="1"/>
  <c r="D295" i="11" s="1"/>
  <c r="D296" i="11" a="1"/>
  <c r="D296" i="11" s="1"/>
  <c r="D297" i="11" a="1"/>
  <c r="D297" i="11" s="1"/>
  <c r="D298" i="11" a="1"/>
  <c r="D298" i="11" s="1"/>
  <c r="D299" i="11" a="1"/>
  <c r="D299" i="11" s="1"/>
  <c r="D300" i="11" a="1"/>
  <c r="D300" i="11" s="1"/>
  <c r="D301" i="11" a="1"/>
  <c r="D301" i="11" s="1"/>
  <c r="D302" i="11" a="1"/>
  <c r="D302" i="11" s="1"/>
  <c r="D303" i="11" a="1"/>
  <c r="D303" i="11" s="1"/>
  <c r="D304" i="11" a="1"/>
  <c r="D304" i="11" s="1"/>
  <c r="D305" i="11" a="1"/>
  <c r="D305" i="11" s="1"/>
  <c r="D306" i="11" a="1"/>
  <c r="D306" i="11" s="1"/>
  <c r="D307" i="11" a="1"/>
  <c r="D307" i="11" s="1"/>
  <c r="D308" i="11" a="1"/>
  <c r="D308" i="11" s="1"/>
  <c r="D309" i="11" a="1"/>
  <c r="D309" i="11" s="1"/>
  <c r="D310" i="11" a="1"/>
  <c r="D310" i="11" s="1"/>
  <c r="D311" i="11" a="1"/>
  <c r="D311" i="11" s="1"/>
  <c r="D312" i="11" a="1"/>
  <c r="D312" i="11" s="1"/>
  <c r="D313" i="11" a="1"/>
  <c r="D313" i="11" s="1"/>
  <c r="D314" i="11" a="1"/>
  <c r="D314" i="11" s="1"/>
  <c r="D315" i="11" a="1"/>
  <c r="D315" i="11" s="1"/>
  <c r="D316" i="11" a="1"/>
  <c r="D316" i="11" s="1"/>
  <c r="D317" i="11" a="1"/>
  <c r="D317" i="11" s="1"/>
  <c r="D318" i="11" a="1"/>
  <c r="D318" i="11" s="1"/>
  <c r="D319" i="11" a="1"/>
  <c r="D319" i="11" s="1"/>
  <c r="D320" i="11" a="1"/>
  <c r="D320" i="11" s="1"/>
  <c r="D321" i="11" a="1"/>
  <c r="D321" i="11" s="1"/>
  <c r="D322" i="11" a="1"/>
  <c r="D322" i="11" s="1"/>
  <c r="D323" i="11" a="1"/>
  <c r="D323" i="11" s="1"/>
  <c r="D324" i="11" a="1"/>
  <c r="D324" i="11" s="1"/>
  <c r="D325" i="11" a="1"/>
  <c r="D325" i="11" s="1"/>
  <c r="D326" i="11" a="1"/>
  <c r="D326" i="11" s="1"/>
  <c r="D327" i="11" a="1"/>
  <c r="D327" i="11" s="1"/>
  <c r="D328" i="11" a="1"/>
  <c r="D328" i="11" s="1"/>
  <c r="D329" i="11" a="1"/>
  <c r="D329" i="11" s="1"/>
  <c r="D330" i="11" a="1"/>
  <c r="D330" i="11" s="1"/>
  <c r="D331" i="11" a="1"/>
  <c r="D331" i="11" s="1"/>
  <c r="D332" i="11" a="1"/>
  <c r="D332" i="11" s="1"/>
  <c r="D333" i="11" a="1"/>
  <c r="D333" i="11" s="1"/>
  <c r="D334" i="11" a="1"/>
  <c r="D334" i="11" s="1"/>
  <c r="D335" i="11" a="1"/>
  <c r="D335" i="11" s="1"/>
  <c r="D336" i="11" a="1"/>
  <c r="D336" i="11" s="1"/>
  <c r="D337" i="11" a="1"/>
  <c r="D337" i="11" s="1"/>
  <c r="D338" i="11" a="1"/>
  <c r="D338" i="11" s="1"/>
  <c r="D339" i="11" a="1"/>
  <c r="D339" i="11" s="1"/>
  <c r="D340" i="11" a="1"/>
  <c r="D340" i="11" s="1"/>
  <c r="D341" i="11" a="1"/>
  <c r="D341" i="11" s="1"/>
  <c r="D342" i="11" a="1"/>
  <c r="D342" i="11" s="1"/>
  <c r="D343" i="11" a="1"/>
  <c r="D343" i="11" s="1"/>
  <c r="D344" i="11" a="1"/>
  <c r="D344" i="11" s="1"/>
  <c r="D345" i="11" a="1"/>
  <c r="D345" i="11" s="1"/>
  <c r="D346" i="11" a="1"/>
  <c r="D346" i="11" s="1"/>
  <c r="D347" i="11" a="1"/>
  <c r="D347" i="11" s="1"/>
  <c r="D348" i="11" a="1"/>
  <c r="D348" i="11" s="1"/>
  <c r="D349" i="11" a="1"/>
  <c r="D349" i="11" s="1"/>
  <c r="D350" i="11" a="1"/>
  <c r="D350" i="11" s="1"/>
  <c r="D351" i="11" a="1"/>
  <c r="D351" i="11" s="1"/>
  <c r="D352" i="11" a="1"/>
  <c r="D352" i="11" s="1"/>
  <c r="D353" i="11" a="1"/>
  <c r="D353" i="11" s="1"/>
  <c r="D354" i="11" a="1"/>
  <c r="D354" i="11" s="1"/>
  <c r="D355" i="11" a="1"/>
  <c r="D355" i="11" s="1"/>
  <c r="D356" i="11" a="1"/>
  <c r="D356" i="11" s="1"/>
  <c r="D357" i="11" a="1"/>
  <c r="D357" i="11" s="1"/>
  <c r="D358" i="11" a="1"/>
  <c r="D358" i="11" s="1"/>
  <c r="D359" i="11" a="1"/>
  <c r="D359" i="11" s="1"/>
  <c r="D360" i="11" a="1"/>
  <c r="D360" i="11" s="1"/>
  <c r="D361" i="11" a="1"/>
  <c r="D361" i="11" s="1"/>
  <c r="D362" i="11" a="1"/>
  <c r="D362" i="11" s="1"/>
  <c r="D363" i="11" a="1"/>
  <c r="D363" i="11" s="1"/>
  <c r="D364" i="11" a="1"/>
  <c r="D364" i="11" s="1"/>
  <c r="D365" i="11" a="1"/>
  <c r="D365" i="11" s="1"/>
  <c r="D366" i="11" a="1"/>
  <c r="D366" i="11" s="1"/>
  <c r="D367" i="11" a="1"/>
  <c r="D367" i="11" s="1"/>
  <c r="D368" i="11" a="1"/>
  <c r="D368" i="11" s="1"/>
  <c r="D369" i="11" a="1"/>
  <c r="D369" i="11" s="1"/>
  <c r="D370" i="11" a="1"/>
  <c r="D370" i="11" s="1"/>
  <c r="D371" i="11" a="1"/>
  <c r="D371" i="11" s="1"/>
  <c r="D372" i="11" a="1"/>
  <c r="D372" i="11" s="1"/>
  <c r="D373" i="11" a="1"/>
  <c r="D373" i="11" s="1"/>
  <c r="D374" i="11" a="1"/>
  <c r="D374" i="11" s="1"/>
  <c r="D375" i="11" a="1"/>
  <c r="D375" i="11" s="1"/>
  <c r="D376" i="11" a="1"/>
  <c r="D376" i="11" s="1"/>
  <c r="D377" i="11" a="1"/>
  <c r="D377" i="11" s="1"/>
  <c r="D378" i="11" a="1"/>
  <c r="D378" i="11" s="1"/>
  <c r="D379" i="11" a="1"/>
  <c r="D379" i="11" s="1"/>
  <c r="D380" i="11" a="1"/>
  <c r="D380" i="11" s="1"/>
  <c r="D381" i="11" a="1"/>
  <c r="D381" i="11" s="1"/>
  <c r="D382" i="11" a="1"/>
  <c r="D382" i="11" s="1"/>
  <c r="D383" i="11" a="1"/>
  <c r="D383" i="11" s="1"/>
  <c r="D384" i="11" a="1"/>
  <c r="D384" i="11" s="1"/>
  <c r="D385" i="11" a="1"/>
  <c r="D385" i="11" s="1"/>
  <c r="D386" i="11" a="1"/>
  <c r="D386" i="11" s="1"/>
  <c r="D387" i="11" a="1"/>
  <c r="D387" i="11" s="1"/>
  <c r="D388" i="11" a="1"/>
  <c r="D388" i="11" s="1"/>
  <c r="D389" i="11" a="1"/>
  <c r="D389" i="11" s="1"/>
  <c r="D390" i="11" a="1"/>
  <c r="D390" i="11" s="1"/>
  <c r="D391" i="11" a="1"/>
  <c r="D391" i="11" s="1"/>
  <c r="D392" i="11" a="1"/>
  <c r="D392" i="11" s="1"/>
  <c r="D393" i="11" a="1"/>
  <c r="D393" i="11" s="1"/>
  <c r="D394" i="11" a="1"/>
  <c r="D394" i="11" s="1"/>
  <c r="D395" i="11" a="1"/>
  <c r="D395" i="11" s="1"/>
  <c r="D396" i="11" a="1"/>
  <c r="D396" i="11" s="1"/>
  <c r="D397" i="11" a="1"/>
  <c r="D397" i="11" s="1"/>
  <c r="D398" i="11" a="1"/>
  <c r="D398" i="11" s="1"/>
  <c r="D399" i="11" a="1"/>
  <c r="D399" i="11" s="1"/>
  <c r="D400" i="11" a="1"/>
  <c r="D400" i="11" s="1"/>
  <c r="D401" i="11" a="1"/>
  <c r="D401" i="11" s="1"/>
  <c r="D402" i="11" a="1"/>
  <c r="D402" i="11" s="1"/>
  <c r="D403" i="11" a="1"/>
  <c r="D403" i="11" s="1"/>
  <c r="D404" i="11" a="1"/>
  <c r="D404" i="11" s="1"/>
  <c r="D405" i="11" a="1"/>
  <c r="D405" i="11" s="1"/>
  <c r="D406" i="11" a="1"/>
  <c r="D406" i="11" s="1"/>
  <c r="D407" i="11" a="1"/>
  <c r="D407" i="11" s="1"/>
  <c r="D408" i="11" a="1"/>
  <c r="D408" i="11" s="1"/>
  <c r="D409" i="11" a="1"/>
  <c r="D409" i="11" s="1"/>
  <c r="D410" i="11" a="1"/>
  <c r="D410" i="11" s="1"/>
  <c r="D411" i="11" a="1"/>
  <c r="D411" i="11" s="1"/>
  <c r="D412" i="11" a="1"/>
  <c r="D412" i="11" s="1"/>
  <c r="D413" i="11" a="1"/>
  <c r="D413" i="11" s="1"/>
  <c r="D414" i="11" a="1"/>
  <c r="D414" i="11" s="1"/>
  <c r="D415" i="11" a="1"/>
  <c r="D415" i="11" s="1"/>
  <c r="D416" i="11" a="1"/>
  <c r="D416" i="11" s="1"/>
  <c r="D417" i="11" a="1"/>
  <c r="D417" i="11" s="1"/>
  <c r="D418" i="11" a="1"/>
  <c r="D418" i="11" s="1"/>
  <c r="D419" i="11" a="1"/>
  <c r="D419" i="11" s="1"/>
  <c r="D420" i="11" a="1"/>
  <c r="D420" i="11" s="1"/>
  <c r="D421" i="11" a="1"/>
  <c r="D421" i="11" s="1"/>
  <c r="D422" i="11" a="1"/>
  <c r="D422" i="11" s="1"/>
  <c r="D423" i="11" a="1"/>
  <c r="D423" i="11" s="1"/>
  <c r="D424" i="11" a="1"/>
  <c r="D424" i="11" s="1"/>
  <c r="D425" i="11" a="1"/>
  <c r="D425" i="11" s="1"/>
  <c r="D426" i="11" a="1"/>
  <c r="D426" i="11" s="1"/>
  <c r="D427" i="11" a="1"/>
  <c r="D427" i="11" s="1"/>
  <c r="D428" i="11" a="1"/>
  <c r="D428" i="11" s="1"/>
  <c r="D429" i="11" a="1"/>
  <c r="D429" i="11" s="1"/>
  <c r="D430" i="11" a="1"/>
  <c r="D430" i="11" s="1"/>
  <c r="D431" i="11" a="1"/>
  <c r="D431" i="11" s="1"/>
  <c r="D432" i="11" a="1"/>
  <c r="D432" i="11" s="1"/>
  <c r="D433" i="11" a="1"/>
  <c r="D433" i="11" s="1"/>
  <c r="D434" i="11" a="1"/>
  <c r="D434" i="11" s="1"/>
  <c r="D435" i="11" a="1"/>
  <c r="D435" i="11" s="1"/>
  <c r="D436" i="11" a="1"/>
  <c r="D436" i="11" s="1"/>
  <c r="D437" i="11" a="1"/>
  <c r="D437" i="11" s="1"/>
  <c r="D438" i="11" a="1"/>
  <c r="D438" i="11" s="1"/>
  <c r="D439" i="11" a="1"/>
  <c r="D439" i="11" s="1"/>
  <c r="D440" i="11" a="1"/>
  <c r="D440" i="11" s="1"/>
  <c r="D441" i="11" a="1"/>
  <c r="D441" i="11" s="1"/>
  <c r="D442" i="11" a="1"/>
  <c r="D442" i="11" s="1"/>
  <c r="D443" i="11" a="1"/>
  <c r="D443" i="11" s="1"/>
  <c r="D444" i="11" a="1"/>
  <c r="D444" i="11" s="1"/>
  <c r="D445" i="11" a="1"/>
  <c r="D445" i="11" s="1"/>
  <c r="D446" i="11" a="1"/>
  <c r="D446" i="11" s="1"/>
  <c r="D447" i="11" a="1"/>
  <c r="D447" i="11" s="1"/>
  <c r="D448" i="11" a="1"/>
  <c r="D448" i="11" s="1"/>
  <c r="D449" i="11" a="1"/>
  <c r="D449" i="11" s="1"/>
  <c r="D450" i="11" a="1"/>
  <c r="D450" i="11" s="1"/>
  <c r="D451" i="11" a="1"/>
  <c r="D451" i="11" s="1"/>
  <c r="D452" i="11" a="1"/>
  <c r="D452" i="11" s="1"/>
  <c r="D453" i="11" a="1"/>
  <c r="D453" i="11" s="1"/>
  <c r="D454" i="11" a="1"/>
  <c r="D454" i="11" s="1"/>
  <c r="D455" i="11" a="1"/>
  <c r="D455" i="11" s="1"/>
  <c r="D456" i="11" a="1"/>
  <c r="D456" i="11" s="1"/>
  <c r="D457" i="11" a="1"/>
  <c r="D457" i="11" s="1"/>
  <c r="D458" i="11" a="1"/>
  <c r="D458" i="11" s="1"/>
  <c r="D459" i="11" a="1"/>
  <c r="D459" i="11" s="1"/>
  <c r="D460" i="11" a="1"/>
  <c r="D460" i="11" s="1"/>
  <c r="D461" i="11" a="1"/>
  <c r="D461" i="11" s="1"/>
  <c r="D462" i="11" a="1"/>
  <c r="D462" i="11" s="1"/>
  <c r="D463" i="11" a="1"/>
  <c r="D463" i="11" s="1"/>
  <c r="D464" i="11" a="1"/>
  <c r="D464" i="11" s="1"/>
  <c r="D465" i="11" a="1"/>
  <c r="D465" i="11" s="1"/>
  <c r="D466" i="11" a="1"/>
  <c r="D466" i="11" s="1"/>
  <c r="D467" i="11" a="1"/>
  <c r="D467" i="11" s="1"/>
  <c r="D468" i="11" a="1"/>
  <c r="D468" i="11" s="1"/>
  <c r="D469" i="11" a="1"/>
  <c r="D469" i="11" s="1"/>
  <c r="D470" i="11" a="1"/>
  <c r="D470" i="11" s="1"/>
  <c r="D471" i="11" a="1"/>
  <c r="D471" i="11" s="1"/>
  <c r="D472" i="11" a="1"/>
  <c r="D472" i="11" s="1"/>
  <c r="D473" i="11" a="1"/>
  <c r="D473" i="11" s="1"/>
  <c r="D474" i="11" a="1"/>
  <c r="D474" i="11" s="1"/>
  <c r="D475" i="11" a="1"/>
  <c r="D475" i="11" s="1"/>
  <c r="D476" i="11" a="1"/>
  <c r="D476" i="11" s="1"/>
  <c r="D477" i="11" a="1"/>
  <c r="D477" i="11" s="1"/>
  <c r="D478" i="11" a="1"/>
  <c r="D478" i="11" s="1"/>
  <c r="D479" i="11" a="1"/>
  <c r="D479" i="11" s="1"/>
  <c r="D480" i="11" a="1"/>
  <c r="D480" i="11" s="1"/>
  <c r="D481" i="11" a="1"/>
  <c r="D481" i="11" s="1"/>
  <c r="D482" i="11" a="1"/>
  <c r="D482" i="11" s="1"/>
  <c r="D483" i="11" a="1"/>
  <c r="D483" i="11" s="1"/>
  <c r="D484" i="11" a="1"/>
  <c r="D484" i="11" s="1"/>
  <c r="D485" i="11" a="1"/>
  <c r="D485" i="11" s="1"/>
  <c r="D486" i="11" a="1"/>
  <c r="D486" i="11" s="1"/>
  <c r="D487" i="11" a="1"/>
  <c r="D487" i="11" s="1"/>
  <c r="D488" i="11" a="1"/>
  <c r="D488" i="11" s="1"/>
  <c r="D489" i="11" a="1"/>
  <c r="D489" i="11" s="1"/>
  <c r="D490" i="11" a="1"/>
  <c r="D490" i="11" s="1"/>
  <c r="D491" i="11" a="1"/>
  <c r="D491" i="11" s="1"/>
  <c r="D492" i="11" a="1"/>
  <c r="D492" i="11" s="1"/>
  <c r="D493" i="11" a="1"/>
  <c r="D493" i="11" s="1"/>
  <c r="D494" i="11" a="1"/>
  <c r="D494" i="11" s="1"/>
  <c r="D495" i="11" a="1"/>
  <c r="D495" i="11" s="1"/>
  <c r="D496" i="11" a="1"/>
  <c r="D496" i="11" s="1"/>
  <c r="D497" i="11" a="1"/>
  <c r="D497" i="11" s="1"/>
  <c r="D498" i="11" a="1"/>
  <c r="D498" i="11" s="1"/>
  <c r="D499" i="11" a="1"/>
  <c r="D499" i="11" s="1"/>
  <c r="D500" i="11" a="1"/>
  <c r="D500" i="11" s="1"/>
  <c r="D501" i="11" a="1"/>
  <c r="D501" i="11" s="1"/>
  <c r="D502" i="11" a="1"/>
  <c r="D502" i="11" s="1"/>
  <c r="D503" i="11" a="1"/>
  <c r="D503" i="11" s="1"/>
  <c r="D504" i="11" a="1"/>
  <c r="D504" i="11" s="1"/>
  <c r="D505" i="11" a="1"/>
  <c r="D505" i="11" s="1"/>
  <c r="D506" i="11" a="1"/>
  <c r="D506" i="11" s="1"/>
  <c r="D507" i="11" a="1"/>
  <c r="D507" i="11" s="1"/>
  <c r="D508" i="11" a="1"/>
  <c r="D508" i="11" s="1"/>
  <c r="D509" i="11" a="1"/>
  <c r="D509" i="11" s="1"/>
  <c r="D510" i="11" a="1"/>
  <c r="D510" i="11" s="1"/>
  <c r="D511" i="11" a="1"/>
  <c r="D511" i="11" s="1"/>
  <c r="D512" i="11" a="1"/>
  <c r="D512" i="11" s="1"/>
  <c r="D513" i="11" a="1"/>
  <c r="D513" i="11" s="1"/>
  <c r="D514" i="11" a="1"/>
  <c r="D514" i="11" s="1"/>
  <c r="D515" i="11" a="1"/>
  <c r="D515" i="11" s="1"/>
  <c r="D516" i="11" a="1"/>
  <c r="D516" i="11" s="1"/>
  <c r="D517" i="11" a="1"/>
  <c r="D517" i="11" s="1"/>
  <c r="D518" i="11" a="1"/>
  <c r="D518" i="11" s="1"/>
  <c r="D519" i="11" a="1"/>
  <c r="D519" i="11" s="1"/>
  <c r="D520" i="11" a="1"/>
  <c r="D520" i="11" s="1"/>
  <c r="D521" i="11" a="1"/>
  <c r="D521" i="11" s="1"/>
  <c r="D522" i="11" a="1"/>
  <c r="D522" i="11" s="1"/>
  <c r="D523" i="11" a="1"/>
  <c r="D523" i="11" s="1"/>
  <c r="D524" i="11" a="1"/>
  <c r="D524" i="11" s="1"/>
  <c r="D525" i="11" a="1"/>
  <c r="D525" i="11" s="1"/>
  <c r="D526" i="11" a="1"/>
  <c r="D526" i="11" s="1"/>
  <c r="D527" i="11" a="1"/>
  <c r="D527" i="11" s="1"/>
  <c r="D528" i="11" a="1"/>
  <c r="D528" i="11" s="1"/>
  <c r="D529" i="11" a="1"/>
  <c r="D529" i="11" s="1"/>
  <c r="D530" i="11" a="1"/>
  <c r="D530" i="11" s="1"/>
  <c r="D531" i="11" a="1"/>
  <c r="D531" i="11" s="1"/>
  <c r="D532" i="11" a="1"/>
  <c r="D532" i="11" s="1"/>
  <c r="D533" i="11" a="1"/>
  <c r="D533" i="11" s="1"/>
  <c r="D534" i="11" a="1"/>
  <c r="D534" i="11" s="1"/>
  <c r="D535" i="11" a="1"/>
  <c r="D535" i="11" s="1"/>
  <c r="D536" i="11" a="1"/>
  <c r="D536" i="11" s="1"/>
  <c r="D537" i="11" a="1"/>
  <c r="D537" i="11" s="1"/>
  <c r="D538" i="11" a="1"/>
  <c r="D538" i="11" s="1"/>
  <c r="D539" i="11" a="1"/>
  <c r="D539" i="11" s="1"/>
  <c r="D540" i="11" a="1"/>
  <c r="D540" i="11" s="1"/>
  <c r="D541" i="11" a="1"/>
  <c r="D541" i="11" s="1"/>
  <c r="D542" i="11" a="1"/>
  <c r="D542" i="11" s="1"/>
  <c r="D543" i="11" a="1"/>
  <c r="D543" i="11" s="1"/>
  <c r="D544" i="11" a="1"/>
  <c r="D544" i="11" s="1"/>
  <c r="D545" i="11" a="1"/>
  <c r="D545" i="11" s="1"/>
  <c r="D546" i="11" a="1"/>
  <c r="D546" i="11" s="1"/>
  <c r="D547" i="11" a="1"/>
  <c r="D547" i="11" s="1"/>
  <c r="D548" i="11" a="1"/>
  <c r="D548" i="11" s="1"/>
  <c r="D549" i="11" a="1"/>
  <c r="D549" i="11" s="1"/>
  <c r="D550" i="11" a="1"/>
  <c r="D550" i="11" s="1"/>
  <c r="D551" i="11" a="1"/>
  <c r="D551" i="11" s="1"/>
  <c r="D552" i="11" a="1"/>
  <c r="D552" i="11" s="1"/>
  <c r="D553" i="11" a="1"/>
  <c r="D553" i="11" s="1"/>
  <c r="D554" i="11" a="1"/>
  <c r="D554" i="11" s="1"/>
  <c r="D555" i="11" a="1"/>
  <c r="D555" i="11" s="1"/>
  <c r="D556" i="11" a="1"/>
  <c r="D556" i="11" s="1"/>
  <c r="D557" i="11" a="1"/>
  <c r="D557" i="11" s="1"/>
  <c r="D558" i="11" a="1"/>
  <c r="D558" i="11" s="1"/>
  <c r="D559" i="11" a="1"/>
  <c r="D559" i="11" s="1"/>
  <c r="D560" i="11" a="1"/>
  <c r="D560" i="11" s="1"/>
  <c r="D561" i="11" a="1"/>
  <c r="D561" i="11" s="1"/>
  <c r="D562" i="11" a="1"/>
  <c r="D562" i="11" s="1"/>
  <c r="D563" i="11" a="1"/>
  <c r="D563" i="11" s="1"/>
  <c r="D564" i="11" a="1"/>
  <c r="D564" i="11" s="1"/>
  <c r="D565" i="11" a="1"/>
  <c r="D565" i="11" s="1"/>
  <c r="D566" i="11" a="1"/>
  <c r="D566" i="11" s="1"/>
  <c r="D567" i="11" a="1"/>
  <c r="D567" i="11" s="1"/>
  <c r="D568" i="11" a="1"/>
  <c r="D568" i="11" s="1"/>
  <c r="D569" i="11" a="1"/>
  <c r="D569" i="11" s="1"/>
  <c r="D570" i="11" a="1"/>
  <c r="D570" i="11" s="1"/>
  <c r="D571" i="11" a="1"/>
  <c r="D571" i="11" s="1"/>
  <c r="D572" i="11" a="1"/>
  <c r="D572" i="11" s="1"/>
  <c r="D573" i="11" a="1"/>
  <c r="D573" i="11" s="1"/>
  <c r="D574" i="11" a="1"/>
  <c r="D574" i="11" s="1"/>
  <c r="D575" i="11" a="1"/>
  <c r="D575" i="11" s="1"/>
  <c r="D576" i="11" a="1"/>
  <c r="D576" i="11" s="1"/>
  <c r="D577" i="11" a="1"/>
  <c r="D577" i="11" s="1"/>
  <c r="D578" i="11" a="1"/>
  <c r="D578" i="11" s="1"/>
  <c r="D579" i="11" a="1"/>
  <c r="D579" i="11" s="1"/>
  <c r="D580" i="11" a="1"/>
  <c r="D580" i="11" s="1"/>
  <c r="D581" i="11" a="1"/>
  <c r="D581" i="11" s="1"/>
  <c r="D582" i="11" a="1"/>
  <c r="D582" i="11" s="1"/>
  <c r="D583" i="11" a="1"/>
  <c r="D583" i="11" s="1"/>
  <c r="D584" i="11" a="1"/>
  <c r="D584" i="11" s="1"/>
  <c r="D585" i="11" a="1"/>
  <c r="D585" i="11" s="1"/>
  <c r="D586" i="11" a="1"/>
  <c r="D586" i="11" s="1"/>
  <c r="D587" i="11" a="1"/>
  <c r="D587" i="11" s="1"/>
  <c r="D588" i="11" a="1"/>
  <c r="D588" i="11" s="1"/>
  <c r="D589" i="11" a="1"/>
  <c r="D589" i="11" s="1"/>
  <c r="D590" i="11" a="1"/>
  <c r="D590" i="11" s="1"/>
  <c r="D591" i="11" a="1"/>
  <c r="D591" i="11" s="1"/>
  <c r="D592" i="11" a="1"/>
  <c r="D592" i="11" s="1"/>
  <c r="D593" i="11" a="1"/>
  <c r="D593" i="11" s="1"/>
  <c r="D594" i="11" a="1"/>
  <c r="D594" i="11" s="1"/>
  <c r="D595" i="11" a="1"/>
  <c r="D595" i="11" s="1"/>
  <c r="D596" i="11" a="1"/>
  <c r="D596" i="11" s="1"/>
  <c r="D597" i="11" a="1"/>
  <c r="D597" i="11" s="1"/>
  <c r="D598" i="11" a="1"/>
  <c r="D598" i="11" s="1"/>
  <c r="D599" i="11" a="1"/>
  <c r="D599" i="11" s="1"/>
  <c r="D600" i="11" a="1"/>
  <c r="D600" i="11" s="1"/>
  <c r="D601" i="11" a="1"/>
  <c r="D601" i="11" s="1"/>
  <c r="D602" i="11" a="1"/>
  <c r="D602" i="11" s="1"/>
  <c r="D603" i="11" a="1"/>
  <c r="D603" i="11" s="1"/>
  <c r="D604" i="11" a="1"/>
  <c r="D604" i="11" s="1"/>
  <c r="D605" i="11" a="1"/>
  <c r="D605" i="11" s="1"/>
  <c r="D606" i="11" a="1"/>
  <c r="D606" i="11" s="1"/>
  <c r="D607" i="11" a="1"/>
  <c r="D607" i="11" s="1"/>
  <c r="D608" i="11" a="1"/>
  <c r="D608" i="11" s="1"/>
  <c r="D609" i="11" a="1"/>
  <c r="D609" i="11" s="1"/>
  <c r="D610" i="11" a="1"/>
  <c r="D610" i="11" s="1"/>
  <c r="D611" i="11" a="1"/>
  <c r="D611" i="11" s="1"/>
  <c r="D612" i="11" a="1"/>
  <c r="D612" i="11" s="1"/>
  <c r="D613" i="11" a="1"/>
  <c r="D613" i="11" s="1"/>
  <c r="D614" i="11" a="1"/>
  <c r="D614" i="11" s="1"/>
  <c r="D615" i="11" a="1"/>
  <c r="D615" i="11" s="1"/>
  <c r="D616" i="11" a="1"/>
  <c r="D616" i="11" s="1"/>
  <c r="D617" i="11" a="1"/>
  <c r="D617" i="11" s="1"/>
  <c r="D618" i="11" a="1"/>
  <c r="D618" i="11" s="1"/>
  <c r="D619" i="11" a="1"/>
  <c r="D619" i="11" s="1"/>
  <c r="D620" i="11" a="1"/>
  <c r="D620" i="11" s="1"/>
  <c r="D621" i="11" a="1"/>
  <c r="D621" i="11" s="1"/>
  <c r="D622" i="11" a="1"/>
  <c r="D622" i="11" s="1"/>
  <c r="D623" i="11" a="1"/>
  <c r="D623" i="11" s="1"/>
  <c r="D624" i="11" a="1"/>
  <c r="D624" i="11" s="1"/>
  <c r="D625" i="11" a="1"/>
  <c r="D625" i="11" s="1"/>
  <c r="D626" i="11" a="1"/>
  <c r="D626" i="11" s="1"/>
  <c r="D627" i="11" a="1"/>
  <c r="D627" i="11" s="1"/>
  <c r="D628" i="11" a="1"/>
  <c r="D628" i="11" s="1"/>
  <c r="D629" i="11" a="1"/>
  <c r="D629" i="11" s="1"/>
  <c r="D630" i="11" a="1"/>
  <c r="D630" i="11" s="1"/>
  <c r="D631" i="11" a="1"/>
  <c r="D631" i="11" s="1"/>
  <c r="D632" i="11" a="1"/>
  <c r="D632" i="11" s="1"/>
  <c r="D633" i="11" a="1"/>
  <c r="D633" i="11" s="1"/>
  <c r="D634" i="11" a="1"/>
  <c r="D634" i="11" s="1"/>
  <c r="D635" i="11" a="1"/>
  <c r="D635" i="11" s="1"/>
  <c r="D636" i="11" a="1"/>
  <c r="D636" i="11" s="1"/>
  <c r="D637" i="11" a="1"/>
  <c r="D637" i="11" s="1"/>
  <c r="D638" i="11" a="1"/>
  <c r="D638" i="11" s="1"/>
  <c r="D639" i="11" a="1"/>
  <c r="D639" i="11" s="1"/>
  <c r="D640" i="11" a="1"/>
  <c r="D640" i="11" s="1"/>
  <c r="D641" i="11" a="1"/>
  <c r="D641" i="11" s="1"/>
  <c r="D642" i="11" a="1"/>
  <c r="D642" i="11" s="1"/>
  <c r="D643" i="11" a="1"/>
  <c r="D643" i="11" s="1"/>
  <c r="D644" i="11" a="1"/>
  <c r="D644" i="11" s="1"/>
  <c r="D645" i="11" a="1"/>
  <c r="D645" i="11" s="1"/>
  <c r="D646" i="11" a="1"/>
  <c r="D646" i="11" s="1"/>
  <c r="D647" i="11" a="1"/>
  <c r="D647" i="11" s="1"/>
  <c r="D648" i="11" a="1"/>
  <c r="D648" i="11" s="1"/>
  <c r="D649" i="11" a="1"/>
  <c r="D649" i="11" s="1"/>
  <c r="D650" i="11" a="1"/>
  <c r="D650" i="11" s="1"/>
  <c r="D651" i="11" a="1"/>
  <c r="D651" i="11" s="1"/>
  <c r="D652" i="11" a="1"/>
  <c r="D652" i="11" s="1"/>
  <c r="D653" i="11" a="1"/>
  <c r="D653" i="11" s="1"/>
  <c r="D654" i="11" a="1"/>
  <c r="D654" i="11" s="1"/>
  <c r="D655" i="11" a="1"/>
  <c r="D655" i="11" s="1"/>
  <c r="D656" i="11" a="1"/>
  <c r="D656" i="11" s="1"/>
  <c r="D657" i="11" a="1"/>
  <c r="D657" i="11" s="1"/>
  <c r="D658" i="11" a="1"/>
  <c r="D658" i="11" s="1"/>
  <c r="D659" i="11" a="1"/>
  <c r="D659" i="11" s="1"/>
  <c r="D660" i="11" a="1"/>
  <c r="D660" i="11" s="1"/>
  <c r="D661" i="11" a="1"/>
  <c r="D661" i="11" s="1"/>
  <c r="D662" i="11" a="1"/>
  <c r="D662" i="11" s="1"/>
  <c r="D663" i="11" a="1"/>
  <c r="D663" i="11" s="1"/>
  <c r="D664" i="11" a="1"/>
  <c r="D664" i="11" s="1"/>
  <c r="D665" i="11" a="1"/>
  <c r="D665" i="11" s="1"/>
  <c r="D666" i="11" a="1"/>
  <c r="D666" i="11" s="1"/>
  <c r="D667" i="11" a="1"/>
  <c r="D667" i="11" s="1"/>
  <c r="D668" i="11" a="1"/>
  <c r="D668" i="11" s="1"/>
  <c r="D669" i="11" a="1"/>
  <c r="D669" i="11" s="1"/>
  <c r="D670" i="11" a="1"/>
  <c r="D670" i="11" s="1"/>
  <c r="D671" i="11" a="1"/>
  <c r="D671" i="11" s="1"/>
  <c r="D672" i="11" a="1"/>
  <c r="D672" i="11" s="1"/>
  <c r="D673" i="11" a="1"/>
  <c r="D673" i="11" s="1"/>
  <c r="D674" i="11" a="1"/>
  <c r="D674" i="11" s="1"/>
  <c r="D675" i="11" a="1"/>
  <c r="D675" i="11" s="1"/>
  <c r="D676" i="11" a="1"/>
  <c r="D676" i="11" s="1"/>
  <c r="D677" i="11" a="1"/>
  <c r="D677" i="11" s="1"/>
  <c r="D678" i="11" a="1"/>
  <c r="D678" i="11" s="1"/>
  <c r="D679" i="11" a="1"/>
  <c r="D679" i="11" s="1"/>
  <c r="D680" i="11" a="1"/>
  <c r="D680" i="11" s="1"/>
  <c r="D681" i="11" a="1"/>
  <c r="D681" i="11" s="1"/>
  <c r="D682" i="11" a="1"/>
  <c r="D682" i="11" s="1"/>
  <c r="D683" i="11" a="1"/>
  <c r="D683" i="11" s="1"/>
  <c r="D684" i="11" a="1"/>
  <c r="D684" i="11" s="1"/>
  <c r="D685" i="11" a="1"/>
  <c r="D685" i="11" s="1"/>
  <c r="D686" i="11" a="1"/>
  <c r="D686" i="11" s="1"/>
  <c r="D687" i="11" a="1"/>
  <c r="D687" i="11" s="1"/>
  <c r="D688" i="11" a="1"/>
  <c r="D688" i="11" s="1"/>
  <c r="D689" i="11" a="1"/>
  <c r="D689" i="11" s="1"/>
  <c r="D690" i="11" a="1"/>
  <c r="D690" i="11" s="1"/>
  <c r="D691" i="11" a="1"/>
  <c r="D691" i="11" s="1"/>
  <c r="D692" i="11" a="1"/>
  <c r="D692" i="11" s="1"/>
  <c r="D693" i="11" a="1"/>
  <c r="D693" i="11" s="1"/>
  <c r="D694" i="11" a="1"/>
  <c r="D694" i="11" s="1"/>
  <c r="D695" i="11" a="1"/>
  <c r="D695" i="11" s="1"/>
  <c r="D696" i="11" a="1"/>
  <c r="D696" i="11" s="1"/>
  <c r="D697" i="11" a="1"/>
  <c r="D697" i="11" s="1"/>
  <c r="D698" i="11" a="1"/>
  <c r="D698" i="11" s="1"/>
  <c r="D699" i="11" a="1"/>
  <c r="D699" i="11" s="1"/>
  <c r="D700" i="11" a="1"/>
  <c r="D700" i="11" s="1"/>
  <c r="D701" i="11" a="1"/>
  <c r="D701" i="11" s="1"/>
  <c r="D702" i="11" a="1"/>
  <c r="D702" i="11" s="1"/>
  <c r="D703" i="11" a="1"/>
  <c r="D703" i="11" s="1"/>
  <c r="D704" i="11" a="1"/>
  <c r="D704" i="11" s="1"/>
  <c r="D705" i="11" a="1"/>
  <c r="D705" i="11" s="1"/>
  <c r="D706" i="11" a="1"/>
  <c r="D706" i="11" s="1"/>
  <c r="D707" i="11" a="1"/>
  <c r="D707" i="11" s="1"/>
  <c r="D708" i="11" a="1"/>
  <c r="D708" i="11" s="1"/>
  <c r="D709" i="11" a="1"/>
  <c r="D709" i="11" s="1"/>
  <c r="D710" i="11" a="1"/>
  <c r="D710" i="11" s="1"/>
  <c r="D711" i="11" a="1"/>
  <c r="D711" i="11" s="1"/>
  <c r="D712" i="11" a="1"/>
  <c r="D712" i="11" s="1"/>
  <c r="D713" i="11" a="1"/>
  <c r="D713" i="11" s="1"/>
  <c r="D714" i="11" a="1"/>
  <c r="D714" i="11" s="1"/>
  <c r="D715" i="11" a="1"/>
  <c r="D715" i="11" s="1"/>
  <c r="D716" i="11" a="1"/>
  <c r="D716" i="11" s="1"/>
  <c r="D717" i="11" a="1"/>
  <c r="D717" i="11" s="1"/>
  <c r="D718" i="11" a="1"/>
  <c r="D718" i="11" s="1"/>
  <c r="D719" i="11" a="1"/>
  <c r="D719" i="11" s="1"/>
  <c r="D720" i="11" a="1"/>
  <c r="D720" i="11" s="1"/>
  <c r="D721" i="11" a="1"/>
  <c r="D721" i="11" s="1"/>
  <c r="D722" i="11" a="1"/>
  <c r="D722" i="11" s="1"/>
  <c r="D723" i="11" a="1"/>
  <c r="D723" i="11" s="1"/>
  <c r="D724" i="11" a="1"/>
  <c r="D724" i="11" s="1"/>
  <c r="D725" i="11" a="1"/>
  <c r="D725" i="11" s="1"/>
  <c r="D726" i="11" a="1"/>
  <c r="D726" i="11" s="1"/>
  <c r="D727" i="11" a="1"/>
  <c r="D727" i="11" s="1"/>
  <c r="D728" i="11" a="1"/>
  <c r="D728" i="11" s="1"/>
  <c r="D729" i="11" a="1"/>
  <c r="D729" i="11" s="1"/>
  <c r="D730" i="11" a="1"/>
  <c r="D730" i="11" s="1"/>
  <c r="D731" i="11" a="1"/>
  <c r="D731" i="11" s="1"/>
  <c r="D732" i="11" a="1"/>
  <c r="D732" i="11" s="1"/>
  <c r="D733" i="11" a="1"/>
  <c r="D733" i="11" s="1"/>
  <c r="D734" i="11" a="1"/>
  <c r="D734" i="11" s="1"/>
  <c r="D735" i="11" a="1"/>
  <c r="D735" i="11" s="1"/>
  <c r="D736" i="11" a="1"/>
  <c r="D736" i="11" s="1"/>
  <c r="D737" i="11" a="1"/>
  <c r="D737" i="11" s="1"/>
  <c r="D738" i="11" a="1"/>
  <c r="D738" i="11" s="1"/>
  <c r="D739" i="11" a="1"/>
  <c r="D739" i="11" s="1"/>
  <c r="D740" i="11" a="1"/>
  <c r="D740" i="11" s="1"/>
  <c r="D741" i="11" a="1"/>
  <c r="D741" i="11" s="1"/>
  <c r="D742" i="11" a="1"/>
  <c r="D742" i="11" s="1"/>
  <c r="D743" i="11" a="1"/>
  <c r="D743" i="11" s="1"/>
  <c r="D744" i="11" a="1"/>
  <c r="D744" i="11" s="1"/>
  <c r="D745" i="11" a="1"/>
  <c r="D745" i="11" s="1"/>
  <c r="D746" i="11" a="1"/>
  <c r="D746" i="11" s="1"/>
  <c r="D747" i="11" a="1"/>
  <c r="D747" i="11" s="1"/>
  <c r="D748" i="11" a="1"/>
  <c r="D748" i="11" s="1"/>
  <c r="D749" i="11" a="1"/>
  <c r="D749" i="11" s="1"/>
  <c r="D750" i="11" a="1"/>
  <c r="D750" i="11" s="1"/>
  <c r="D751" i="11" a="1"/>
  <c r="D751" i="11" s="1"/>
  <c r="D752" i="11" a="1"/>
  <c r="D752" i="11" s="1"/>
  <c r="D753" i="11" a="1"/>
  <c r="D753" i="11" s="1"/>
  <c r="D754" i="11" a="1"/>
  <c r="D754" i="11" s="1"/>
  <c r="D755" i="11" a="1"/>
  <c r="D755" i="11" s="1"/>
  <c r="D756" i="11" a="1"/>
  <c r="D756" i="11" s="1"/>
  <c r="D757" i="11" a="1"/>
  <c r="D757" i="11" s="1"/>
  <c r="D758" i="11" a="1"/>
  <c r="D758" i="11" s="1"/>
  <c r="D759" i="11" a="1"/>
  <c r="D759" i="11" s="1"/>
  <c r="D760" i="11" a="1"/>
  <c r="D760" i="11" s="1"/>
  <c r="D761" i="11" a="1"/>
  <c r="D761" i="11" s="1"/>
  <c r="D762" i="11" a="1"/>
  <c r="D762" i="11" s="1"/>
  <c r="D763" i="11" a="1"/>
  <c r="D763" i="11" s="1"/>
  <c r="D764" i="11" a="1"/>
  <c r="D764" i="11" s="1"/>
  <c r="D765" i="11" a="1"/>
  <c r="D765" i="11" s="1"/>
  <c r="D766" i="11" a="1"/>
  <c r="D766" i="11" s="1"/>
  <c r="D767" i="11" a="1"/>
  <c r="D767" i="11" s="1"/>
  <c r="D768" i="11" a="1"/>
  <c r="D768" i="11" s="1"/>
  <c r="D769" i="11" a="1"/>
  <c r="D769" i="11" s="1"/>
  <c r="D770" i="11" a="1"/>
  <c r="D770" i="11" s="1"/>
  <c r="D771" i="11" a="1"/>
  <c r="D771" i="11" s="1"/>
  <c r="D772" i="11" a="1"/>
  <c r="D772" i="11" s="1"/>
  <c r="D773" i="11" a="1"/>
  <c r="D773" i="11" s="1"/>
  <c r="D774" i="11" a="1"/>
  <c r="D774" i="11" s="1"/>
  <c r="D775" i="11" a="1"/>
  <c r="D775" i="11" s="1"/>
  <c r="D776" i="11" a="1"/>
  <c r="D776" i="11" s="1"/>
  <c r="D777" i="11" a="1"/>
  <c r="D777" i="11" s="1"/>
  <c r="D778" i="11" a="1"/>
  <c r="D778" i="11" s="1"/>
  <c r="D779" i="11" a="1"/>
  <c r="D779" i="11" s="1"/>
  <c r="D780" i="11" a="1"/>
  <c r="D780" i="11" s="1"/>
  <c r="D781" i="11" a="1"/>
  <c r="D781" i="11" s="1"/>
  <c r="D782" i="11" a="1"/>
  <c r="D782" i="11" s="1"/>
  <c r="D783" i="11" a="1"/>
  <c r="D783" i="11" s="1"/>
  <c r="D784" i="11" a="1"/>
  <c r="D784" i="11" s="1"/>
  <c r="D785" i="11" a="1"/>
  <c r="D785" i="11" s="1"/>
  <c r="D786" i="11" a="1"/>
  <c r="D786" i="11" s="1"/>
  <c r="D787" i="11" a="1"/>
  <c r="D787" i="11" s="1"/>
  <c r="D788" i="11" a="1"/>
  <c r="D788" i="11" s="1"/>
  <c r="D789" i="11" a="1"/>
  <c r="D789" i="11" s="1"/>
  <c r="D790" i="11" a="1"/>
  <c r="D790" i="11" s="1"/>
  <c r="D791" i="11" a="1"/>
  <c r="D791" i="11" s="1"/>
  <c r="D792" i="11" a="1"/>
  <c r="D792" i="11" s="1"/>
  <c r="D793" i="11" a="1"/>
  <c r="D793" i="11" s="1"/>
  <c r="D794" i="11" a="1"/>
  <c r="D794" i="11" s="1"/>
  <c r="D795" i="11" a="1"/>
  <c r="D795" i="11" s="1"/>
  <c r="D796" i="11" a="1"/>
  <c r="D796" i="11" s="1"/>
  <c r="D797" i="11" a="1"/>
  <c r="D797" i="11" s="1"/>
  <c r="D798" i="11" a="1"/>
  <c r="D798" i="11" s="1"/>
  <c r="D799" i="11" a="1"/>
  <c r="D799" i="11" s="1"/>
  <c r="D800" i="11" a="1"/>
  <c r="D800" i="11" s="1"/>
  <c r="D801" i="11" a="1"/>
  <c r="D801" i="11" s="1"/>
  <c r="D802" i="11" a="1"/>
  <c r="D802" i="11" s="1"/>
  <c r="D803" i="11" a="1"/>
  <c r="D803" i="11" s="1"/>
  <c r="D804" i="11" a="1"/>
  <c r="D804" i="11" s="1"/>
  <c r="D805" i="11" a="1"/>
  <c r="D805" i="11" s="1"/>
  <c r="D806" i="11" a="1"/>
  <c r="D806" i="11" s="1"/>
  <c r="D807" i="11" a="1"/>
  <c r="D807" i="11" s="1"/>
  <c r="D808" i="11" a="1"/>
  <c r="D808" i="11" s="1"/>
  <c r="D809" i="11" a="1"/>
  <c r="D809" i="11" s="1"/>
  <c r="D810" i="11" a="1"/>
  <c r="D810" i="11" s="1"/>
  <c r="D811" i="11" a="1"/>
  <c r="D811" i="11" s="1"/>
  <c r="D812" i="11" a="1"/>
  <c r="D812" i="11" s="1"/>
  <c r="D813" i="11" a="1"/>
  <c r="D813" i="11" s="1"/>
  <c r="D814" i="11" a="1"/>
  <c r="D814" i="11" s="1"/>
  <c r="D815" i="11" a="1"/>
  <c r="D815" i="11" s="1"/>
  <c r="D816" i="11" a="1"/>
  <c r="D816" i="11" s="1"/>
  <c r="D817" i="11" a="1"/>
  <c r="D817" i="11" s="1"/>
  <c r="D818" i="11" a="1"/>
  <c r="D818" i="11" s="1"/>
  <c r="D819" i="11" a="1"/>
  <c r="D819" i="11" s="1"/>
  <c r="D820" i="11" a="1"/>
  <c r="D820" i="11" s="1"/>
  <c r="D821" i="11" a="1"/>
  <c r="D821" i="11" s="1"/>
  <c r="D822" i="11" a="1"/>
  <c r="D822" i="11" s="1"/>
  <c r="D823" i="11" a="1"/>
  <c r="D823" i="11" s="1"/>
  <c r="D824" i="11" a="1"/>
  <c r="D824" i="11" s="1"/>
  <c r="D825" i="11" a="1"/>
  <c r="D825" i="11" s="1"/>
  <c r="D826" i="11" a="1"/>
  <c r="D826" i="11" s="1"/>
  <c r="D827" i="11" a="1"/>
  <c r="D827" i="11" s="1"/>
  <c r="D828" i="11" a="1"/>
  <c r="D828" i="11" s="1"/>
  <c r="D829" i="11" a="1"/>
  <c r="D829" i="11" s="1"/>
  <c r="D830" i="11" a="1"/>
  <c r="D830" i="11" s="1"/>
  <c r="D831" i="11" a="1"/>
  <c r="D831" i="11" s="1"/>
  <c r="D832" i="11" a="1"/>
  <c r="D832" i="11" s="1"/>
  <c r="D833" i="11" a="1"/>
  <c r="D833" i="11" s="1"/>
  <c r="D834" i="11" a="1"/>
  <c r="D834" i="11" s="1"/>
  <c r="D835" i="11" a="1"/>
  <c r="D835" i="11" s="1"/>
  <c r="D836" i="11" a="1"/>
  <c r="D836" i="11" s="1"/>
  <c r="D837" i="11" a="1"/>
  <c r="D837" i="11" s="1"/>
  <c r="D838" i="11" a="1"/>
  <c r="D838" i="11" s="1"/>
  <c r="D839" i="11" a="1"/>
  <c r="D839" i="11" s="1"/>
  <c r="D840" i="11" a="1"/>
  <c r="D840" i="11" s="1"/>
  <c r="D841" i="11" a="1"/>
  <c r="D841" i="11" s="1"/>
  <c r="D842" i="11" a="1"/>
  <c r="D842" i="11" s="1"/>
  <c r="D843" i="11" a="1"/>
  <c r="D843" i="11" s="1"/>
  <c r="D844" i="11" a="1"/>
  <c r="D844" i="11" s="1"/>
  <c r="D845" i="11" a="1"/>
  <c r="D845" i="11" s="1"/>
  <c r="D846" i="11" a="1"/>
  <c r="D846" i="11" s="1"/>
  <c r="D847" i="11" a="1"/>
  <c r="D847" i="11" s="1"/>
  <c r="D848" i="11" a="1"/>
  <c r="D848" i="11" s="1"/>
  <c r="D849" i="11" a="1"/>
  <c r="D849" i="11" s="1"/>
  <c r="D850" i="11" a="1"/>
  <c r="D850" i="11" s="1"/>
  <c r="D851" i="11" a="1"/>
  <c r="D851" i="11" s="1"/>
  <c r="D852" i="11" a="1"/>
  <c r="D852" i="11" s="1"/>
  <c r="D853" i="11" a="1"/>
  <c r="D853" i="11" s="1"/>
  <c r="D854" i="11" a="1"/>
  <c r="D854" i="11" s="1"/>
  <c r="D855" i="11" a="1"/>
  <c r="D855" i="11" s="1"/>
  <c r="D856" i="11" a="1"/>
  <c r="D856" i="11" s="1"/>
  <c r="D857" i="11" a="1"/>
  <c r="D857" i="11" s="1"/>
  <c r="D858" i="11" a="1"/>
  <c r="D858" i="11" s="1"/>
  <c r="D859" i="11" a="1"/>
  <c r="D859" i="11" s="1"/>
  <c r="D860" i="11" a="1"/>
  <c r="D860" i="11" s="1"/>
  <c r="D861" i="11" a="1"/>
  <c r="D861" i="11" s="1"/>
  <c r="D862" i="11" a="1"/>
  <c r="D862" i="11" s="1"/>
  <c r="D863" i="11" a="1"/>
  <c r="D863" i="11" s="1"/>
  <c r="D864" i="11" a="1"/>
  <c r="D864" i="11" s="1"/>
  <c r="D865" i="11" a="1"/>
  <c r="D865" i="11" s="1"/>
  <c r="D866" i="11" a="1"/>
  <c r="D866" i="11" s="1"/>
  <c r="D867" i="11" a="1"/>
  <c r="D867" i="11" s="1"/>
  <c r="D868" i="11" a="1"/>
  <c r="D868" i="11" s="1"/>
  <c r="D869" i="11" a="1"/>
  <c r="D869" i="11" s="1"/>
  <c r="D870" i="11" a="1"/>
  <c r="D870" i="11" s="1"/>
  <c r="D871" i="11" a="1"/>
  <c r="D871" i="11" s="1"/>
  <c r="D872" i="11" a="1"/>
  <c r="D872" i="11" s="1"/>
  <c r="D873" i="11" a="1"/>
  <c r="D873" i="11" s="1"/>
  <c r="D874" i="11" a="1"/>
  <c r="D874" i="11" s="1"/>
  <c r="D875" i="11" a="1"/>
  <c r="D875" i="11" s="1"/>
  <c r="D876" i="11" a="1"/>
  <c r="D876" i="11" s="1"/>
  <c r="D877" i="11" a="1"/>
  <c r="D877" i="11" s="1"/>
  <c r="D878" i="11" a="1"/>
  <c r="D878" i="11" s="1"/>
  <c r="D879" i="11" a="1"/>
  <c r="D879" i="11" s="1"/>
  <c r="D880" i="11" a="1"/>
  <c r="D880" i="11" s="1"/>
  <c r="D881" i="11" a="1"/>
  <c r="D881" i="11" s="1"/>
  <c r="D882" i="11" a="1"/>
  <c r="D882" i="11" s="1"/>
  <c r="D883" i="11" a="1"/>
  <c r="D883" i="11" s="1"/>
  <c r="D884" i="11" a="1"/>
  <c r="D884" i="11" s="1"/>
  <c r="D885" i="11" a="1"/>
  <c r="D885" i="11" s="1"/>
  <c r="D886" i="11" a="1"/>
  <c r="D886" i="11" s="1"/>
  <c r="D887" i="11" a="1"/>
  <c r="D887" i="11" s="1"/>
  <c r="D888" i="11" a="1"/>
  <c r="D888" i="11" s="1"/>
  <c r="D889" i="11" a="1"/>
  <c r="D889" i="11" s="1"/>
  <c r="D890" i="11" a="1"/>
  <c r="D890" i="11" s="1"/>
  <c r="D891" i="11" a="1"/>
  <c r="D891" i="11" s="1"/>
  <c r="D892" i="11" a="1"/>
  <c r="D892" i="11" s="1"/>
  <c r="D893" i="11" a="1"/>
  <c r="D893" i="11" s="1"/>
  <c r="D894" i="11" a="1"/>
  <c r="D894" i="11" s="1"/>
  <c r="D895" i="11" a="1"/>
  <c r="D895" i="11" s="1"/>
  <c r="D896" i="11" a="1"/>
  <c r="D896" i="11" s="1"/>
  <c r="D897" i="11" a="1"/>
  <c r="D897" i="11" s="1"/>
  <c r="D898" i="11" a="1"/>
  <c r="D898" i="11" s="1"/>
  <c r="D899" i="11" a="1"/>
  <c r="D899" i="11" s="1"/>
  <c r="D900" i="11" a="1"/>
  <c r="D900" i="11" s="1"/>
  <c r="D901" i="11" a="1"/>
  <c r="D901" i="11" s="1"/>
  <c r="D902" i="11" a="1"/>
  <c r="D902" i="11" s="1"/>
  <c r="D903" i="11" a="1"/>
  <c r="D903" i="11" s="1"/>
  <c r="D904" i="11" a="1"/>
  <c r="D904" i="11" s="1"/>
  <c r="D905" i="11" a="1"/>
  <c r="D905" i="11" s="1"/>
  <c r="D906" i="11" a="1"/>
  <c r="D906" i="11" s="1"/>
  <c r="D907" i="11" a="1"/>
  <c r="D907" i="11" s="1"/>
  <c r="D908" i="11" a="1"/>
  <c r="D908" i="11" s="1"/>
  <c r="D909" i="11" a="1"/>
  <c r="D909" i="11" s="1"/>
  <c r="D910" i="11" a="1"/>
  <c r="D910" i="11" s="1"/>
  <c r="D911" i="11" a="1"/>
  <c r="D911" i="11" s="1"/>
  <c r="D912" i="11" a="1"/>
  <c r="D912" i="11" s="1"/>
  <c r="D913" i="11" a="1"/>
  <c r="D913" i="11" s="1"/>
  <c r="D914" i="11" a="1"/>
  <c r="D914" i="11" s="1"/>
  <c r="D915" i="11" a="1"/>
  <c r="D915" i="11" s="1"/>
  <c r="D916" i="11" a="1"/>
  <c r="D916" i="11" s="1"/>
  <c r="D917" i="11" a="1"/>
  <c r="D917" i="11" s="1"/>
  <c r="D918" i="11" a="1"/>
  <c r="D918" i="11" s="1"/>
  <c r="D919" i="11" a="1"/>
  <c r="D919" i="11" s="1"/>
  <c r="D920" i="11" a="1"/>
  <c r="D920" i="11" s="1"/>
  <c r="D921" i="11" a="1"/>
  <c r="D921" i="11" s="1"/>
  <c r="D922" i="11" a="1"/>
  <c r="D922" i="11" s="1"/>
  <c r="D923" i="11" a="1"/>
  <c r="D923" i="11" s="1"/>
  <c r="D924" i="11" a="1"/>
  <c r="D924" i="11" s="1"/>
  <c r="D925" i="11" a="1"/>
  <c r="D925" i="11" s="1"/>
  <c r="D926" i="11" a="1"/>
  <c r="D926" i="11" s="1"/>
  <c r="D927" i="11" a="1"/>
  <c r="D927" i="11" s="1"/>
  <c r="D928" i="11" a="1"/>
  <c r="D928" i="11" s="1"/>
  <c r="D929" i="11" a="1"/>
  <c r="D929" i="11" s="1"/>
  <c r="D930" i="11" a="1"/>
  <c r="D930" i="11" s="1"/>
  <c r="D931" i="11" a="1"/>
  <c r="D931" i="11" s="1"/>
  <c r="D932" i="11" a="1"/>
  <c r="D932" i="11" s="1"/>
  <c r="D933" i="11" a="1"/>
  <c r="D933" i="11" s="1"/>
  <c r="D934" i="11" a="1"/>
  <c r="D934" i="11" s="1"/>
  <c r="D935" i="11" a="1"/>
  <c r="D935" i="11" s="1"/>
  <c r="D936" i="11" a="1"/>
  <c r="D936" i="11" s="1"/>
  <c r="D937" i="11" a="1"/>
  <c r="D937" i="11" s="1"/>
  <c r="D938" i="11" a="1"/>
  <c r="D938" i="11" s="1"/>
  <c r="D939" i="11" a="1"/>
  <c r="D939" i="11" s="1"/>
  <c r="D940" i="11" a="1"/>
  <c r="D940" i="11" s="1"/>
  <c r="D941" i="11" a="1"/>
  <c r="D941" i="11" s="1"/>
  <c r="D942" i="11" a="1"/>
  <c r="D942" i="11" s="1"/>
  <c r="D943" i="11" a="1"/>
  <c r="D943" i="11" s="1"/>
  <c r="D944" i="11" a="1"/>
  <c r="D944" i="11" s="1"/>
  <c r="D945" i="11" a="1"/>
  <c r="D945" i="11" s="1"/>
  <c r="D946" i="11" a="1"/>
  <c r="D946" i="11" s="1"/>
  <c r="D947" i="11" a="1"/>
  <c r="D947" i="11" s="1"/>
  <c r="D948" i="11" a="1"/>
  <c r="D948" i="11" s="1"/>
  <c r="D949" i="11" a="1"/>
  <c r="D949" i="11" s="1"/>
  <c r="D950" i="11" a="1"/>
  <c r="D950" i="11" s="1"/>
  <c r="D951" i="11" a="1"/>
  <c r="D951" i="11" s="1"/>
  <c r="D952" i="11" a="1"/>
  <c r="D952" i="11" s="1"/>
  <c r="D953" i="11" a="1"/>
  <c r="D953" i="11" s="1"/>
  <c r="D954" i="11" a="1"/>
  <c r="D954" i="11" s="1"/>
  <c r="D955" i="11" a="1"/>
  <c r="D955" i="11" s="1"/>
  <c r="D956" i="11" a="1"/>
  <c r="D956" i="11" s="1"/>
  <c r="D957" i="11" a="1"/>
  <c r="D957" i="11" s="1"/>
  <c r="D958" i="11" a="1"/>
  <c r="D958" i="11" s="1"/>
  <c r="D959" i="11" a="1"/>
  <c r="D959" i="11" s="1"/>
  <c r="D960" i="11" a="1"/>
  <c r="D960" i="11" s="1"/>
  <c r="D961" i="11" a="1"/>
  <c r="D961" i="11" s="1"/>
  <c r="D962" i="11" a="1"/>
  <c r="D962" i="11" s="1"/>
  <c r="D963" i="11" a="1"/>
  <c r="D963" i="11" s="1"/>
  <c r="D964" i="11" a="1"/>
  <c r="D964" i="11" s="1"/>
  <c r="D965" i="11" a="1"/>
  <c r="D965" i="11" s="1"/>
  <c r="D966" i="11" a="1"/>
  <c r="D966" i="11" s="1"/>
  <c r="D967" i="11" a="1"/>
  <c r="D967" i="11" s="1"/>
  <c r="D968" i="11" a="1"/>
  <c r="D968" i="11" s="1"/>
  <c r="D969" i="11" a="1"/>
  <c r="D969" i="11" s="1"/>
  <c r="D970" i="11" a="1"/>
  <c r="D970" i="11" s="1"/>
  <c r="D971" i="11" a="1"/>
  <c r="D971" i="11" s="1"/>
  <c r="D972" i="11" a="1"/>
  <c r="D972" i="11" s="1"/>
  <c r="D973" i="11" a="1"/>
  <c r="D973" i="11" s="1"/>
  <c r="D974" i="11" a="1"/>
  <c r="D974" i="11" s="1"/>
  <c r="D975" i="11" a="1"/>
  <c r="D975" i="11" s="1"/>
  <c r="D976" i="11" a="1"/>
  <c r="D976" i="11" s="1"/>
  <c r="D977" i="11" a="1"/>
  <c r="D977" i="11" s="1"/>
  <c r="D978" i="11" a="1"/>
  <c r="D978" i="11" s="1"/>
  <c r="D979" i="11" a="1"/>
  <c r="D979" i="11" s="1"/>
  <c r="D980" i="11" a="1"/>
  <c r="D980" i="11" s="1"/>
  <c r="D981" i="11" a="1"/>
  <c r="D981" i="11" s="1"/>
  <c r="D982" i="11" a="1"/>
  <c r="D982" i="11" s="1"/>
  <c r="D983" i="11" a="1"/>
  <c r="D983" i="11" s="1"/>
  <c r="D984" i="11" a="1"/>
  <c r="D984" i="11" s="1"/>
  <c r="D985" i="11" a="1"/>
  <c r="D985" i="11" s="1"/>
  <c r="D986" i="11" a="1"/>
  <c r="D986" i="11" s="1"/>
  <c r="D987" i="11" a="1"/>
  <c r="D987" i="11" s="1"/>
  <c r="D988" i="11" a="1"/>
  <c r="D988" i="11" s="1"/>
  <c r="D989" i="11" a="1"/>
  <c r="D989" i="11" s="1"/>
  <c r="D990" i="11" a="1"/>
  <c r="D990" i="11" s="1"/>
  <c r="D991" i="11" a="1"/>
  <c r="D991" i="11" s="1"/>
  <c r="D992" i="11" a="1"/>
  <c r="D992" i="11" s="1"/>
  <c r="D993" i="11" a="1"/>
  <c r="D993" i="11" s="1"/>
  <c r="D994" i="11" a="1"/>
  <c r="D994" i="11" s="1"/>
  <c r="D995" i="11" a="1"/>
  <c r="D995" i="11" s="1"/>
  <c r="D996" i="11" a="1"/>
  <c r="D996" i="11" s="1"/>
  <c r="D997" i="11" a="1"/>
  <c r="D997" i="11" s="1"/>
  <c r="D998" i="11" a="1"/>
  <c r="D998" i="11" s="1"/>
  <c r="D999" i="11" a="1"/>
  <c r="D999" i="11" s="1"/>
  <c r="D1000" i="11" a="1"/>
  <c r="D1000" i="11" s="1"/>
  <c r="D1001" i="11" a="1"/>
  <c r="D1001" i="11" s="1"/>
  <c r="G2" i="11" a="1"/>
  <c r="G2" i="11" s="1"/>
  <c r="G3" i="11" a="1"/>
  <c r="G3" i="11" s="1"/>
  <c r="G4" i="11" a="1"/>
  <c r="G4" i="11" s="1"/>
  <c r="G5" i="11" a="1"/>
  <c r="G5" i="11" s="1"/>
  <c r="G6" i="11" a="1"/>
  <c r="G6" i="11" s="1"/>
  <c r="G7" i="11" a="1"/>
  <c r="G7" i="11" s="1"/>
  <c r="G8" i="11" a="1"/>
  <c r="G8" i="11" s="1"/>
  <c r="G9" i="11" a="1"/>
  <c r="G9" i="11" s="1"/>
  <c r="G10" i="11" a="1"/>
  <c r="G10" i="11" s="1"/>
  <c r="G11" i="11" a="1"/>
  <c r="G11" i="11" s="1"/>
  <c r="G12" i="11" a="1"/>
  <c r="G12" i="11" s="1"/>
  <c r="G13" i="11" a="1"/>
  <c r="G13" i="11" s="1"/>
  <c r="G14" i="11" a="1"/>
  <c r="G14" i="11" s="1"/>
  <c r="G15" i="11" a="1"/>
  <c r="G15" i="11" s="1"/>
  <c r="G16" i="11" a="1"/>
  <c r="G16" i="11" s="1"/>
  <c r="G17" i="11" a="1"/>
  <c r="G17" i="11" s="1"/>
  <c r="G18" i="11" a="1"/>
  <c r="G18" i="11" s="1"/>
  <c r="G19" i="11" a="1"/>
  <c r="G19" i="11" s="1"/>
  <c r="G20" i="11" a="1"/>
  <c r="G20" i="11" s="1"/>
  <c r="G21" i="11" a="1"/>
  <c r="G21" i="11" s="1"/>
  <c r="G22" i="11" a="1"/>
  <c r="G22" i="11" s="1"/>
  <c r="G23" i="11" a="1"/>
  <c r="G23" i="11" s="1"/>
  <c r="G24" i="11" a="1"/>
  <c r="G24" i="11" s="1"/>
  <c r="G25" i="11" a="1"/>
  <c r="G25" i="11" s="1"/>
  <c r="G26" i="11" a="1"/>
  <c r="G26" i="11" s="1"/>
  <c r="G27" i="11" a="1"/>
  <c r="G27" i="11" s="1"/>
  <c r="G28" i="11" a="1"/>
  <c r="G28" i="11" s="1"/>
  <c r="G29" i="11" a="1"/>
  <c r="G29" i="11" s="1"/>
  <c r="G30" i="11" a="1"/>
  <c r="G30" i="11" s="1"/>
  <c r="G31" i="11" a="1"/>
  <c r="G31" i="11" s="1"/>
  <c r="G32" i="11" a="1"/>
  <c r="G32" i="11" s="1"/>
  <c r="G33" i="11" a="1"/>
  <c r="G33" i="11" s="1"/>
  <c r="G34" i="11" a="1"/>
  <c r="G34" i="11" s="1"/>
  <c r="G35" i="11" a="1"/>
  <c r="G35" i="11" s="1"/>
  <c r="G36" i="11" a="1"/>
  <c r="G36" i="11" s="1"/>
  <c r="G37" i="11" a="1"/>
  <c r="G37" i="11" s="1"/>
  <c r="G38" i="11" a="1"/>
  <c r="G38" i="11" s="1"/>
  <c r="G39" i="11" a="1"/>
  <c r="G39" i="11" s="1"/>
  <c r="G40" i="11" a="1"/>
  <c r="G40" i="11" s="1"/>
  <c r="G41" i="11" a="1"/>
  <c r="G41" i="11" s="1"/>
  <c r="G42" i="11" a="1"/>
  <c r="G42" i="11" s="1"/>
  <c r="G43" i="11" a="1"/>
  <c r="G43" i="11" s="1"/>
  <c r="G44" i="11" a="1"/>
  <c r="G44" i="11" s="1"/>
  <c r="G45" i="11" a="1"/>
  <c r="G45" i="11" s="1"/>
  <c r="G46" i="11" a="1"/>
  <c r="G46" i="11" s="1"/>
  <c r="G47" i="11" a="1"/>
  <c r="G47" i="11" s="1"/>
  <c r="G48" i="11" a="1"/>
  <c r="G48" i="11" s="1"/>
  <c r="G49" i="11" a="1"/>
  <c r="G49" i="11" s="1"/>
  <c r="G50" i="11" a="1"/>
  <c r="G50" i="11" s="1"/>
  <c r="G51" i="11" a="1"/>
  <c r="G51" i="11" s="1"/>
  <c r="G52" i="11" a="1"/>
  <c r="G52" i="11" s="1"/>
  <c r="G53" i="11" a="1"/>
  <c r="G53" i="11" s="1"/>
  <c r="G54" i="11" a="1"/>
  <c r="G54" i="11" s="1"/>
  <c r="G55" i="11" a="1"/>
  <c r="G55" i="11" s="1"/>
  <c r="G56" i="11" a="1"/>
  <c r="G56" i="11" s="1"/>
  <c r="G57" i="11" a="1"/>
  <c r="G57" i="11" s="1"/>
  <c r="G58" i="11" a="1"/>
  <c r="G58" i="11" s="1"/>
  <c r="G59" i="11" a="1"/>
  <c r="G59" i="11" s="1"/>
  <c r="G60" i="11" a="1"/>
  <c r="G60" i="11" s="1"/>
  <c r="G61" i="11" a="1"/>
  <c r="G61" i="11" s="1"/>
  <c r="G62" i="11" a="1"/>
  <c r="G62" i="11" s="1"/>
  <c r="G63" i="11" a="1"/>
  <c r="G63" i="11" s="1"/>
  <c r="G64" i="11" a="1"/>
  <c r="G64" i="11" s="1"/>
  <c r="G65" i="11" a="1"/>
  <c r="G65" i="11" s="1"/>
  <c r="G66" i="11" a="1"/>
  <c r="G66" i="11" s="1"/>
  <c r="G67" i="11" a="1"/>
  <c r="G67" i="11" s="1"/>
  <c r="G68" i="11" a="1"/>
  <c r="G68" i="11" s="1"/>
  <c r="G69" i="11" a="1"/>
  <c r="G69" i="11" s="1"/>
  <c r="G70" i="11" a="1"/>
  <c r="G70" i="11" s="1"/>
  <c r="G71" i="11" a="1"/>
  <c r="G71" i="11" s="1"/>
  <c r="G72" i="11" a="1"/>
  <c r="G72" i="11" s="1"/>
  <c r="G73" i="11" a="1"/>
  <c r="G73" i="11" s="1"/>
  <c r="G74" i="11" a="1"/>
  <c r="G74" i="11" s="1"/>
  <c r="G75" i="11" a="1"/>
  <c r="G75" i="11" s="1"/>
  <c r="G76" i="11" a="1"/>
  <c r="G76" i="11" s="1"/>
  <c r="G77" i="11" a="1"/>
  <c r="G77" i="11" s="1"/>
  <c r="G78" i="11" a="1"/>
  <c r="G78" i="11" s="1"/>
  <c r="G79" i="11" a="1"/>
  <c r="G79" i="11" s="1"/>
  <c r="G80" i="11" a="1"/>
  <c r="G80" i="11" s="1"/>
  <c r="G81" i="11" a="1"/>
  <c r="G81" i="11" s="1"/>
  <c r="G82" i="11" a="1"/>
  <c r="G82" i="11" s="1"/>
  <c r="G83" i="11" a="1"/>
  <c r="G83" i="11" s="1"/>
  <c r="G84" i="11" a="1"/>
  <c r="G84" i="11" s="1"/>
  <c r="G85" i="11" a="1"/>
  <c r="G85" i="11" s="1"/>
  <c r="G86" i="11" a="1"/>
  <c r="G86" i="11" s="1"/>
  <c r="G87" i="11" a="1"/>
  <c r="G87" i="11" s="1"/>
  <c r="G88" i="11" a="1"/>
  <c r="G88" i="11" s="1"/>
  <c r="G89" i="11" a="1"/>
  <c r="G89" i="11" s="1"/>
  <c r="G90" i="11" a="1"/>
  <c r="G90" i="11" s="1"/>
  <c r="G91" i="11" a="1"/>
  <c r="G91" i="11" s="1"/>
  <c r="G92" i="11" a="1"/>
  <c r="G92" i="11" s="1"/>
  <c r="G93" i="11" a="1"/>
  <c r="G93" i="11" s="1"/>
  <c r="G94" i="11" a="1"/>
  <c r="G94" i="11" s="1"/>
  <c r="G95" i="11" a="1"/>
  <c r="G95" i="11" s="1"/>
  <c r="G96" i="11" a="1"/>
  <c r="G96" i="11" s="1"/>
  <c r="G97" i="11" a="1"/>
  <c r="G97" i="11" s="1"/>
  <c r="G98" i="11" a="1"/>
  <c r="G98" i="11" s="1"/>
  <c r="G99" i="11" a="1"/>
  <c r="G99" i="11" s="1"/>
  <c r="G100" i="11" a="1"/>
  <c r="G100" i="11" s="1"/>
  <c r="G101" i="11" a="1"/>
  <c r="G101" i="11" s="1"/>
  <c r="G102" i="11" a="1"/>
  <c r="G102" i="11" s="1"/>
  <c r="G103" i="11" a="1"/>
  <c r="G103" i="11" s="1"/>
  <c r="G104" i="11" a="1"/>
  <c r="G104" i="11" s="1"/>
  <c r="G105" i="11" a="1"/>
  <c r="G105" i="11" s="1"/>
  <c r="G106" i="11" a="1"/>
  <c r="G106" i="11" s="1"/>
  <c r="G107" i="11" a="1"/>
  <c r="G107" i="11" s="1"/>
  <c r="G108" i="11" a="1"/>
  <c r="G108" i="11" s="1"/>
  <c r="G109" i="11" a="1"/>
  <c r="G109" i="11" s="1"/>
  <c r="G110" i="11" a="1"/>
  <c r="G110" i="11" s="1"/>
  <c r="G111" i="11" a="1"/>
  <c r="G111" i="11" s="1"/>
  <c r="G112" i="11" a="1"/>
  <c r="G112" i="11" s="1"/>
  <c r="G113" i="11" a="1"/>
  <c r="G113" i="11" s="1"/>
  <c r="G114" i="11" a="1"/>
  <c r="G114" i="11" s="1"/>
  <c r="G115" i="11" a="1"/>
  <c r="G115" i="11" s="1"/>
  <c r="G116" i="11" a="1"/>
  <c r="G116" i="11" s="1"/>
  <c r="G117" i="11" a="1"/>
  <c r="G117" i="11" s="1"/>
  <c r="G118" i="11" a="1"/>
  <c r="G118" i="11" s="1"/>
  <c r="G119" i="11" a="1"/>
  <c r="G119" i="11" s="1"/>
  <c r="G120" i="11" a="1"/>
  <c r="G120" i="11" s="1"/>
  <c r="G121" i="11" a="1"/>
  <c r="G121" i="11" s="1"/>
  <c r="G122" i="11" a="1"/>
  <c r="G122" i="11" s="1"/>
  <c r="G123" i="11" a="1"/>
  <c r="G123" i="11" s="1"/>
  <c r="G124" i="11" a="1"/>
  <c r="G124" i="11" s="1"/>
  <c r="G125" i="11" a="1"/>
  <c r="G125" i="11" s="1"/>
  <c r="G126" i="11" a="1"/>
  <c r="G126" i="11" s="1"/>
  <c r="G127" i="11" a="1"/>
  <c r="G127" i="11" s="1"/>
  <c r="G128" i="11" a="1"/>
  <c r="G128" i="11" s="1"/>
  <c r="G129" i="11" a="1"/>
  <c r="G129" i="11" s="1"/>
  <c r="G130" i="11" a="1"/>
  <c r="G130" i="11" s="1"/>
  <c r="G131" i="11" a="1"/>
  <c r="G131" i="11" s="1"/>
  <c r="G132" i="11" a="1"/>
  <c r="G132" i="11" s="1"/>
  <c r="G133" i="11" a="1"/>
  <c r="G133" i="11" s="1"/>
  <c r="G134" i="11" a="1"/>
  <c r="G134" i="11" s="1"/>
  <c r="G135" i="11" a="1"/>
  <c r="G135" i="11" s="1"/>
  <c r="G136" i="11" a="1"/>
  <c r="G136" i="11" s="1"/>
  <c r="G137" i="11" a="1"/>
  <c r="G137" i="11" s="1"/>
  <c r="G138" i="11" a="1"/>
  <c r="G138" i="11" s="1"/>
  <c r="G139" i="11" a="1"/>
  <c r="G139" i="11" s="1"/>
  <c r="G140" i="11" a="1"/>
  <c r="G140" i="11" s="1"/>
  <c r="G141" i="11" a="1"/>
  <c r="G141" i="11" s="1"/>
  <c r="G142" i="11" a="1"/>
  <c r="G142" i="11" s="1"/>
  <c r="G143" i="11" a="1"/>
  <c r="G143" i="11" s="1"/>
  <c r="G144" i="11" a="1"/>
  <c r="G144" i="11" s="1"/>
  <c r="G145" i="11" a="1"/>
  <c r="G145" i="11" s="1"/>
  <c r="G146" i="11" a="1"/>
  <c r="G146" i="11" s="1"/>
  <c r="G147" i="11" a="1"/>
  <c r="G147" i="11" s="1"/>
  <c r="G148" i="11" a="1"/>
  <c r="G148" i="11" s="1"/>
  <c r="G149" i="11" a="1"/>
  <c r="G149" i="11" s="1"/>
  <c r="G150" i="11" a="1"/>
  <c r="G150" i="11" s="1"/>
  <c r="G151" i="11" a="1"/>
  <c r="G151" i="11" s="1"/>
  <c r="G152" i="11" a="1"/>
  <c r="G152" i="11" s="1"/>
  <c r="G153" i="11" a="1"/>
  <c r="G153" i="11" s="1"/>
  <c r="G154" i="11" a="1"/>
  <c r="G154" i="11" s="1"/>
  <c r="G155" i="11" a="1"/>
  <c r="G155" i="11" s="1"/>
  <c r="G156" i="11" a="1"/>
  <c r="G156" i="11" s="1"/>
  <c r="G157" i="11" a="1"/>
  <c r="G157" i="11" s="1"/>
  <c r="G158" i="11" a="1"/>
  <c r="G158" i="11" s="1"/>
  <c r="G159" i="11" a="1"/>
  <c r="G159" i="11" s="1"/>
  <c r="G160" i="11" a="1"/>
  <c r="G160" i="11" s="1"/>
  <c r="G161" i="11" a="1"/>
  <c r="G161" i="11" s="1"/>
  <c r="G162" i="11" a="1"/>
  <c r="G162" i="11" s="1"/>
  <c r="G163" i="11" a="1"/>
  <c r="G163" i="11" s="1"/>
  <c r="G164" i="11" a="1"/>
  <c r="G164" i="11" s="1"/>
  <c r="G165" i="11" a="1"/>
  <c r="G165" i="11" s="1"/>
  <c r="G166" i="11" a="1"/>
  <c r="G166" i="11" s="1"/>
  <c r="G167" i="11" a="1"/>
  <c r="G167" i="11" s="1"/>
  <c r="G168" i="11" a="1"/>
  <c r="G168" i="11" s="1"/>
  <c r="G169" i="11" a="1"/>
  <c r="G169" i="11" s="1"/>
  <c r="G170" i="11" a="1"/>
  <c r="G170" i="11" s="1"/>
  <c r="G171" i="11" a="1"/>
  <c r="G171" i="11" s="1"/>
  <c r="G172" i="11" a="1"/>
  <c r="G172" i="11" s="1"/>
  <c r="G173" i="11" a="1"/>
  <c r="G173" i="11" s="1"/>
  <c r="G174" i="11" a="1"/>
  <c r="G174" i="11" s="1"/>
  <c r="G175" i="11" a="1"/>
  <c r="G175" i="11" s="1"/>
  <c r="G176" i="11" a="1"/>
  <c r="G176" i="11" s="1"/>
  <c r="G177" i="11" a="1"/>
  <c r="G177" i="11" s="1"/>
  <c r="G178" i="11" a="1"/>
  <c r="G178" i="11" s="1"/>
  <c r="G179" i="11" a="1"/>
  <c r="G179" i="11" s="1"/>
  <c r="G180" i="11" a="1"/>
  <c r="G180" i="11" s="1"/>
  <c r="G181" i="11" a="1"/>
  <c r="G181" i="11" s="1"/>
  <c r="G182" i="11" a="1"/>
  <c r="G182" i="11" s="1"/>
  <c r="G183" i="11" a="1"/>
  <c r="G183" i="11" s="1"/>
  <c r="G184" i="11" a="1"/>
  <c r="G184" i="11" s="1"/>
  <c r="G185" i="11" a="1"/>
  <c r="G185" i="11" s="1"/>
  <c r="G186" i="11" a="1"/>
  <c r="G186" i="11" s="1"/>
  <c r="G187" i="11" a="1"/>
  <c r="G187" i="11" s="1"/>
  <c r="G188" i="11" a="1"/>
  <c r="G188" i="11" s="1"/>
  <c r="G189" i="11" a="1"/>
  <c r="G189" i="11" s="1"/>
  <c r="G190" i="11" a="1"/>
  <c r="G190" i="11" s="1"/>
  <c r="G191" i="11" a="1"/>
  <c r="G191" i="11" s="1"/>
  <c r="G192" i="11" a="1"/>
  <c r="G192" i="11" s="1"/>
  <c r="G193" i="11" a="1"/>
  <c r="G193" i="11" s="1"/>
  <c r="G194" i="11" a="1"/>
  <c r="G194" i="11" s="1"/>
  <c r="G195" i="11" a="1"/>
  <c r="G195" i="11" s="1"/>
  <c r="G196" i="11" a="1"/>
  <c r="G196" i="11" s="1"/>
  <c r="G197" i="11" a="1"/>
  <c r="G197" i="11" s="1"/>
  <c r="G198" i="11" a="1"/>
  <c r="G198" i="11" s="1"/>
  <c r="G199" i="11" a="1"/>
  <c r="G199" i="11" s="1"/>
  <c r="G200" i="11" a="1"/>
  <c r="G200" i="11" s="1"/>
  <c r="G201" i="11" a="1"/>
  <c r="G201" i="11" s="1"/>
  <c r="G202" i="11" a="1"/>
  <c r="G202" i="11" s="1"/>
  <c r="G203" i="11" a="1"/>
  <c r="G203" i="11" s="1"/>
  <c r="G204" i="11" a="1"/>
  <c r="G204" i="11" s="1"/>
  <c r="G205" i="11" a="1"/>
  <c r="G205" i="11" s="1"/>
  <c r="G206" i="11" a="1"/>
  <c r="G206" i="11" s="1"/>
  <c r="G207" i="11" a="1"/>
  <c r="G207" i="11" s="1"/>
  <c r="G208" i="11" a="1"/>
  <c r="G208" i="11" s="1"/>
  <c r="G209" i="11" a="1"/>
  <c r="G209" i="11" s="1"/>
  <c r="G210" i="11" a="1"/>
  <c r="G210" i="11" s="1"/>
  <c r="G211" i="11" a="1"/>
  <c r="G211" i="11" s="1"/>
  <c r="G212" i="11" a="1"/>
  <c r="G212" i="11" s="1"/>
  <c r="G213" i="11" a="1"/>
  <c r="G213" i="11" s="1"/>
  <c r="G214" i="11" a="1"/>
  <c r="G214" i="11" s="1"/>
  <c r="G215" i="11" a="1"/>
  <c r="G215" i="11" s="1"/>
  <c r="G216" i="11" a="1"/>
  <c r="G216" i="11" s="1"/>
  <c r="G217" i="11" a="1"/>
  <c r="G217" i="11" s="1"/>
  <c r="G218" i="11" a="1"/>
  <c r="G218" i="11" s="1"/>
  <c r="G219" i="11" a="1"/>
  <c r="G219" i="11" s="1"/>
  <c r="G220" i="11" a="1"/>
  <c r="G220" i="11" s="1"/>
  <c r="G221" i="11" a="1"/>
  <c r="G221" i="11" s="1"/>
  <c r="G222" i="11" a="1"/>
  <c r="G222" i="11" s="1"/>
  <c r="G223" i="11" a="1"/>
  <c r="G223" i="11" s="1"/>
  <c r="G224" i="11" a="1"/>
  <c r="G224" i="11" s="1"/>
  <c r="G225" i="11" a="1"/>
  <c r="G225" i="11" s="1"/>
  <c r="G226" i="11" a="1"/>
  <c r="G226" i="11" s="1"/>
  <c r="G227" i="11" a="1"/>
  <c r="G227" i="11" s="1"/>
  <c r="G228" i="11" a="1"/>
  <c r="G228" i="11" s="1"/>
  <c r="G229" i="11" a="1"/>
  <c r="G229" i="11" s="1"/>
  <c r="G230" i="11" a="1"/>
  <c r="G230" i="11" s="1"/>
  <c r="G231" i="11" a="1"/>
  <c r="G231" i="11" s="1"/>
  <c r="G232" i="11" a="1"/>
  <c r="G232" i="11" s="1"/>
  <c r="G233" i="11" a="1"/>
  <c r="G233" i="11" s="1"/>
  <c r="G234" i="11" a="1"/>
  <c r="G234" i="11" s="1"/>
  <c r="G235" i="11" a="1"/>
  <c r="G235" i="11" s="1"/>
  <c r="G236" i="11" a="1"/>
  <c r="G236" i="11" s="1"/>
  <c r="G237" i="11" a="1"/>
  <c r="G237" i="11" s="1"/>
  <c r="G238" i="11" a="1"/>
  <c r="G238" i="11" s="1"/>
  <c r="G239" i="11" a="1"/>
  <c r="G239" i="11" s="1"/>
  <c r="G240" i="11" a="1"/>
  <c r="G240" i="11" s="1"/>
  <c r="G241" i="11" a="1"/>
  <c r="G241" i="11" s="1"/>
  <c r="G242" i="11" a="1"/>
  <c r="G242" i="11" s="1"/>
  <c r="G243" i="11" a="1"/>
  <c r="G243" i="11" s="1"/>
  <c r="G244" i="11" a="1"/>
  <c r="G244" i="11" s="1"/>
  <c r="G245" i="11" a="1"/>
  <c r="G245" i="11" s="1"/>
  <c r="G246" i="11" a="1"/>
  <c r="G246" i="11" s="1"/>
  <c r="G247" i="11" a="1"/>
  <c r="G247" i="11" s="1"/>
  <c r="G248" i="11" a="1"/>
  <c r="G248" i="11" s="1"/>
  <c r="G249" i="11" a="1"/>
  <c r="G249" i="11" s="1"/>
  <c r="G250" i="11" a="1"/>
  <c r="G250" i="11" s="1"/>
  <c r="G251" i="11" a="1"/>
  <c r="G251" i="11" s="1"/>
  <c r="G252" i="11" a="1"/>
  <c r="G252" i="11" s="1"/>
  <c r="G253" i="11" a="1"/>
  <c r="G253" i="11" s="1"/>
  <c r="G254" i="11" a="1"/>
  <c r="G254" i="11" s="1"/>
  <c r="G255" i="11" a="1"/>
  <c r="G255" i="11" s="1"/>
  <c r="G256" i="11" a="1"/>
  <c r="G256" i="11" s="1"/>
  <c r="G257" i="11" a="1"/>
  <c r="G257" i="11" s="1"/>
  <c r="G258" i="11" a="1"/>
  <c r="G258" i="11" s="1"/>
  <c r="G259" i="11" a="1"/>
  <c r="G259" i="11" s="1"/>
  <c r="G260" i="11" a="1"/>
  <c r="G260" i="11" s="1"/>
  <c r="G261" i="11" a="1"/>
  <c r="G261" i="11" s="1"/>
  <c r="G262" i="11" a="1"/>
  <c r="G262" i="11" s="1"/>
  <c r="G263" i="11" a="1"/>
  <c r="G263" i="11" s="1"/>
  <c r="G264" i="11" a="1"/>
  <c r="G264" i="11" s="1"/>
  <c r="G265" i="11" a="1"/>
  <c r="G265" i="11" s="1"/>
  <c r="G266" i="11" a="1"/>
  <c r="G266" i="11" s="1"/>
  <c r="G267" i="11" a="1"/>
  <c r="G267" i="11" s="1"/>
  <c r="G268" i="11" a="1"/>
  <c r="G268" i="11" s="1"/>
  <c r="G269" i="11" a="1"/>
  <c r="G269" i="11" s="1"/>
  <c r="G270" i="11" a="1"/>
  <c r="G270" i="11" s="1"/>
  <c r="G271" i="11" a="1"/>
  <c r="G271" i="11" s="1"/>
  <c r="G272" i="11" a="1"/>
  <c r="G272" i="11" s="1"/>
  <c r="G273" i="11" a="1"/>
  <c r="G273" i="11" s="1"/>
  <c r="G274" i="11" a="1"/>
  <c r="G274" i="11" s="1"/>
  <c r="G275" i="11" a="1"/>
  <c r="G275" i="11" s="1"/>
  <c r="G276" i="11" a="1"/>
  <c r="G276" i="11" s="1"/>
  <c r="G277" i="11" a="1"/>
  <c r="G277" i="11" s="1"/>
  <c r="G278" i="11" a="1"/>
  <c r="G278" i="11" s="1"/>
  <c r="G279" i="11" a="1"/>
  <c r="G279" i="11" s="1"/>
  <c r="G280" i="11" a="1"/>
  <c r="G280" i="11" s="1"/>
  <c r="G281" i="11" a="1"/>
  <c r="G281" i="11" s="1"/>
  <c r="G282" i="11" a="1"/>
  <c r="G282" i="11" s="1"/>
  <c r="G283" i="11" a="1"/>
  <c r="G283" i="11" s="1"/>
  <c r="G284" i="11" a="1"/>
  <c r="G284" i="11" s="1"/>
  <c r="G285" i="11" a="1"/>
  <c r="G285" i="11" s="1"/>
  <c r="G286" i="11" a="1"/>
  <c r="G286" i="11" s="1"/>
  <c r="G287" i="11" a="1"/>
  <c r="G287" i="11" s="1"/>
  <c r="G288" i="11" a="1"/>
  <c r="G288" i="11" s="1"/>
  <c r="G289" i="11" a="1"/>
  <c r="G289" i="11" s="1"/>
  <c r="G290" i="11" a="1"/>
  <c r="G290" i="11" s="1"/>
  <c r="G291" i="11" a="1"/>
  <c r="G291" i="11" s="1"/>
  <c r="G292" i="11" a="1"/>
  <c r="G292" i="11" s="1"/>
  <c r="G293" i="11" a="1"/>
  <c r="G293" i="11" s="1"/>
  <c r="G294" i="11" a="1"/>
  <c r="G294" i="11" s="1"/>
  <c r="G295" i="11" a="1"/>
  <c r="G295" i="11" s="1"/>
  <c r="G296" i="11" a="1"/>
  <c r="G296" i="11" s="1"/>
  <c r="G297" i="11" a="1"/>
  <c r="G297" i="11" s="1"/>
  <c r="G298" i="11" a="1"/>
  <c r="G298" i="11" s="1"/>
  <c r="G299" i="11" a="1"/>
  <c r="G299" i="11" s="1"/>
  <c r="G300" i="11" a="1"/>
  <c r="G300" i="11" s="1"/>
  <c r="G301" i="11" a="1"/>
  <c r="G301" i="11" s="1"/>
  <c r="G302" i="11" a="1"/>
  <c r="G302" i="11" s="1"/>
  <c r="G303" i="11" a="1"/>
  <c r="G303" i="11" s="1"/>
  <c r="G304" i="11" a="1"/>
  <c r="G304" i="11" s="1"/>
  <c r="G305" i="11" a="1"/>
  <c r="G305" i="11" s="1"/>
  <c r="G306" i="11" a="1"/>
  <c r="G306" i="11" s="1"/>
  <c r="G307" i="11" a="1"/>
  <c r="G307" i="11" s="1"/>
  <c r="G308" i="11" a="1"/>
  <c r="G308" i="11" s="1"/>
  <c r="G309" i="11" a="1"/>
  <c r="G309" i="11" s="1"/>
  <c r="G310" i="11" a="1"/>
  <c r="G310" i="11" s="1"/>
  <c r="G311" i="11" a="1"/>
  <c r="G311" i="11" s="1"/>
  <c r="G312" i="11" a="1"/>
  <c r="G312" i="11" s="1"/>
  <c r="G313" i="11" a="1"/>
  <c r="G313" i="11" s="1"/>
  <c r="G314" i="11" a="1"/>
  <c r="G314" i="11" s="1"/>
  <c r="G315" i="11" a="1"/>
  <c r="G315" i="11" s="1"/>
  <c r="G316" i="11" a="1"/>
  <c r="G316" i="11" s="1"/>
  <c r="G317" i="11" a="1"/>
  <c r="G317" i="11" s="1"/>
  <c r="G318" i="11" a="1"/>
  <c r="G318" i="11" s="1"/>
  <c r="G319" i="11" a="1"/>
  <c r="G319" i="11" s="1"/>
  <c r="G320" i="11" a="1"/>
  <c r="G320" i="11" s="1"/>
  <c r="G321" i="11" a="1"/>
  <c r="G321" i="11" s="1"/>
  <c r="G322" i="11" a="1"/>
  <c r="G322" i="11" s="1"/>
  <c r="G323" i="11" a="1"/>
  <c r="G323" i="11" s="1"/>
  <c r="G324" i="11" a="1"/>
  <c r="G324" i="11" s="1"/>
  <c r="G325" i="11" a="1"/>
  <c r="G325" i="11" s="1"/>
  <c r="G326" i="11" a="1"/>
  <c r="G326" i="11" s="1"/>
  <c r="G327" i="11" a="1"/>
  <c r="G327" i="11" s="1"/>
  <c r="G328" i="11" a="1"/>
  <c r="G328" i="11" s="1"/>
  <c r="G329" i="11" a="1"/>
  <c r="G329" i="11" s="1"/>
  <c r="G330" i="11" a="1"/>
  <c r="G330" i="11" s="1"/>
  <c r="G331" i="11" a="1"/>
  <c r="G331" i="11" s="1"/>
  <c r="G332" i="11" a="1"/>
  <c r="G332" i="11" s="1"/>
  <c r="G333" i="11" a="1"/>
  <c r="G333" i="11" s="1"/>
  <c r="G334" i="11" a="1"/>
  <c r="G334" i="11" s="1"/>
  <c r="G335" i="11" a="1"/>
  <c r="G335" i="11" s="1"/>
  <c r="G336" i="11" a="1"/>
  <c r="G336" i="11" s="1"/>
  <c r="G337" i="11" a="1"/>
  <c r="G337" i="11" s="1"/>
  <c r="G338" i="11" a="1"/>
  <c r="G338" i="11" s="1"/>
  <c r="G339" i="11" a="1"/>
  <c r="G339" i="11" s="1"/>
  <c r="G340" i="11" a="1"/>
  <c r="G340" i="11" s="1"/>
  <c r="G341" i="11" a="1"/>
  <c r="G341" i="11" s="1"/>
  <c r="G342" i="11" a="1"/>
  <c r="G342" i="11" s="1"/>
  <c r="G343" i="11" a="1"/>
  <c r="G343" i="11" s="1"/>
  <c r="G344" i="11" a="1"/>
  <c r="G344" i="11" s="1"/>
  <c r="G345" i="11" a="1"/>
  <c r="G345" i="11" s="1"/>
  <c r="G346" i="11" a="1"/>
  <c r="G346" i="11" s="1"/>
  <c r="G347" i="11" a="1"/>
  <c r="G347" i="11" s="1"/>
  <c r="G348" i="11" a="1"/>
  <c r="G348" i="11" s="1"/>
  <c r="G349" i="11" a="1"/>
  <c r="G349" i="11" s="1"/>
  <c r="G350" i="11" a="1"/>
  <c r="G350" i="11" s="1"/>
  <c r="G351" i="11" a="1"/>
  <c r="G351" i="11" s="1"/>
  <c r="G352" i="11" a="1"/>
  <c r="G352" i="11" s="1"/>
  <c r="G353" i="11" a="1"/>
  <c r="G353" i="11" s="1"/>
  <c r="G354" i="11" a="1"/>
  <c r="G354" i="11" s="1"/>
  <c r="G355" i="11" a="1"/>
  <c r="G355" i="11" s="1"/>
  <c r="G356" i="11" a="1"/>
  <c r="G356" i="11" s="1"/>
  <c r="G357" i="11" a="1"/>
  <c r="G357" i="11" s="1"/>
  <c r="G358" i="11" a="1"/>
  <c r="G358" i="11" s="1"/>
  <c r="G359" i="11" a="1"/>
  <c r="G359" i="11" s="1"/>
  <c r="G360" i="11" a="1"/>
  <c r="G360" i="11" s="1"/>
  <c r="G361" i="11" a="1"/>
  <c r="G361" i="11" s="1"/>
  <c r="G362" i="11" a="1"/>
  <c r="G362" i="11" s="1"/>
  <c r="G363" i="11" a="1"/>
  <c r="G363" i="11" s="1"/>
  <c r="G364" i="11" a="1"/>
  <c r="G364" i="11" s="1"/>
  <c r="G365" i="11" a="1"/>
  <c r="G365" i="11" s="1"/>
  <c r="G366" i="11" a="1"/>
  <c r="G366" i="11" s="1"/>
  <c r="G367" i="11" a="1"/>
  <c r="G367" i="11" s="1"/>
  <c r="G368" i="11" a="1"/>
  <c r="G368" i="11" s="1"/>
  <c r="G369" i="11" a="1"/>
  <c r="G369" i="11" s="1"/>
  <c r="G370" i="11" a="1"/>
  <c r="G370" i="11" s="1"/>
  <c r="G371" i="11" a="1"/>
  <c r="G371" i="11" s="1"/>
  <c r="G372" i="11" a="1"/>
  <c r="G372" i="11" s="1"/>
  <c r="G373" i="11" a="1"/>
  <c r="G373" i="11" s="1"/>
  <c r="G374" i="11" a="1"/>
  <c r="G374" i="11" s="1"/>
  <c r="G375" i="11" a="1"/>
  <c r="G375" i="11" s="1"/>
  <c r="G376" i="11" a="1"/>
  <c r="G376" i="11" s="1"/>
  <c r="G377" i="11" a="1"/>
  <c r="G377" i="11" s="1"/>
  <c r="G378" i="11" a="1"/>
  <c r="G378" i="11" s="1"/>
  <c r="G379" i="11" a="1"/>
  <c r="G379" i="11" s="1"/>
  <c r="G380" i="11" a="1"/>
  <c r="G380" i="11" s="1"/>
  <c r="G381" i="11" a="1"/>
  <c r="G381" i="11" s="1"/>
  <c r="G382" i="11" a="1"/>
  <c r="G382" i="11" s="1"/>
  <c r="G383" i="11" a="1"/>
  <c r="G383" i="11" s="1"/>
  <c r="G384" i="11" a="1"/>
  <c r="G384" i="11" s="1"/>
  <c r="G385" i="11" a="1"/>
  <c r="G385" i="11" s="1"/>
  <c r="G386" i="11" a="1"/>
  <c r="G386" i="11" s="1"/>
  <c r="G387" i="11" a="1"/>
  <c r="G387" i="11" s="1"/>
  <c r="G388" i="11" a="1"/>
  <c r="G388" i="11" s="1"/>
  <c r="G389" i="11" a="1"/>
  <c r="G389" i="11" s="1"/>
  <c r="G390" i="11" a="1"/>
  <c r="G390" i="11" s="1"/>
  <c r="G391" i="11" a="1"/>
  <c r="G391" i="11" s="1"/>
  <c r="G392" i="11" a="1"/>
  <c r="G392" i="11" s="1"/>
  <c r="G393" i="11" a="1"/>
  <c r="G393" i="11" s="1"/>
  <c r="G394" i="11" a="1"/>
  <c r="G394" i="11" s="1"/>
  <c r="G395" i="11" a="1"/>
  <c r="G395" i="11" s="1"/>
  <c r="G396" i="11" a="1"/>
  <c r="G396" i="11" s="1"/>
  <c r="G397" i="11" a="1"/>
  <c r="G397" i="11" s="1"/>
  <c r="G398" i="11" a="1"/>
  <c r="G398" i="11" s="1"/>
  <c r="G399" i="11" a="1"/>
  <c r="G399" i="11" s="1"/>
  <c r="G400" i="11" a="1"/>
  <c r="G400" i="11" s="1"/>
  <c r="G401" i="11" a="1"/>
  <c r="G401" i="11" s="1"/>
  <c r="G402" i="11" a="1"/>
  <c r="G402" i="11" s="1"/>
  <c r="G403" i="11" a="1"/>
  <c r="G403" i="11" s="1"/>
  <c r="G404" i="11" a="1"/>
  <c r="G404" i="11" s="1"/>
  <c r="G405" i="11" a="1"/>
  <c r="G405" i="11" s="1"/>
  <c r="G406" i="11" a="1"/>
  <c r="G406" i="11" s="1"/>
  <c r="G407" i="11" a="1"/>
  <c r="G407" i="11" s="1"/>
  <c r="G408" i="11" a="1"/>
  <c r="G408" i="11" s="1"/>
  <c r="G409" i="11" a="1"/>
  <c r="G409" i="11" s="1"/>
  <c r="G410" i="11" a="1"/>
  <c r="G410" i="11" s="1"/>
  <c r="G411" i="11" a="1"/>
  <c r="G411" i="11" s="1"/>
  <c r="G412" i="11" a="1"/>
  <c r="G412" i="11" s="1"/>
  <c r="G413" i="11" a="1"/>
  <c r="G413" i="11" s="1"/>
  <c r="G414" i="11" a="1"/>
  <c r="G414" i="11" s="1"/>
  <c r="G415" i="11" a="1"/>
  <c r="G415" i="11" s="1"/>
  <c r="G416" i="11" a="1"/>
  <c r="G416" i="11" s="1"/>
  <c r="G417" i="11" a="1"/>
  <c r="G417" i="11" s="1"/>
  <c r="G418" i="11" a="1"/>
  <c r="G418" i="11" s="1"/>
  <c r="G419" i="11" a="1"/>
  <c r="G419" i="11" s="1"/>
  <c r="G420" i="11" a="1"/>
  <c r="G420" i="11" s="1"/>
  <c r="G421" i="11" a="1"/>
  <c r="G421" i="11" s="1"/>
  <c r="G422" i="11" a="1"/>
  <c r="G422" i="11" s="1"/>
  <c r="G423" i="11" a="1"/>
  <c r="G423" i="11" s="1"/>
  <c r="G424" i="11" a="1"/>
  <c r="G424" i="11" s="1"/>
  <c r="G425" i="11" a="1"/>
  <c r="G425" i="11" s="1"/>
  <c r="G426" i="11" a="1"/>
  <c r="G426" i="11" s="1"/>
  <c r="G427" i="11" a="1"/>
  <c r="G427" i="11" s="1"/>
  <c r="G428" i="11" a="1"/>
  <c r="G428" i="11" s="1"/>
  <c r="G429" i="11" a="1"/>
  <c r="G429" i="11" s="1"/>
  <c r="G430" i="11" a="1"/>
  <c r="G430" i="11" s="1"/>
  <c r="G431" i="11" a="1"/>
  <c r="G431" i="11" s="1"/>
  <c r="G432" i="11" a="1"/>
  <c r="G432" i="11" s="1"/>
  <c r="G433" i="11" a="1"/>
  <c r="G433" i="11" s="1"/>
  <c r="G434" i="11" a="1"/>
  <c r="G434" i="11" s="1"/>
  <c r="G435" i="11" a="1"/>
  <c r="G435" i="11" s="1"/>
  <c r="G436" i="11" a="1"/>
  <c r="G436" i="11" s="1"/>
  <c r="G437" i="11" a="1"/>
  <c r="G437" i="11" s="1"/>
  <c r="G438" i="11" a="1"/>
  <c r="G438" i="11" s="1"/>
  <c r="G439" i="11" a="1"/>
  <c r="G439" i="11" s="1"/>
  <c r="G440" i="11" a="1"/>
  <c r="G440" i="11" s="1"/>
  <c r="G441" i="11" a="1"/>
  <c r="G441" i="11" s="1"/>
  <c r="G442" i="11" a="1"/>
  <c r="G442" i="11" s="1"/>
  <c r="G443" i="11" a="1"/>
  <c r="G443" i="11" s="1"/>
  <c r="G444" i="11" a="1"/>
  <c r="G444" i="11" s="1"/>
  <c r="G445" i="11" a="1"/>
  <c r="G445" i="11" s="1"/>
  <c r="G446" i="11" a="1"/>
  <c r="G446" i="11" s="1"/>
  <c r="G447" i="11" a="1"/>
  <c r="G447" i="11" s="1"/>
  <c r="G448" i="11" a="1"/>
  <c r="G448" i="11" s="1"/>
  <c r="G449" i="11" a="1"/>
  <c r="G449" i="11" s="1"/>
  <c r="G450" i="11" a="1"/>
  <c r="G450" i="11" s="1"/>
  <c r="G451" i="11" a="1"/>
  <c r="G451" i="11" s="1"/>
  <c r="G452" i="11" a="1"/>
  <c r="G452" i="11" s="1"/>
  <c r="G453" i="11" a="1"/>
  <c r="G453" i="11" s="1"/>
  <c r="G454" i="11" a="1"/>
  <c r="G454" i="11" s="1"/>
  <c r="G455" i="11" a="1"/>
  <c r="G455" i="11" s="1"/>
  <c r="G456" i="11" a="1"/>
  <c r="G456" i="11" s="1"/>
  <c r="G457" i="11" a="1"/>
  <c r="G457" i="11" s="1"/>
  <c r="G458" i="11" a="1"/>
  <c r="G458" i="11" s="1"/>
  <c r="G459" i="11" a="1"/>
  <c r="G459" i="11" s="1"/>
  <c r="G460" i="11" a="1"/>
  <c r="G460" i="11" s="1"/>
  <c r="G461" i="11" a="1"/>
  <c r="G461" i="11" s="1"/>
  <c r="G462" i="11" a="1"/>
  <c r="G462" i="11" s="1"/>
  <c r="G463" i="11" a="1"/>
  <c r="G463" i="11" s="1"/>
  <c r="G464" i="11" a="1"/>
  <c r="G464" i="11" s="1"/>
  <c r="G465" i="11" a="1"/>
  <c r="G465" i="11" s="1"/>
  <c r="G466" i="11" a="1"/>
  <c r="G466" i="11" s="1"/>
  <c r="G467" i="11" a="1"/>
  <c r="G467" i="11" s="1"/>
  <c r="G468" i="11" a="1"/>
  <c r="G468" i="11" s="1"/>
  <c r="G469" i="11" a="1"/>
  <c r="G469" i="11" s="1"/>
  <c r="G470" i="11" a="1"/>
  <c r="G470" i="11" s="1"/>
  <c r="G471" i="11" a="1"/>
  <c r="G471" i="11" s="1"/>
  <c r="G472" i="11" a="1"/>
  <c r="G472" i="11" s="1"/>
  <c r="G473" i="11" a="1"/>
  <c r="G473" i="11" s="1"/>
  <c r="G474" i="11" a="1"/>
  <c r="G474" i="11" s="1"/>
  <c r="G475" i="11" a="1"/>
  <c r="G475" i="11" s="1"/>
  <c r="G476" i="11" a="1"/>
  <c r="G476" i="11" s="1"/>
  <c r="G477" i="11" a="1"/>
  <c r="G477" i="11" s="1"/>
  <c r="G478" i="11" a="1"/>
  <c r="G478" i="11" s="1"/>
  <c r="G479" i="11" a="1"/>
  <c r="G479" i="11" s="1"/>
  <c r="G480" i="11" a="1"/>
  <c r="G480" i="11" s="1"/>
  <c r="G481" i="11" a="1"/>
  <c r="G481" i="11" s="1"/>
  <c r="G482" i="11" a="1"/>
  <c r="G482" i="11" s="1"/>
  <c r="G483" i="11" a="1"/>
  <c r="G483" i="11" s="1"/>
  <c r="G484" i="11" a="1"/>
  <c r="G484" i="11" s="1"/>
  <c r="G485" i="11" a="1"/>
  <c r="G485" i="11" s="1"/>
  <c r="G486" i="11" a="1"/>
  <c r="G486" i="11" s="1"/>
  <c r="G487" i="11" a="1"/>
  <c r="G487" i="11" s="1"/>
  <c r="G488" i="11" a="1"/>
  <c r="G488" i="11" s="1"/>
  <c r="G489" i="11" a="1"/>
  <c r="G489" i="11" s="1"/>
  <c r="G490" i="11" a="1"/>
  <c r="G490" i="11" s="1"/>
  <c r="G491" i="11" a="1"/>
  <c r="G491" i="11" s="1"/>
  <c r="G492" i="11" a="1"/>
  <c r="G492" i="11" s="1"/>
  <c r="G493" i="11" a="1"/>
  <c r="G493" i="11" s="1"/>
  <c r="G494" i="11" a="1"/>
  <c r="G494" i="11" s="1"/>
  <c r="G495" i="11" a="1"/>
  <c r="G495" i="11" s="1"/>
  <c r="G496" i="11" a="1"/>
  <c r="G496" i="11" s="1"/>
  <c r="G497" i="11" a="1"/>
  <c r="G497" i="11" s="1"/>
  <c r="G498" i="11" a="1"/>
  <c r="G498" i="11" s="1"/>
  <c r="G499" i="11" a="1"/>
  <c r="G499" i="11" s="1"/>
  <c r="G500" i="11" a="1"/>
  <c r="G500" i="11" s="1"/>
  <c r="G501" i="11" a="1"/>
  <c r="G501" i="11" s="1"/>
  <c r="G502" i="11" a="1"/>
  <c r="G502" i="11" s="1"/>
  <c r="G503" i="11" a="1"/>
  <c r="G503" i="11" s="1"/>
  <c r="G504" i="11" a="1"/>
  <c r="G504" i="11" s="1"/>
  <c r="G505" i="11" a="1"/>
  <c r="G505" i="11" s="1"/>
  <c r="G506" i="11" a="1"/>
  <c r="G506" i="11" s="1"/>
  <c r="G507" i="11" a="1"/>
  <c r="G507" i="11" s="1"/>
  <c r="G508" i="11" a="1"/>
  <c r="G508" i="11" s="1"/>
  <c r="G509" i="11" a="1"/>
  <c r="G509" i="11" s="1"/>
  <c r="G510" i="11" a="1"/>
  <c r="G510" i="11" s="1"/>
  <c r="G511" i="11" a="1"/>
  <c r="G511" i="11" s="1"/>
  <c r="G512" i="11" a="1"/>
  <c r="G512" i="11" s="1"/>
  <c r="G513" i="11" a="1"/>
  <c r="G513" i="11" s="1"/>
  <c r="G514" i="11" a="1"/>
  <c r="G514" i="11" s="1"/>
  <c r="G515" i="11" a="1"/>
  <c r="G515" i="11" s="1"/>
  <c r="G516" i="11" a="1"/>
  <c r="G516" i="11" s="1"/>
  <c r="G517" i="11" a="1"/>
  <c r="G517" i="11" s="1"/>
  <c r="G518" i="11" a="1"/>
  <c r="G518" i="11" s="1"/>
  <c r="G519" i="11" a="1"/>
  <c r="G519" i="11" s="1"/>
  <c r="G520" i="11" a="1"/>
  <c r="G520" i="11" s="1"/>
  <c r="G521" i="11" a="1"/>
  <c r="G521" i="11" s="1"/>
  <c r="G522" i="11" a="1"/>
  <c r="G522" i="11" s="1"/>
  <c r="G523" i="11" a="1"/>
  <c r="G523" i="11" s="1"/>
  <c r="G524" i="11" a="1"/>
  <c r="G524" i="11" s="1"/>
  <c r="G525" i="11" a="1"/>
  <c r="G525" i="11" s="1"/>
  <c r="G526" i="11" a="1"/>
  <c r="G526" i="11" s="1"/>
  <c r="G527" i="11" a="1"/>
  <c r="G527" i="11" s="1"/>
  <c r="G528" i="11" a="1"/>
  <c r="G528" i="11" s="1"/>
  <c r="G529" i="11" a="1"/>
  <c r="G529" i="11" s="1"/>
  <c r="G530" i="11" a="1"/>
  <c r="G530" i="11" s="1"/>
  <c r="G531" i="11" a="1"/>
  <c r="G531" i="11" s="1"/>
  <c r="G532" i="11" a="1"/>
  <c r="G532" i="11" s="1"/>
  <c r="G533" i="11" a="1"/>
  <c r="G533" i="11" s="1"/>
  <c r="G534" i="11" a="1"/>
  <c r="G534" i="11" s="1"/>
  <c r="G535" i="11" a="1"/>
  <c r="G535" i="11" s="1"/>
  <c r="G536" i="11" a="1"/>
  <c r="G536" i="11" s="1"/>
  <c r="G537" i="11" a="1"/>
  <c r="G537" i="11" s="1"/>
  <c r="G538" i="11" a="1"/>
  <c r="G538" i="11" s="1"/>
  <c r="G539" i="11" a="1"/>
  <c r="G539" i="11" s="1"/>
  <c r="G540" i="11" a="1"/>
  <c r="G540" i="11" s="1"/>
  <c r="G541" i="11" a="1"/>
  <c r="G541" i="11" s="1"/>
  <c r="G542" i="11" a="1"/>
  <c r="G542" i="11" s="1"/>
  <c r="G543" i="11" a="1"/>
  <c r="G543" i="11" s="1"/>
  <c r="G544" i="11" a="1"/>
  <c r="G544" i="11" s="1"/>
  <c r="G545" i="11" a="1"/>
  <c r="G545" i="11" s="1"/>
  <c r="G546" i="11" a="1"/>
  <c r="G546" i="11" s="1"/>
  <c r="G547" i="11" a="1"/>
  <c r="G547" i="11" s="1"/>
  <c r="G548" i="11" a="1"/>
  <c r="G548" i="11" s="1"/>
  <c r="G549" i="11" a="1"/>
  <c r="G549" i="11" s="1"/>
  <c r="G550" i="11" a="1"/>
  <c r="G550" i="11" s="1"/>
  <c r="G551" i="11" a="1"/>
  <c r="G551" i="11" s="1"/>
  <c r="G552" i="11" a="1"/>
  <c r="G552" i="11" s="1"/>
  <c r="G553" i="11" a="1"/>
  <c r="G553" i="11" s="1"/>
  <c r="G554" i="11" a="1"/>
  <c r="G554" i="11" s="1"/>
  <c r="G555" i="11" a="1"/>
  <c r="G555" i="11" s="1"/>
  <c r="G556" i="11" a="1"/>
  <c r="G556" i="11" s="1"/>
  <c r="G557" i="11" a="1"/>
  <c r="G557" i="11" s="1"/>
  <c r="G558" i="11" a="1"/>
  <c r="G558" i="11" s="1"/>
  <c r="G559" i="11" a="1"/>
  <c r="G559" i="11" s="1"/>
  <c r="G560" i="11" a="1"/>
  <c r="G560" i="11" s="1"/>
  <c r="G561" i="11" a="1"/>
  <c r="G561" i="11" s="1"/>
  <c r="G562" i="11" a="1"/>
  <c r="G562" i="11" s="1"/>
  <c r="G563" i="11" a="1"/>
  <c r="G563" i="11" s="1"/>
  <c r="G564" i="11" a="1"/>
  <c r="G564" i="11" s="1"/>
  <c r="G565" i="11" a="1"/>
  <c r="G565" i="11" s="1"/>
  <c r="G566" i="11" a="1"/>
  <c r="G566" i="11" s="1"/>
  <c r="G567" i="11" a="1"/>
  <c r="G567" i="11" s="1"/>
  <c r="G568" i="11" a="1"/>
  <c r="G568" i="11" s="1"/>
  <c r="G569" i="11" a="1"/>
  <c r="G569" i="11" s="1"/>
  <c r="G570" i="11" a="1"/>
  <c r="G570" i="11" s="1"/>
  <c r="G571" i="11" a="1"/>
  <c r="G571" i="11" s="1"/>
  <c r="G572" i="11" a="1"/>
  <c r="G572" i="11" s="1"/>
  <c r="G573" i="11" a="1"/>
  <c r="G573" i="11" s="1"/>
  <c r="G574" i="11" a="1"/>
  <c r="G574" i="11" s="1"/>
  <c r="G575" i="11" a="1"/>
  <c r="G575" i="11" s="1"/>
  <c r="G576" i="11" a="1"/>
  <c r="G576" i="11" s="1"/>
  <c r="G577" i="11" a="1"/>
  <c r="G577" i="11" s="1"/>
  <c r="G578" i="11" a="1"/>
  <c r="G578" i="11" s="1"/>
  <c r="G579" i="11" a="1"/>
  <c r="G579" i="11" s="1"/>
  <c r="G580" i="11" a="1"/>
  <c r="G580" i="11" s="1"/>
  <c r="G581" i="11" a="1"/>
  <c r="G581" i="11" s="1"/>
  <c r="G582" i="11" a="1"/>
  <c r="G582" i="11" s="1"/>
  <c r="G583" i="11" a="1"/>
  <c r="G583" i="11" s="1"/>
  <c r="G584" i="11" a="1"/>
  <c r="G584" i="11" s="1"/>
  <c r="G585" i="11" a="1"/>
  <c r="G585" i="11" s="1"/>
  <c r="G586" i="11" a="1"/>
  <c r="G586" i="11" s="1"/>
  <c r="G587" i="11" a="1"/>
  <c r="G587" i="11" s="1"/>
  <c r="G588" i="11" a="1"/>
  <c r="G588" i="11" s="1"/>
  <c r="G589" i="11" a="1"/>
  <c r="G589" i="11" s="1"/>
  <c r="G590" i="11" a="1"/>
  <c r="G590" i="11" s="1"/>
  <c r="G591" i="11" a="1"/>
  <c r="G591" i="11" s="1"/>
  <c r="G592" i="11" a="1"/>
  <c r="G592" i="11" s="1"/>
  <c r="G593" i="11" a="1"/>
  <c r="G593" i="11" s="1"/>
  <c r="G594" i="11" a="1"/>
  <c r="G594" i="11" s="1"/>
  <c r="G595" i="11" a="1"/>
  <c r="G595" i="11" s="1"/>
  <c r="G596" i="11" a="1"/>
  <c r="G596" i="11" s="1"/>
  <c r="G597" i="11" a="1"/>
  <c r="G597" i="11" s="1"/>
  <c r="G598" i="11" a="1"/>
  <c r="G598" i="11" s="1"/>
  <c r="G599" i="11" a="1"/>
  <c r="G599" i="11" s="1"/>
  <c r="G600" i="11" a="1"/>
  <c r="G600" i="11" s="1"/>
  <c r="G601" i="11" a="1"/>
  <c r="G601" i="11" s="1"/>
  <c r="G602" i="11" a="1"/>
  <c r="G602" i="11" s="1"/>
  <c r="G603" i="11" a="1"/>
  <c r="G603" i="11" s="1"/>
  <c r="G604" i="11" a="1"/>
  <c r="G604" i="11" s="1"/>
  <c r="G605" i="11" a="1"/>
  <c r="G605" i="11" s="1"/>
  <c r="G606" i="11" a="1"/>
  <c r="G606" i="11" s="1"/>
  <c r="G607" i="11" a="1"/>
  <c r="G607" i="11" s="1"/>
  <c r="G608" i="11" a="1"/>
  <c r="G608" i="11" s="1"/>
  <c r="G609" i="11" a="1"/>
  <c r="G609" i="11" s="1"/>
  <c r="G610" i="11" a="1"/>
  <c r="G610" i="11" s="1"/>
  <c r="G611" i="11" a="1"/>
  <c r="G611" i="11" s="1"/>
  <c r="G612" i="11" a="1"/>
  <c r="G612" i="11" s="1"/>
  <c r="G613" i="11" a="1"/>
  <c r="G613" i="11" s="1"/>
  <c r="G614" i="11" a="1"/>
  <c r="G614" i="11" s="1"/>
  <c r="G615" i="11" a="1"/>
  <c r="G615" i="11" s="1"/>
  <c r="G616" i="11" a="1"/>
  <c r="G616" i="11" s="1"/>
  <c r="G617" i="11" a="1"/>
  <c r="G617" i="11" s="1"/>
  <c r="G618" i="11" a="1"/>
  <c r="G618" i="11" s="1"/>
  <c r="G619" i="11" a="1"/>
  <c r="G619" i="11" s="1"/>
  <c r="G620" i="11" a="1"/>
  <c r="G620" i="11" s="1"/>
  <c r="G621" i="11" a="1"/>
  <c r="G621" i="11" s="1"/>
  <c r="G622" i="11" a="1"/>
  <c r="G622" i="11" s="1"/>
  <c r="G623" i="11" a="1"/>
  <c r="G623" i="11" s="1"/>
  <c r="G624" i="11" a="1"/>
  <c r="G624" i="11" s="1"/>
  <c r="G625" i="11" a="1"/>
  <c r="G625" i="11" s="1"/>
  <c r="G626" i="11" a="1"/>
  <c r="G626" i="11" s="1"/>
  <c r="G627" i="11" a="1"/>
  <c r="G627" i="11" s="1"/>
  <c r="G628" i="11" a="1"/>
  <c r="G628" i="11" s="1"/>
  <c r="G629" i="11" a="1"/>
  <c r="G629" i="11" s="1"/>
  <c r="G630" i="11" a="1"/>
  <c r="G630" i="11" s="1"/>
  <c r="G631" i="11" a="1"/>
  <c r="G631" i="11" s="1"/>
  <c r="G632" i="11" a="1"/>
  <c r="G632" i="11" s="1"/>
  <c r="G633" i="11" a="1"/>
  <c r="G633" i="11" s="1"/>
  <c r="G634" i="11" a="1"/>
  <c r="G634" i="11" s="1"/>
  <c r="G635" i="11" a="1"/>
  <c r="G635" i="11" s="1"/>
  <c r="G636" i="11" a="1"/>
  <c r="G636" i="11" s="1"/>
  <c r="G637" i="11" a="1"/>
  <c r="G637" i="11" s="1"/>
  <c r="G638" i="11" a="1"/>
  <c r="G638" i="11" s="1"/>
  <c r="G639" i="11" a="1"/>
  <c r="G639" i="11" s="1"/>
  <c r="G640" i="11" a="1"/>
  <c r="G640" i="11" s="1"/>
  <c r="G641" i="11" a="1"/>
  <c r="G641" i="11" s="1"/>
  <c r="G642" i="11" a="1"/>
  <c r="G642" i="11" s="1"/>
  <c r="G643" i="11" a="1"/>
  <c r="G643" i="11" s="1"/>
  <c r="G644" i="11" a="1"/>
  <c r="G644" i="11" s="1"/>
  <c r="G645" i="11" a="1"/>
  <c r="G645" i="11" s="1"/>
  <c r="G646" i="11" a="1"/>
  <c r="G646" i="11" s="1"/>
  <c r="G647" i="11" a="1"/>
  <c r="G647" i="11" s="1"/>
  <c r="G648" i="11" a="1"/>
  <c r="G648" i="11" s="1"/>
  <c r="G649" i="11" a="1"/>
  <c r="G649" i="11" s="1"/>
  <c r="G650" i="11" a="1"/>
  <c r="G650" i="11" s="1"/>
  <c r="G651" i="11" a="1"/>
  <c r="G651" i="11" s="1"/>
  <c r="G652" i="11" a="1"/>
  <c r="G652" i="11" s="1"/>
  <c r="G653" i="11" a="1"/>
  <c r="G653" i="11" s="1"/>
  <c r="G654" i="11" a="1"/>
  <c r="G654" i="11" s="1"/>
  <c r="G655" i="11" a="1"/>
  <c r="G655" i="11" s="1"/>
  <c r="G656" i="11" a="1"/>
  <c r="G656" i="11" s="1"/>
  <c r="G657" i="11" a="1"/>
  <c r="G657" i="11" s="1"/>
  <c r="G658" i="11" a="1"/>
  <c r="G658" i="11" s="1"/>
  <c r="G659" i="11" a="1"/>
  <c r="G659" i="11" s="1"/>
  <c r="G660" i="11" a="1"/>
  <c r="G660" i="11" s="1"/>
  <c r="G661" i="11" a="1"/>
  <c r="G661" i="11" s="1"/>
  <c r="G662" i="11" a="1"/>
  <c r="G662" i="11" s="1"/>
  <c r="G663" i="11" a="1"/>
  <c r="G663" i="11" s="1"/>
  <c r="G664" i="11" a="1"/>
  <c r="G664" i="11" s="1"/>
  <c r="G665" i="11" a="1"/>
  <c r="G665" i="11" s="1"/>
  <c r="G666" i="11" a="1"/>
  <c r="G666" i="11" s="1"/>
  <c r="G667" i="11" a="1"/>
  <c r="G667" i="11" s="1"/>
  <c r="G668" i="11" a="1"/>
  <c r="G668" i="11" s="1"/>
  <c r="G669" i="11" a="1"/>
  <c r="G669" i="11" s="1"/>
  <c r="G670" i="11" a="1"/>
  <c r="G670" i="11" s="1"/>
  <c r="G671" i="11" a="1"/>
  <c r="G671" i="11" s="1"/>
  <c r="G672" i="11" a="1"/>
  <c r="G672" i="11" s="1"/>
  <c r="G673" i="11" a="1"/>
  <c r="G673" i="11" s="1"/>
  <c r="G674" i="11" a="1"/>
  <c r="G674" i="11" s="1"/>
  <c r="G675" i="11" a="1"/>
  <c r="G675" i="11" s="1"/>
  <c r="G676" i="11" a="1"/>
  <c r="G676" i="11" s="1"/>
  <c r="G677" i="11" a="1"/>
  <c r="G677" i="11" s="1"/>
  <c r="G678" i="11" a="1"/>
  <c r="G678" i="11" s="1"/>
  <c r="G679" i="11" a="1"/>
  <c r="G679" i="11" s="1"/>
  <c r="G680" i="11" a="1"/>
  <c r="G680" i="11" s="1"/>
  <c r="G681" i="11" a="1"/>
  <c r="G681" i="11" s="1"/>
  <c r="G682" i="11" a="1"/>
  <c r="G682" i="11" s="1"/>
  <c r="G683" i="11" a="1"/>
  <c r="G683" i="11" s="1"/>
  <c r="G684" i="11" a="1"/>
  <c r="G684" i="11" s="1"/>
  <c r="G685" i="11" a="1"/>
  <c r="G685" i="11" s="1"/>
  <c r="G686" i="11" a="1"/>
  <c r="G686" i="11" s="1"/>
  <c r="G687" i="11" a="1"/>
  <c r="G687" i="11" s="1"/>
  <c r="G688" i="11" a="1"/>
  <c r="G688" i="11" s="1"/>
  <c r="G689" i="11" a="1"/>
  <c r="G689" i="11" s="1"/>
  <c r="G690" i="11" a="1"/>
  <c r="G690" i="11" s="1"/>
  <c r="G691" i="11" a="1"/>
  <c r="G691" i="11" s="1"/>
  <c r="G692" i="11" a="1"/>
  <c r="G692" i="11" s="1"/>
  <c r="G693" i="11" a="1"/>
  <c r="G693" i="11" s="1"/>
  <c r="G694" i="11" a="1"/>
  <c r="G694" i="11" s="1"/>
  <c r="G695" i="11" a="1"/>
  <c r="G695" i="11" s="1"/>
  <c r="G696" i="11" a="1"/>
  <c r="G696" i="11" s="1"/>
  <c r="G697" i="11" a="1"/>
  <c r="G697" i="11" s="1"/>
  <c r="G698" i="11" a="1"/>
  <c r="G698" i="11" s="1"/>
  <c r="G699" i="11" a="1"/>
  <c r="G699" i="11" s="1"/>
  <c r="G700" i="11" a="1"/>
  <c r="G700" i="11" s="1"/>
  <c r="G701" i="11" a="1"/>
  <c r="G701" i="11" s="1"/>
  <c r="G702" i="11" a="1"/>
  <c r="G702" i="11" s="1"/>
  <c r="G703" i="11" a="1"/>
  <c r="G703" i="11" s="1"/>
  <c r="G704" i="11" a="1"/>
  <c r="G704" i="11" s="1"/>
  <c r="G705" i="11" a="1"/>
  <c r="G705" i="11" s="1"/>
  <c r="G706" i="11" a="1"/>
  <c r="G706" i="11" s="1"/>
  <c r="G707" i="11" a="1"/>
  <c r="G707" i="11" s="1"/>
  <c r="G708" i="11" a="1"/>
  <c r="G708" i="11" s="1"/>
  <c r="G709" i="11" a="1"/>
  <c r="G709" i="11" s="1"/>
  <c r="G710" i="11" a="1"/>
  <c r="G710" i="11" s="1"/>
  <c r="G711" i="11" a="1"/>
  <c r="G711" i="11" s="1"/>
  <c r="G712" i="11" a="1"/>
  <c r="G712" i="11" s="1"/>
  <c r="G713" i="11" a="1"/>
  <c r="G713" i="11" s="1"/>
  <c r="G714" i="11" a="1"/>
  <c r="G714" i="11" s="1"/>
  <c r="G715" i="11" a="1"/>
  <c r="G715" i="11" s="1"/>
  <c r="G716" i="11" a="1"/>
  <c r="G716" i="11" s="1"/>
  <c r="G717" i="11" a="1"/>
  <c r="G717" i="11" s="1"/>
  <c r="G718" i="11" a="1"/>
  <c r="G718" i="11" s="1"/>
  <c r="G719" i="11" a="1"/>
  <c r="G719" i="11" s="1"/>
  <c r="G720" i="11" a="1"/>
  <c r="G720" i="11" s="1"/>
  <c r="G721" i="11" a="1"/>
  <c r="G721" i="11" s="1"/>
  <c r="G722" i="11" a="1"/>
  <c r="G722" i="11" s="1"/>
  <c r="G723" i="11" a="1"/>
  <c r="G723" i="11" s="1"/>
  <c r="G724" i="11" a="1"/>
  <c r="G724" i="11" s="1"/>
  <c r="G725" i="11" a="1"/>
  <c r="G725" i="11" s="1"/>
  <c r="G726" i="11" a="1"/>
  <c r="G726" i="11" s="1"/>
  <c r="G727" i="11" a="1"/>
  <c r="G727" i="11" s="1"/>
  <c r="G728" i="11" a="1"/>
  <c r="G728" i="11" s="1"/>
  <c r="G729" i="11" a="1"/>
  <c r="G729" i="11" s="1"/>
  <c r="G730" i="11" a="1"/>
  <c r="G730" i="11" s="1"/>
  <c r="G731" i="11" a="1"/>
  <c r="G731" i="11" s="1"/>
  <c r="G732" i="11" a="1"/>
  <c r="G732" i="11" s="1"/>
  <c r="G733" i="11" a="1"/>
  <c r="G733" i="11" s="1"/>
  <c r="G734" i="11" a="1"/>
  <c r="G734" i="11" s="1"/>
  <c r="G735" i="11" a="1"/>
  <c r="G735" i="11" s="1"/>
  <c r="G736" i="11" a="1"/>
  <c r="G736" i="11" s="1"/>
  <c r="G737" i="11" a="1"/>
  <c r="G737" i="11" s="1"/>
  <c r="G738" i="11" a="1"/>
  <c r="G738" i="11" s="1"/>
  <c r="G739" i="11" a="1"/>
  <c r="G739" i="11" s="1"/>
  <c r="G740" i="11" a="1"/>
  <c r="G740" i="11" s="1"/>
  <c r="G741" i="11" a="1"/>
  <c r="G741" i="11" s="1"/>
  <c r="G742" i="11" a="1"/>
  <c r="G742" i="11" s="1"/>
  <c r="G743" i="11" a="1"/>
  <c r="G743" i="11" s="1"/>
  <c r="G744" i="11" a="1"/>
  <c r="G744" i="11" s="1"/>
  <c r="G745" i="11" a="1"/>
  <c r="G745" i="11" s="1"/>
  <c r="G746" i="11" a="1"/>
  <c r="G746" i="11" s="1"/>
  <c r="G747" i="11" a="1"/>
  <c r="G747" i="11" s="1"/>
  <c r="G748" i="11" a="1"/>
  <c r="G748" i="11" s="1"/>
  <c r="G749" i="11" a="1"/>
  <c r="G749" i="11" s="1"/>
  <c r="G750" i="11" a="1"/>
  <c r="G750" i="11" s="1"/>
  <c r="G751" i="11" a="1"/>
  <c r="G751" i="11" s="1"/>
  <c r="G752" i="11" a="1"/>
  <c r="G752" i="11" s="1"/>
  <c r="G753" i="11" a="1"/>
  <c r="G753" i="11" s="1"/>
  <c r="G754" i="11" a="1"/>
  <c r="G754" i="11" s="1"/>
  <c r="G755" i="11" a="1"/>
  <c r="G755" i="11" s="1"/>
  <c r="G756" i="11" a="1"/>
  <c r="G756" i="11" s="1"/>
  <c r="G757" i="11" a="1"/>
  <c r="G757" i="11" s="1"/>
  <c r="G758" i="11" a="1"/>
  <c r="G758" i="11" s="1"/>
  <c r="G759" i="11" a="1"/>
  <c r="G759" i="11" s="1"/>
  <c r="G760" i="11" a="1"/>
  <c r="G760" i="11" s="1"/>
  <c r="G761" i="11" a="1"/>
  <c r="G761" i="11" s="1"/>
  <c r="G762" i="11" a="1"/>
  <c r="G762" i="11" s="1"/>
  <c r="G763" i="11" a="1"/>
  <c r="G763" i="11" s="1"/>
  <c r="G764" i="11" a="1"/>
  <c r="G764" i="11" s="1"/>
  <c r="G765" i="11" a="1"/>
  <c r="G765" i="11" s="1"/>
  <c r="G766" i="11" a="1"/>
  <c r="G766" i="11" s="1"/>
  <c r="G767" i="11" a="1"/>
  <c r="G767" i="11" s="1"/>
  <c r="G768" i="11" a="1"/>
  <c r="G768" i="11" s="1"/>
  <c r="G769" i="11" a="1"/>
  <c r="G769" i="11" s="1"/>
  <c r="G770" i="11" a="1"/>
  <c r="G770" i="11" s="1"/>
  <c r="G771" i="11" a="1"/>
  <c r="G771" i="11" s="1"/>
  <c r="G772" i="11" a="1"/>
  <c r="G772" i="11" s="1"/>
  <c r="G773" i="11" a="1"/>
  <c r="G773" i="11" s="1"/>
  <c r="G774" i="11" a="1"/>
  <c r="G774" i="11" s="1"/>
  <c r="G775" i="11" a="1"/>
  <c r="G775" i="11" s="1"/>
  <c r="G776" i="11" a="1"/>
  <c r="G776" i="11" s="1"/>
  <c r="G777" i="11" a="1"/>
  <c r="G777" i="11" s="1"/>
  <c r="G778" i="11" a="1"/>
  <c r="G778" i="11" s="1"/>
  <c r="G779" i="11" a="1"/>
  <c r="G779" i="11" s="1"/>
  <c r="G780" i="11" a="1"/>
  <c r="G780" i="11" s="1"/>
  <c r="G781" i="11" a="1"/>
  <c r="G781" i="11" s="1"/>
  <c r="G782" i="11" a="1"/>
  <c r="G782" i="11" s="1"/>
  <c r="G783" i="11" a="1"/>
  <c r="G783" i="11" s="1"/>
  <c r="G784" i="11" a="1"/>
  <c r="G784" i="11" s="1"/>
  <c r="G785" i="11" a="1"/>
  <c r="G785" i="11" s="1"/>
  <c r="G786" i="11" a="1"/>
  <c r="G786" i="11" s="1"/>
  <c r="G787" i="11" a="1"/>
  <c r="G787" i="11" s="1"/>
  <c r="G788" i="11" a="1"/>
  <c r="G788" i="11" s="1"/>
  <c r="G789" i="11" a="1"/>
  <c r="G789" i="11" s="1"/>
  <c r="G790" i="11" a="1"/>
  <c r="G790" i="11" s="1"/>
  <c r="G791" i="11" a="1"/>
  <c r="G791" i="11" s="1"/>
  <c r="G792" i="11" a="1"/>
  <c r="G792" i="11" s="1"/>
  <c r="G793" i="11" a="1"/>
  <c r="G793" i="11" s="1"/>
  <c r="G794" i="11" a="1"/>
  <c r="G794" i="11" s="1"/>
  <c r="G795" i="11" a="1"/>
  <c r="G795" i="11" s="1"/>
  <c r="G796" i="11" a="1"/>
  <c r="G796" i="11" s="1"/>
  <c r="G797" i="11" a="1"/>
  <c r="G797" i="11" s="1"/>
  <c r="G798" i="11" a="1"/>
  <c r="G798" i="11" s="1"/>
  <c r="G799" i="11" a="1"/>
  <c r="G799" i="11" s="1"/>
  <c r="G800" i="11" a="1"/>
  <c r="G800" i="11" s="1"/>
  <c r="G801" i="11" a="1"/>
  <c r="G801" i="11" s="1"/>
  <c r="G802" i="11" a="1"/>
  <c r="G802" i="11" s="1"/>
  <c r="G803" i="11" a="1"/>
  <c r="G803" i="11" s="1"/>
  <c r="G804" i="11" a="1"/>
  <c r="G804" i="11" s="1"/>
  <c r="G805" i="11" a="1"/>
  <c r="G805" i="11" s="1"/>
  <c r="G806" i="11" a="1"/>
  <c r="G806" i="11" s="1"/>
  <c r="G807" i="11" a="1"/>
  <c r="G807" i="11" s="1"/>
  <c r="G808" i="11" a="1"/>
  <c r="G808" i="11" s="1"/>
  <c r="G809" i="11" a="1"/>
  <c r="G809" i="11" s="1"/>
  <c r="G810" i="11" a="1"/>
  <c r="G810" i="11" s="1"/>
  <c r="G811" i="11" a="1"/>
  <c r="G811" i="11" s="1"/>
  <c r="G812" i="11" a="1"/>
  <c r="G812" i="11" s="1"/>
  <c r="G813" i="11" a="1"/>
  <c r="G813" i="11" s="1"/>
  <c r="G814" i="11" a="1"/>
  <c r="G814" i="11" s="1"/>
  <c r="G815" i="11" a="1"/>
  <c r="G815" i="11" s="1"/>
  <c r="G816" i="11" a="1"/>
  <c r="G816" i="11" s="1"/>
  <c r="G817" i="11" a="1"/>
  <c r="G817" i="11" s="1"/>
  <c r="G818" i="11" a="1"/>
  <c r="G818" i="11" s="1"/>
  <c r="G819" i="11" a="1"/>
  <c r="G819" i="11" s="1"/>
  <c r="G820" i="11" a="1"/>
  <c r="G820" i="11" s="1"/>
  <c r="G821" i="11" a="1"/>
  <c r="G821" i="11" s="1"/>
  <c r="G822" i="11" a="1"/>
  <c r="G822" i="11" s="1"/>
  <c r="G823" i="11" a="1"/>
  <c r="G823" i="11" s="1"/>
  <c r="G824" i="11" a="1"/>
  <c r="G824" i="11" s="1"/>
  <c r="G825" i="11" a="1"/>
  <c r="G825" i="11" s="1"/>
  <c r="G826" i="11" a="1"/>
  <c r="G826" i="11" s="1"/>
  <c r="G827" i="11" a="1"/>
  <c r="G827" i="11" s="1"/>
  <c r="G828" i="11" a="1"/>
  <c r="G828" i="11" s="1"/>
  <c r="G829" i="11" a="1"/>
  <c r="G829" i="11" s="1"/>
  <c r="G830" i="11" a="1"/>
  <c r="G830" i="11" s="1"/>
  <c r="G831" i="11" a="1"/>
  <c r="G831" i="11" s="1"/>
  <c r="G832" i="11" a="1"/>
  <c r="G832" i="11" s="1"/>
  <c r="G833" i="11" a="1"/>
  <c r="G833" i="11" s="1"/>
  <c r="G834" i="11" a="1"/>
  <c r="G834" i="11" s="1"/>
  <c r="G835" i="11" a="1"/>
  <c r="G835" i="11" s="1"/>
  <c r="G836" i="11" a="1"/>
  <c r="G836" i="11" s="1"/>
  <c r="G837" i="11" a="1"/>
  <c r="G837" i="11" s="1"/>
  <c r="G838" i="11" a="1"/>
  <c r="G838" i="11" s="1"/>
  <c r="G839" i="11" a="1"/>
  <c r="G839" i="11" s="1"/>
  <c r="G840" i="11" a="1"/>
  <c r="G840" i="11" s="1"/>
  <c r="G841" i="11" a="1"/>
  <c r="G841" i="11" s="1"/>
  <c r="G842" i="11" a="1"/>
  <c r="G842" i="11" s="1"/>
  <c r="G843" i="11" a="1"/>
  <c r="G843" i="11" s="1"/>
  <c r="G844" i="11" a="1"/>
  <c r="G844" i="11" s="1"/>
  <c r="G845" i="11" a="1"/>
  <c r="G845" i="11" s="1"/>
  <c r="G846" i="11" a="1"/>
  <c r="G846" i="11" s="1"/>
  <c r="G847" i="11" a="1"/>
  <c r="G847" i="11" s="1"/>
  <c r="G848" i="11" a="1"/>
  <c r="G848" i="11" s="1"/>
  <c r="G849" i="11" a="1"/>
  <c r="G849" i="11" s="1"/>
  <c r="G850" i="11" a="1"/>
  <c r="G850" i="11" s="1"/>
  <c r="G851" i="11" a="1"/>
  <c r="G851" i="11" s="1"/>
  <c r="G852" i="11" a="1"/>
  <c r="G852" i="11" s="1"/>
  <c r="G853" i="11" a="1"/>
  <c r="G853" i="11" s="1"/>
  <c r="G854" i="11" a="1"/>
  <c r="G854" i="11" s="1"/>
  <c r="G855" i="11" a="1"/>
  <c r="G855" i="11" s="1"/>
  <c r="G856" i="11" a="1"/>
  <c r="G856" i="11" s="1"/>
  <c r="G857" i="11" a="1"/>
  <c r="G857" i="11" s="1"/>
  <c r="G858" i="11" a="1"/>
  <c r="G858" i="11" s="1"/>
  <c r="G859" i="11" a="1"/>
  <c r="G859" i="11" s="1"/>
  <c r="G860" i="11" a="1"/>
  <c r="G860" i="11" s="1"/>
  <c r="G861" i="11" a="1"/>
  <c r="G861" i="11" s="1"/>
  <c r="G862" i="11" a="1"/>
  <c r="G862" i="11" s="1"/>
  <c r="G863" i="11" a="1"/>
  <c r="G863" i="11" s="1"/>
  <c r="G864" i="11" a="1"/>
  <c r="G864" i="11" s="1"/>
  <c r="G865" i="11" a="1"/>
  <c r="G865" i="11" s="1"/>
  <c r="G866" i="11" a="1"/>
  <c r="G866" i="11" s="1"/>
  <c r="G867" i="11" a="1"/>
  <c r="G867" i="11" s="1"/>
  <c r="G868" i="11" a="1"/>
  <c r="G868" i="11" s="1"/>
  <c r="G869" i="11" a="1"/>
  <c r="G869" i="11" s="1"/>
  <c r="G870" i="11" a="1"/>
  <c r="G870" i="11" s="1"/>
  <c r="G871" i="11" a="1"/>
  <c r="G871" i="11" s="1"/>
  <c r="G872" i="11" a="1"/>
  <c r="G872" i="11" s="1"/>
  <c r="G873" i="11" a="1"/>
  <c r="G873" i="11" s="1"/>
  <c r="G874" i="11" a="1"/>
  <c r="G874" i="11" s="1"/>
  <c r="G875" i="11" a="1"/>
  <c r="G875" i="11" s="1"/>
  <c r="G876" i="11" a="1"/>
  <c r="G876" i="11" s="1"/>
  <c r="G877" i="11" a="1"/>
  <c r="G877" i="11" s="1"/>
  <c r="G878" i="11" a="1"/>
  <c r="G878" i="11" s="1"/>
  <c r="G879" i="11" a="1"/>
  <c r="G879" i="11" s="1"/>
  <c r="G880" i="11" a="1"/>
  <c r="G880" i="11" s="1"/>
  <c r="G881" i="11" a="1"/>
  <c r="G881" i="11" s="1"/>
  <c r="G882" i="11" a="1"/>
  <c r="G882" i="11" s="1"/>
  <c r="G883" i="11" a="1"/>
  <c r="G883" i="11" s="1"/>
  <c r="G884" i="11" a="1"/>
  <c r="G884" i="11" s="1"/>
  <c r="G885" i="11" a="1"/>
  <c r="G885" i="11" s="1"/>
  <c r="G886" i="11" a="1"/>
  <c r="G886" i="11" s="1"/>
  <c r="G887" i="11" a="1"/>
  <c r="G887" i="11" s="1"/>
  <c r="G888" i="11" a="1"/>
  <c r="G888" i="11" s="1"/>
  <c r="G889" i="11" a="1"/>
  <c r="G889" i="11" s="1"/>
  <c r="G890" i="11" a="1"/>
  <c r="G890" i="11" s="1"/>
  <c r="G891" i="11" a="1"/>
  <c r="G891" i="11" s="1"/>
  <c r="G892" i="11" a="1"/>
  <c r="G892" i="11" s="1"/>
  <c r="G893" i="11" a="1"/>
  <c r="G893" i="11" s="1"/>
  <c r="G894" i="11" a="1"/>
  <c r="G894" i="11" s="1"/>
  <c r="G895" i="11" a="1"/>
  <c r="G895" i="11" s="1"/>
  <c r="G896" i="11" a="1"/>
  <c r="G896" i="11" s="1"/>
  <c r="G897" i="11" a="1"/>
  <c r="G897" i="11" s="1"/>
  <c r="G898" i="11" a="1"/>
  <c r="G898" i="11" s="1"/>
  <c r="G899" i="11" a="1"/>
  <c r="G899" i="11" s="1"/>
  <c r="G900" i="11" a="1"/>
  <c r="G900" i="11" s="1"/>
  <c r="G901" i="11" a="1"/>
  <c r="G901" i="11" s="1"/>
  <c r="G902" i="11" a="1"/>
  <c r="G902" i="11" s="1"/>
  <c r="G903" i="11" a="1"/>
  <c r="G903" i="11" s="1"/>
  <c r="G904" i="11" a="1"/>
  <c r="G904" i="11" s="1"/>
  <c r="G905" i="11" a="1"/>
  <c r="G905" i="11" s="1"/>
  <c r="G906" i="11" a="1"/>
  <c r="G906" i="11" s="1"/>
  <c r="G907" i="11" a="1"/>
  <c r="G907" i="11" s="1"/>
  <c r="G908" i="11" a="1"/>
  <c r="G908" i="11" s="1"/>
  <c r="G909" i="11" a="1"/>
  <c r="G909" i="11" s="1"/>
  <c r="G910" i="11" a="1"/>
  <c r="G910" i="11" s="1"/>
  <c r="G911" i="11" a="1"/>
  <c r="G911" i="11" s="1"/>
  <c r="G912" i="11" a="1"/>
  <c r="G912" i="11" s="1"/>
  <c r="G913" i="11" a="1"/>
  <c r="G913" i="11" s="1"/>
  <c r="G914" i="11" a="1"/>
  <c r="G914" i="11" s="1"/>
  <c r="G915" i="11" a="1"/>
  <c r="G915" i="11" s="1"/>
  <c r="G916" i="11" a="1"/>
  <c r="G916" i="11" s="1"/>
  <c r="G917" i="11" a="1"/>
  <c r="G917" i="11" s="1"/>
  <c r="G918" i="11" a="1"/>
  <c r="G918" i="11" s="1"/>
  <c r="G919" i="11" a="1"/>
  <c r="G919" i="11" s="1"/>
  <c r="G920" i="11" a="1"/>
  <c r="G920" i="11" s="1"/>
  <c r="G921" i="11" a="1"/>
  <c r="G921" i="11" s="1"/>
  <c r="G922" i="11" a="1"/>
  <c r="G922" i="11" s="1"/>
  <c r="G923" i="11" a="1"/>
  <c r="G923" i="11" s="1"/>
  <c r="G924" i="11" a="1"/>
  <c r="G924" i="11" s="1"/>
  <c r="G925" i="11" a="1"/>
  <c r="G925" i="11" s="1"/>
  <c r="G926" i="11" a="1"/>
  <c r="G926" i="11" s="1"/>
  <c r="G927" i="11" a="1"/>
  <c r="G927" i="11" s="1"/>
  <c r="G928" i="11" a="1"/>
  <c r="G928" i="11" s="1"/>
  <c r="G929" i="11" a="1"/>
  <c r="G929" i="11" s="1"/>
  <c r="G930" i="11" a="1"/>
  <c r="G930" i="11" s="1"/>
  <c r="G931" i="11" a="1"/>
  <c r="G931" i="11" s="1"/>
  <c r="G932" i="11" a="1"/>
  <c r="G932" i="11" s="1"/>
  <c r="G933" i="11" a="1"/>
  <c r="G933" i="11" s="1"/>
  <c r="G934" i="11" a="1"/>
  <c r="G934" i="11" s="1"/>
  <c r="G935" i="11" a="1"/>
  <c r="G935" i="11" s="1"/>
  <c r="G936" i="11" a="1"/>
  <c r="G936" i="11" s="1"/>
  <c r="G937" i="11" a="1"/>
  <c r="G937" i="11" s="1"/>
  <c r="G938" i="11" a="1"/>
  <c r="G938" i="11" s="1"/>
  <c r="G939" i="11" a="1"/>
  <c r="G939" i="11" s="1"/>
  <c r="G940" i="11" a="1"/>
  <c r="G940" i="11" s="1"/>
  <c r="G941" i="11" a="1"/>
  <c r="G941" i="11" s="1"/>
  <c r="G942" i="11" a="1"/>
  <c r="G942" i="11" s="1"/>
  <c r="G943" i="11" a="1"/>
  <c r="G943" i="11" s="1"/>
  <c r="G944" i="11" a="1"/>
  <c r="G944" i="11" s="1"/>
  <c r="G945" i="11" a="1"/>
  <c r="G945" i="11" s="1"/>
  <c r="G946" i="11" a="1"/>
  <c r="G946" i="11" s="1"/>
  <c r="G947" i="11" a="1"/>
  <c r="G947" i="11" s="1"/>
  <c r="G948" i="11" a="1"/>
  <c r="G948" i="11" s="1"/>
  <c r="G949" i="11" a="1"/>
  <c r="G949" i="11" s="1"/>
  <c r="G950" i="11" a="1"/>
  <c r="G950" i="11" s="1"/>
  <c r="G951" i="11" a="1"/>
  <c r="G951" i="11" s="1"/>
  <c r="G952" i="11" a="1"/>
  <c r="G952" i="11" s="1"/>
  <c r="G953" i="11" a="1"/>
  <c r="G953" i="11" s="1"/>
  <c r="G954" i="11" a="1"/>
  <c r="G954" i="11" s="1"/>
  <c r="G955" i="11" a="1"/>
  <c r="G955" i="11" s="1"/>
  <c r="G956" i="11" a="1"/>
  <c r="G956" i="11" s="1"/>
  <c r="G957" i="11" a="1"/>
  <c r="G957" i="11" s="1"/>
  <c r="G958" i="11" a="1"/>
  <c r="G958" i="11" s="1"/>
  <c r="G959" i="11" a="1"/>
  <c r="G959" i="11" s="1"/>
  <c r="G960" i="11" a="1"/>
  <c r="G960" i="11" s="1"/>
  <c r="G961" i="11" a="1"/>
  <c r="G961" i="11" s="1"/>
  <c r="G962" i="11" a="1"/>
  <c r="G962" i="11" s="1"/>
  <c r="G963" i="11" a="1"/>
  <c r="G963" i="11" s="1"/>
  <c r="G964" i="11" a="1"/>
  <c r="G964" i="11" s="1"/>
  <c r="G965" i="11" a="1"/>
  <c r="G965" i="11" s="1"/>
  <c r="G966" i="11" a="1"/>
  <c r="G966" i="11" s="1"/>
  <c r="G967" i="11" a="1"/>
  <c r="G967" i="11" s="1"/>
  <c r="G968" i="11" a="1"/>
  <c r="G968" i="11" s="1"/>
  <c r="G969" i="11" a="1"/>
  <c r="G969" i="11" s="1"/>
  <c r="G970" i="11" a="1"/>
  <c r="G970" i="11" s="1"/>
  <c r="G971" i="11" a="1"/>
  <c r="G971" i="11" s="1"/>
  <c r="G972" i="11" a="1"/>
  <c r="G972" i="11" s="1"/>
  <c r="G973" i="11" a="1"/>
  <c r="G973" i="11" s="1"/>
  <c r="G974" i="11" a="1"/>
  <c r="G974" i="11" s="1"/>
  <c r="G975" i="11" a="1"/>
  <c r="G975" i="11" s="1"/>
  <c r="G976" i="11" a="1"/>
  <c r="G976" i="11" s="1"/>
  <c r="G977" i="11" a="1"/>
  <c r="G977" i="11" s="1"/>
  <c r="G978" i="11" a="1"/>
  <c r="G978" i="11" s="1"/>
  <c r="G979" i="11" a="1"/>
  <c r="G979" i="11" s="1"/>
  <c r="G980" i="11" a="1"/>
  <c r="G980" i="11" s="1"/>
  <c r="G981" i="11" a="1"/>
  <c r="G981" i="11" s="1"/>
  <c r="G982" i="11" a="1"/>
  <c r="G982" i="11" s="1"/>
  <c r="G983" i="11" a="1"/>
  <c r="G983" i="11" s="1"/>
  <c r="G984" i="11" a="1"/>
  <c r="G984" i="11" s="1"/>
  <c r="G985" i="11" a="1"/>
  <c r="G985" i="11" s="1"/>
  <c r="G986" i="11" a="1"/>
  <c r="G986" i="11" s="1"/>
  <c r="G987" i="11" a="1"/>
  <c r="G987" i="11" s="1"/>
  <c r="G988" i="11" a="1"/>
  <c r="G988" i="11" s="1"/>
  <c r="G989" i="11" a="1"/>
  <c r="G989" i="11" s="1"/>
  <c r="G990" i="11" a="1"/>
  <c r="G990" i="11" s="1"/>
  <c r="G991" i="11" a="1"/>
  <c r="G991" i="11" s="1"/>
  <c r="G992" i="11" a="1"/>
  <c r="G992" i="11" s="1"/>
  <c r="G993" i="11" a="1"/>
  <c r="G993" i="11" s="1"/>
  <c r="G994" i="11" a="1"/>
  <c r="G994" i="11" s="1"/>
  <c r="G995" i="11" a="1"/>
  <c r="G995" i="11" s="1"/>
  <c r="G996" i="11" a="1"/>
  <c r="G996" i="11" s="1"/>
  <c r="G997" i="11" a="1"/>
  <c r="G997" i="11" s="1"/>
  <c r="G998" i="11" a="1"/>
  <c r="G998" i="11" s="1"/>
  <c r="G999" i="11" a="1"/>
  <c r="G999" i="11" s="1"/>
  <c r="G1000" i="11" a="1"/>
  <c r="G1000" i="11" s="1"/>
  <c r="G1001" i="11" a="1"/>
  <c r="G100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BF7BAF-5334-4420-B07C-E7D257DB47F6}"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39189D3C-6F4A-4E43-8F7F-8C4DFB4DC7CF}" keepAlive="1" name="Query - DATA SHEET 2" description="Connection to the 'DATA SHEET 2' query in the workbook." type="5" refreshedVersion="0" background="1">
    <dbPr connection="Provider=Microsoft.Mashup.OleDb.1;Data Source=$Workbook$;Location=&quot;DATA SHEET 2&quot;;Extended Properties=&quot;&quot;" command="SELECT * FROM [DATA SHEET 2]"/>
  </connection>
  <connection id="3" xr16:uid="{AD4877B9-6E20-4B8C-98B6-D38093143395}" keepAlive="1" name="Query - DATASET 1" description="Connection to the 'DATASET 1' query in the workbook." type="5" refreshedVersion="8" background="1" saveData="1">
    <dbPr connection="Provider=Microsoft.Mashup.OleDb.1;Data Source=$Workbook$;Location=&quot;DATASET 1&quot;;Extended Properties=&quot;&quot;" command="SELECT * FROM [DATASET 1]"/>
  </connection>
  <connection id="4" xr16:uid="{60E55C1A-E351-4D9D-A414-D6450A168D33}"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5" xr16:uid="{896DEDFF-83AC-46D7-AF2A-FB72D99CDF20}" keepAlive="1" name="Query - Merge2 (2)" description="Connection to the 'Merge2 (2)' query in the workbook." type="5" refreshedVersion="8" background="1" saveData="1">
    <dbPr connection="Provider=Microsoft.Mashup.OleDb.1;Data Source=$Workbook$;Location=&quot;Merge2 (2)&quot;;Extended Properties=&quot;&quot;" command="SELECT * FROM [Merge2 (2)]"/>
  </connection>
  <connection id="6" xr16:uid="{1D3A9FE3-F539-482C-8443-150D214A0660}" keepAlive="1" name="Query - Sheet4" description="Connection to the 'Sheet4' query in the workbook." type="5" refreshedVersion="0" background="1">
    <dbPr connection="Provider=Microsoft.Mashup.OleDb.1;Data Source=$Workbook$;Location=Sheet4;Extended Properties=&quot;&quot;" command="SELECT * FROM [Sheet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<sst xmlns="http://schemas.openxmlformats.org/spreadsheetml/2006/main" count="2065" uniqueCount="98">
  <si>
    <t>instant</t>
  </si>
  <si>
    <t>dteday</t>
  </si>
  <si>
    <t>season</t>
  </si>
  <si>
    <t>yr</t>
  </si>
  <si>
    <t>mnth</t>
  </si>
  <si>
    <t>hr</t>
  </si>
  <si>
    <t>holiday</t>
  </si>
  <si>
    <t>weekday</t>
  </si>
  <si>
    <t>weathersit</t>
  </si>
  <si>
    <t>temp</t>
  </si>
  <si>
    <t>atemp</t>
  </si>
  <si>
    <t>hum</t>
  </si>
  <si>
    <t>windspeed</t>
  </si>
  <si>
    <t>casual</t>
  </si>
  <si>
    <t>registered</t>
  </si>
  <si>
    <t>cnt</t>
  </si>
  <si>
    <t>winter</t>
  </si>
  <si>
    <t>Column1</t>
  </si>
  <si>
    <t>mnth2</t>
  </si>
  <si>
    <t>weekday2</t>
  </si>
  <si>
    <t>holiday2</t>
  </si>
  <si>
    <t>TEMPERATURE</t>
  </si>
  <si>
    <t>Row Labels</t>
  </si>
  <si>
    <t>Grand Total</t>
  </si>
  <si>
    <t>Sum of registered</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</si>
  <si>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</si>
  <si>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</si>
  <si>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</si>
  <si>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</si>
  <si>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</si>
  <si>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</si>
  <si>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</si>
  <si>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</si>
  <si>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</si>
  <si>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</si>
  <si>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</si>
  <si>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</si>
  <si>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</si>
  <si>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</si>
  <si>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</si>
  <si>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</si>
  <si>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</si>
  <si>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</si>
  <si>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</si>
  <si>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</si>
  <si>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</si>
  <si>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</si>
  <si>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</si>
  <si>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</si>
  <si>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</si>
  <si>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</si>
  <si>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</si>
  <si>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</si>
  <si>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</si>
  <si>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</si>
  <si>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</si>
  <si>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</si>
  <si>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</si>
  <si>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</si>
  <si>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</si>
  <si>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</si>
  <si>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</si>
  <si>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</si>
  <si>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</si>
  <si>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</si>
  <si>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</si>
  <si>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</si>
  <si>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</si>
  <si>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</si>
  <si>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</si>
  <si>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JANUARY</t>
  </si>
  <si>
    <t>FEBRUARY</t>
  </si>
  <si>
    <t>NO</t>
  </si>
  <si>
    <t>Sunday</t>
  </si>
  <si>
    <t>Morning</t>
  </si>
  <si>
    <t>Afternoon</t>
  </si>
  <si>
    <t>Evening</t>
  </si>
  <si>
    <t>Details for Average of cnt - weekday: Sunday</t>
  </si>
  <si>
    <t>Weather</t>
  </si>
  <si>
    <t>Total</t>
  </si>
  <si>
    <t>Monday</t>
  </si>
  <si>
    <t>Tuesday</t>
  </si>
  <si>
    <t>Wednesday</t>
  </si>
  <si>
    <t>Thursday</t>
  </si>
  <si>
    <t>Friday</t>
  </si>
  <si>
    <t>Saturday</t>
  </si>
  <si>
    <t>Clear Sky</t>
  </si>
  <si>
    <t>Dark Cloud</t>
  </si>
  <si>
    <t>Heavy Rainfall</t>
  </si>
  <si>
    <t>Mist</t>
  </si>
  <si>
    <t>Average of hum</t>
  </si>
  <si>
    <t>Average of windspeed</t>
  </si>
  <si>
    <t>Jan</t>
  </si>
  <si>
    <t>Feb</t>
  </si>
  <si>
    <t>Average of temp</t>
  </si>
  <si>
    <t>YES</t>
  </si>
  <si>
    <t>Sum of cnt</t>
  </si>
  <si>
    <t>Average of 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</si>
</sst>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 \°\C"/>
  </numFmts>
  <fonts count="7" x14ac:knownFonts="1">
    <font>
      <sz val="11"/>
      <color theme="1"/>
      <name val="Calibri"/>
      <family val="2"/>
      <scheme val="minor"/>
    </font>
    <font>
      <sz val="10"/>
      <color theme="1"/>
      <name val="Arial"/>
      <family val="2"/>
    </font>
    <font>
      <sz val="10"/>
      <color rgb="FF000000"/>
      <name val="Calibri"/>
      <scheme val="minor"/>
    </font>
    <font>
      <sz val="10"/>
      <color theme="1"/>
      <name val="Calibri"/>
      <scheme val="minor"/>
    </font>
    <font>
      <sz val="8"/>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2" fillId="0" borderId="0"/>
    <xf numFmtId="9" fontId="5" fillId="0" borderId="0" applyFont="0" applyFill="0" applyBorder="0" applyAlignment="0" applyProtection="0"/>
  </cellStyleXfs>
  <cellXfs count="46">
    <xf numFmtId="0" fontId="0" fillId="0" borderId="0" xfId="0"/>
    <xf numFmtId="0" fontId="0" fillId="0" borderId="1" xfId="0" applyBorder="1" applyAlignment="1">
      <alignment wrapText="1"/>
    </xf>
    <xf numFmtId="0" fontId="0" fillId="0" borderId="1" xfId="0" applyBorder="1" applyAlignment="1">
      <alignment horizontal="righ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1" fillId="0" borderId="1" xfId="0" applyFont="1" applyBorder="1" applyAlignment="1">
      <alignment horizontal="center" wrapText="1"/>
    </xf>
    <xf numFmtId="0" fontId="1" fillId="0" borderId="2" xfId="0" applyFont="1" applyBorder="1" applyAlignment="1">
      <alignment horizontal="right" wrapText="1"/>
    </xf>
    <xf numFmtId="0" fontId="1" fillId="0" borderId="3" xfId="0" applyFont="1" applyBorder="1" applyAlignment="1">
      <alignment horizontal="righ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horizontal="right" wrapText="1"/>
    </xf>
    <xf numFmtId="14" fontId="1" fillId="0" borderId="8" xfId="0" applyNumberFormat="1" applyFont="1" applyBorder="1" applyAlignment="1">
      <alignment horizontal="right" wrapText="1"/>
    </xf>
    <xf numFmtId="0" fontId="1" fillId="0" borderId="8" xfId="0" applyFont="1" applyBorder="1" applyAlignment="1">
      <alignment horizontal="right" wrapText="1"/>
    </xf>
    <xf numFmtId="0" fontId="1" fillId="0" borderId="8" xfId="0" applyFont="1" applyBorder="1" applyAlignment="1">
      <alignment horizontal="center" wrapText="1"/>
    </xf>
    <xf numFmtId="0" fontId="1" fillId="0" borderId="9" xfId="0" applyFont="1" applyBorder="1" applyAlignment="1">
      <alignment horizontal="right" wrapText="1"/>
    </xf>
    <xf numFmtId="0" fontId="0" fillId="0" borderId="3" xfId="0" applyBorder="1" applyAlignment="1">
      <alignment horizontal="right" wrapText="1"/>
    </xf>
    <xf numFmtId="0" fontId="0" fillId="0" borderId="5" xfId="0" applyBorder="1" applyAlignment="1">
      <alignment wrapText="1"/>
    </xf>
    <xf numFmtId="0" fontId="0" fillId="0" borderId="6" xfId="0" applyBorder="1" applyAlignment="1">
      <alignment wrapText="1"/>
    </xf>
    <xf numFmtId="0" fontId="0" fillId="0" borderId="8" xfId="0" applyBorder="1" applyAlignment="1">
      <alignment horizontal="right" wrapText="1"/>
    </xf>
    <xf numFmtId="0" fontId="0" fillId="0" borderId="9" xfId="0" applyBorder="1" applyAlignment="1">
      <alignment horizontal="right" wrapText="1"/>
    </xf>
    <xf numFmtId="14" fontId="0" fillId="0" borderId="0" xfId="0" applyNumberFormat="1"/>
    <xf numFmtId="0" fontId="2" fillId="0" borderId="0" xfId="1"/>
    <xf numFmtId="0" fontId="3" fillId="0" borderId="0" xfId="1" applyFont="1"/>
    <xf numFmtId="164" fontId="3" fillId="0" borderId="0" xfId="1" applyNumberFormat="1" applyFont="1"/>
    <xf numFmtId="0" fontId="0" fillId="0" borderId="0" xfId="0" applyAlignment="1">
      <alignment horizontal="center"/>
    </xf>
    <xf numFmtId="165" fontId="0" fillId="0" borderId="0" xfId="0" applyNumberFormat="1"/>
    <xf numFmtId="9" fontId="0" fillId="0" borderId="0" xfId="2" applyFont="1"/>
    <xf numFmtId="0" fontId="0" fillId="0" borderId="0" xfId="0" pivotButton="1"/>
    <xf numFmtId="0" fontId="0" fillId="0" borderId="0" xfId="0" applyAlignment="1">
      <alignment horizontal="left"/>
    </xf>
    <xf numFmtId="0" fontId="6"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indent="1"/>
    </xf>
    <xf numFmtId="9" fontId="0" fillId="0" borderId="0" xfId="0" applyNumberFormat="1"/>
    <xf numFmtId="0" fontId="0" fillId="0" borderId="0" xfId="0" applyNumberFormat="1"/>
    <xf numFmtId="1" fontId="0" fillId="0" borderId="0" xfId="0" applyNumberFormat="1"/>
    <xf numFmtId="14" fontId="0" fillId="0" borderId="0" xfId="0" applyNumberFormat="1" applyAlignment="1">
      <alignment horizontal="left" indent="2"/>
    </xf>
    <xf numFmtId="0" fontId="0" fillId="0" borderId="0" xfId="0" applyAlignment="1">
      <alignment horizontal="left" indent="3"/>
    </xf>
  </cellXfs>
  <cellStyles count="3">
    <cellStyle name="Normal" xfId="0" builtinId="0"/>
    <cellStyle name="Normal 2" xfId="1" xr:uid="{21754695-D451-4F34-B327-BA77FD0D47E4}"/>
    <cellStyle name="Percent" xfId="2" builtinId="5"/>
  </cellStyles>
  <dxfs count="58">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165" formatCode="0.00\ \°\C"/>
    </dxf>
    <dxf>
      <numFmt numFmtId="13" formatCode="0%"/>
    </dxf>
    <dxf>
      <numFmt numFmtId="19" formatCode="dd/mm/yyyy"/>
    </dxf>
    <dxf>
      <numFmt numFmtId="19" formatCode="dd/mm/yyyy"/>
    </dxf>
    <dxf>
      <numFmt numFmtId="19" formatCode="dd/mm/yyyy"/>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dxf>
    <dxf>
      <border outline="0">
        <bottom style="medium">
          <color rgb="FFCCCCCC"/>
        </bottom>
      </border>
    </dxf>
    <dxf>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data).xlsx]Sheet2!PivotTable1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Sheet2!$B$4:$B$49</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0-AF8A-489C-9580-C7F5723FBF3E}"/>
            </c:ext>
          </c:extLst>
        </c:ser>
        <c:dLbls>
          <c:showLegendKey val="0"/>
          <c:showVal val="0"/>
          <c:showCatName val="0"/>
          <c:showSerName val="0"/>
          <c:showPercent val="0"/>
          <c:showBubbleSize val="0"/>
        </c:dLbls>
        <c:gapWidth val="219"/>
        <c:overlap val="-27"/>
        <c:axId val="1392149600"/>
        <c:axId val="1392150560"/>
      </c:barChart>
      <c:catAx>
        <c:axId val="139214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50560"/>
        <c:crosses val="autoZero"/>
        <c:auto val="1"/>
        <c:lblAlgn val="ctr"/>
        <c:lblOffset val="100"/>
        <c:noMultiLvlLbl val="0"/>
      </c:catAx>
      <c:valAx>
        <c:axId val="139215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4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data).xlsx]Sheet1!PivotTable2</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Holiday effect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Sheet1!$A$4:$A$14</c:f>
              <c:multiLvlStrCache>
                <c:ptCount val="8"/>
                <c:lvl>
                  <c:pt idx="0">
                    <c:v>Sunday</c:v>
                  </c:pt>
                  <c:pt idx="1">
                    <c:v>Monday</c:v>
                  </c:pt>
                  <c:pt idx="2">
                    <c:v>Tuesday</c:v>
                  </c:pt>
                  <c:pt idx="3">
                    <c:v>Wednesday</c:v>
                  </c:pt>
                  <c:pt idx="4">
                    <c:v>Thursday</c:v>
                  </c:pt>
                  <c:pt idx="5">
                    <c:v>Friday</c:v>
                  </c:pt>
                  <c:pt idx="6">
                    <c:v>Saturday</c:v>
                  </c:pt>
                  <c:pt idx="7">
                    <c:v>Monday</c:v>
                  </c:pt>
                </c:lvl>
                <c:lvl>
                  <c:pt idx="0">
                    <c:v>NO</c:v>
                  </c:pt>
                  <c:pt idx="7">
                    <c:v>YES</c:v>
                  </c:pt>
                </c:lvl>
              </c:multiLvlStrCache>
            </c:multiLvlStrRef>
          </c:cat>
          <c:val>
            <c:numRef>
              <c:f>Sheet1!$B$4:$B$14</c:f>
              <c:numCache>
                <c:formatCode>General</c:formatCode>
                <c:ptCount val="8"/>
                <c:pt idx="0">
                  <c:v>8121</c:v>
                </c:pt>
                <c:pt idx="1">
                  <c:v>7450</c:v>
                </c:pt>
                <c:pt idx="2">
                  <c:v>8383</c:v>
                </c:pt>
                <c:pt idx="3">
                  <c:v>8049</c:v>
                </c:pt>
                <c:pt idx="4">
                  <c:v>8458</c:v>
                </c:pt>
                <c:pt idx="5">
                  <c:v>9095</c:v>
                </c:pt>
                <c:pt idx="6">
                  <c:v>7748</c:v>
                </c:pt>
                <c:pt idx="7">
                  <c:v>1000</c:v>
                </c:pt>
              </c:numCache>
            </c:numRef>
          </c:val>
          <c:smooth val="0"/>
          <c:extLst>
            <c:ext xmlns:c16="http://schemas.microsoft.com/office/drawing/2014/chart" uri="{C3380CC4-5D6E-409C-BE32-E72D297353CC}">
              <c16:uniqueId val="{00000000-FB5D-4FDA-8C0E-A3C610ED3FDF}"/>
            </c:ext>
          </c:extLst>
        </c:ser>
        <c:dLbls>
          <c:dLblPos val="ctr"/>
          <c:showLegendKey val="0"/>
          <c:showVal val="1"/>
          <c:showCatName val="0"/>
          <c:showSerName val="0"/>
          <c:showPercent val="0"/>
          <c:showBubbleSize val="0"/>
        </c:dLbls>
        <c:marker val="1"/>
        <c:smooth val="0"/>
        <c:axId val="1140537823"/>
        <c:axId val="1140550303"/>
      </c:lineChart>
      <c:catAx>
        <c:axId val="1140537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0550303"/>
        <c:crosses val="autoZero"/>
        <c:auto val="1"/>
        <c:lblAlgn val="ctr"/>
        <c:lblOffset val="100"/>
        <c:noMultiLvlLbl val="0"/>
      </c:catAx>
      <c:valAx>
        <c:axId val="1140550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405378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data).xlsx]Sheet1!PivotTable3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multiLvlStrRef>
              <c:f>Sheet1!$B$20:$B$31</c:f>
              <c:multiLvlStrCache>
                <c:ptCount val="6"/>
                <c:lvl>
                  <c:pt idx="0">
                    <c:v>Afternoon</c:v>
                  </c:pt>
                  <c:pt idx="1">
                    <c:v>Evening</c:v>
                  </c:pt>
                  <c:pt idx="2">
                    <c:v>Morning</c:v>
                  </c:pt>
                  <c:pt idx="3">
                    <c:v>Afternoon</c:v>
                  </c:pt>
                  <c:pt idx="4">
                    <c:v>Evening</c:v>
                  </c:pt>
                  <c:pt idx="5">
                    <c:v>Morning</c:v>
                  </c:pt>
                </c:lvl>
                <c:lvl>
                  <c:pt idx="0">
                    <c:v>01-01-2011</c:v>
                  </c:pt>
                  <c:pt idx="3">
                    <c:v>02-01-2011</c:v>
                  </c:pt>
                </c:lvl>
                <c:lvl>
                  <c:pt idx="0">
                    <c:v>01-Jan</c:v>
                  </c:pt>
                  <c:pt idx="3">
                    <c:v>02-Jan</c:v>
                  </c:pt>
                </c:lvl>
                <c:lvl>
                  <c:pt idx="0">
                    <c:v>Jan</c:v>
                  </c:pt>
                </c:lvl>
              </c:multiLvlStrCache>
            </c:multiLvlStrRef>
          </c:cat>
          <c:val>
            <c:numRef>
              <c:f>Sheet1!$C$20:$C$31</c:f>
              <c:numCache>
                <c:formatCode>0</c:formatCode>
                <c:ptCount val="6"/>
                <c:pt idx="0">
                  <c:v>60.8</c:v>
                </c:pt>
                <c:pt idx="1">
                  <c:v>36</c:v>
                </c:pt>
                <c:pt idx="2">
                  <c:v>25.416666666666668</c:v>
                </c:pt>
                <c:pt idx="3">
                  <c:v>34.75</c:v>
                </c:pt>
                <c:pt idx="4">
                  <c:v>43.8</c:v>
                </c:pt>
                <c:pt idx="5">
                  <c:v>27.5</c:v>
                </c:pt>
              </c:numCache>
            </c:numRef>
          </c:val>
          <c:extLst>
            <c:ext xmlns:c16="http://schemas.microsoft.com/office/drawing/2014/chart" uri="{C3380CC4-5D6E-409C-BE32-E72D297353CC}">
              <c16:uniqueId val="{00000000-A634-4160-BB85-B572F8FA6DA8}"/>
            </c:ext>
          </c:extLst>
        </c:ser>
        <c:dLbls>
          <c:showLegendKey val="0"/>
          <c:showVal val="0"/>
          <c:showCatName val="0"/>
          <c:showSerName val="0"/>
          <c:showPercent val="0"/>
          <c:showBubbleSize val="0"/>
        </c:dLbls>
        <c:gapWidth val="219"/>
        <c:overlap val="-27"/>
        <c:axId val="1140574303"/>
        <c:axId val="1140577183"/>
      </c:barChart>
      <c:catAx>
        <c:axId val="1140574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77183"/>
        <c:crosses val="autoZero"/>
        <c:auto val="1"/>
        <c:lblAlgn val="ctr"/>
        <c:lblOffset val="100"/>
        <c:noMultiLvlLbl val="0"/>
      </c:catAx>
      <c:valAx>
        <c:axId val="1140577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casual</c:v>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Lit>
          </c:val>
          <c:smooth val="0"/>
          <c:extLst>
            <c:ext xmlns:c16="http://schemas.microsoft.com/office/drawing/2014/chart" uri="{C3380CC4-5D6E-409C-BE32-E72D297353CC}">
              <c16:uniqueId val="{00000000-1B3F-4402-9666-5DDD8D7668C0}"/>
            </c:ext>
          </c:extLst>
        </c:ser>
        <c:ser>
          <c:idx val="1"/>
          <c:order val="1"/>
          <c:tx>
            <c:v>Sum of registered</c:v>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Lit>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Lit>
          </c:cat>
          <c:val>
            <c:numLit>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Lit>
          </c:val>
          <c:smooth val="0"/>
          <c:extLst>
            <c:ext xmlns:c16="http://schemas.microsoft.com/office/drawing/2014/chart" uri="{C3380CC4-5D6E-409C-BE32-E72D297353CC}">
              <c16:uniqueId val="{00000001-1B3F-4402-9666-5DDD8D7668C0}"/>
            </c:ext>
          </c:extLst>
        </c:ser>
        <c:dLbls>
          <c:showLegendKey val="0"/>
          <c:showVal val="0"/>
          <c:showCatName val="0"/>
          <c:showSerName val="0"/>
          <c:showPercent val="0"/>
          <c:showBubbleSize val="0"/>
        </c:dLbls>
        <c:marker val="1"/>
        <c:smooth val="0"/>
        <c:axId val="782429583"/>
        <c:axId val="782428623"/>
      </c:lineChart>
      <c:catAx>
        <c:axId val="78242958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28623"/>
        <c:crosses val="autoZero"/>
        <c:auto val="1"/>
        <c:lblAlgn val="ctr"/>
        <c:lblOffset val="100"/>
        <c:noMultiLvlLbl val="0"/>
      </c:catAx>
      <c:valAx>
        <c:axId val="78242862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2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Register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s>
    <c:plotArea>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E6E-4AE0-8CFB-8FFDF36469C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E6E-4AE0-8CFB-8FFDF36469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4-2E6E-4AE0-8CFB-8FFDF36469C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cnt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Lit>
          </c:val>
          <c:extLst>
            <c:ext xmlns:c16="http://schemas.microsoft.com/office/drawing/2014/chart" uri="{C3380CC4-5D6E-409C-BE32-E72D297353CC}">
              <c16:uniqueId val="{00000000-DCA7-47B0-8CD9-8ABCCCF921A2}"/>
            </c:ext>
          </c:extLst>
        </c:ser>
        <c:ser>
          <c:idx val="1"/>
          <c:order val="1"/>
          <c:tx>
            <c:v>Average of registered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Lit>
          </c:val>
          <c:extLst>
            <c:ext xmlns:c16="http://schemas.microsoft.com/office/drawing/2014/chart" uri="{C3380CC4-5D6E-409C-BE32-E72D297353CC}">
              <c16:uniqueId val="{00000001-DCA7-47B0-8CD9-8ABCCCF921A2}"/>
            </c:ext>
          </c:extLst>
        </c:ser>
        <c:dLbls>
          <c:showLegendKey val="0"/>
          <c:showVal val="0"/>
          <c:showCatName val="0"/>
          <c:showSerName val="0"/>
          <c:showPercent val="0"/>
          <c:showBubbleSize val="0"/>
        </c:dLbls>
        <c:gapWidth val="150"/>
        <c:axId val="460445727"/>
        <c:axId val="460446207"/>
      </c:barChart>
      <c:lineChart>
        <c:grouping val="standard"/>
        <c:varyColors val="0"/>
        <c:ser>
          <c:idx val="2"/>
          <c:order val="2"/>
          <c:tx>
            <c:v>Average of casual</c:v>
          </c:tx>
          <c:spPr>
            <a:ln w="34925" cap="rnd">
              <a:solidFill>
                <a:schemeClr val="accent3"/>
              </a:solidFill>
              <a:round/>
            </a:ln>
            <a:effectLst>
              <a:outerShdw blurRad="57150" dist="19050" dir="5400000" algn="ctr" rotWithShape="0">
                <a:srgbClr val="000000">
                  <a:alpha val="63000"/>
                </a:srgbClr>
              </a:outerShdw>
            </a:effectLst>
          </c:spPr>
          <c:marker>
            <c:symbol val="none"/>
          </c:marker>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9.0060975609756095</c:v>
              </c:pt>
              <c:pt idx="1">
                <c:v>3.5838926174496644</c:v>
              </c:pt>
              <c:pt idx="2">
                <c:v>3.5984251968503935</c:v>
              </c:pt>
              <c:pt idx="3">
                <c:v>2.6259541984732824</c:v>
              </c:pt>
              <c:pt idx="4">
                <c:v>2.6560000000000001</c:v>
              </c:pt>
              <c:pt idx="5">
                <c:v>4</c:v>
              </c:pt>
              <c:pt idx="6">
                <c:v>7.3795180722891569</c:v>
              </c:pt>
            </c:numLit>
          </c:val>
          <c:smooth val="0"/>
          <c:extLst>
            <c:ext xmlns:c16="http://schemas.microsoft.com/office/drawing/2014/chart" uri="{C3380CC4-5D6E-409C-BE32-E72D297353CC}">
              <c16:uniqueId val="{00000002-DCA7-47B0-8CD9-8ABCCCF921A2}"/>
            </c:ext>
          </c:extLst>
        </c:ser>
        <c:dLbls>
          <c:showLegendKey val="0"/>
          <c:showVal val="0"/>
          <c:showCatName val="0"/>
          <c:showSerName val="0"/>
          <c:showPercent val="0"/>
          <c:showBubbleSize val="0"/>
        </c:dLbls>
        <c:marker val="1"/>
        <c:smooth val="0"/>
        <c:axId val="460450527"/>
        <c:axId val="460450047"/>
      </c:lineChart>
      <c:catAx>
        <c:axId val="460445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446207"/>
        <c:crosses val="autoZero"/>
        <c:auto val="1"/>
        <c:lblAlgn val="ctr"/>
        <c:lblOffset val="100"/>
        <c:noMultiLvlLbl val="0"/>
      </c:catAx>
      <c:valAx>
        <c:axId val="460446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445727"/>
        <c:crosses val="autoZero"/>
        <c:crossBetween val="between"/>
      </c:valAx>
      <c:valAx>
        <c:axId val="4604500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450527"/>
        <c:crosses val="max"/>
        <c:crossBetween val="between"/>
      </c:valAx>
      <c:catAx>
        <c:axId val="460450527"/>
        <c:scaling>
          <c:orientation val="minMax"/>
        </c:scaling>
        <c:delete val="1"/>
        <c:axPos val="b"/>
        <c:numFmt formatCode="General" sourceLinked="1"/>
        <c:majorTickMark val="none"/>
        <c:minorTickMark val="none"/>
        <c:tickLblPos val="nextTo"/>
        <c:crossAx val="460450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cnt in day time</a:t>
            </a:r>
            <a:endParaRPr lang="en-US"/>
          </a:p>
        </c:rich>
      </c:tx>
      <c:layout>
        <c:manualLayout>
          <c:xMode val="edge"/>
          <c:yMode val="edge"/>
          <c:x val="0.52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Afternoon</c:v>
              </c:pt>
              <c:pt idx="1">
                <c:v>Evening</c:v>
              </c:pt>
              <c:pt idx="2">
                <c:v>Morning</c:v>
              </c:pt>
              <c:pt idx="3">
                <c:v>Unknown</c:v>
              </c:pt>
            </c:strLit>
          </c:cat>
          <c:val>
            <c:numLit>
              <c:formatCode>General</c:formatCode>
              <c:ptCount val="4"/>
              <c:pt idx="0">
                <c:v>58.595469255663431</c:v>
              </c:pt>
              <c:pt idx="1">
                <c:v>33.202380952380949</c:v>
              </c:pt>
              <c:pt idx="2">
                <c:v>61.671617161716171</c:v>
              </c:pt>
              <c:pt idx="3">
                <c:v>36</c:v>
              </c:pt>
            </c:numLit>
          </c:val>
          <c:extLst>
            <c:ext xmlns:c16="http://schemas.microsoft.com/office/drawing/2014/chart" uri="{C3380CC4-5D6E-409C-BE32-E72D297353CC}">
              <c16:uniqueId val="{00000000-C5C6-402D-B4EE-0722A8B76220}"/>
            </c:ext>
          </c:extLst>
        </c:ser>
        <c:dLbls>
          <c:showLegendKey val="0"/>
          <c:showVal val="0"/>
          <c:showCatName val="0"/>
          <c:showSerName val="0"/>
          <c:showPercent val="0"/>
          <c:showBubbleSize val="0"/>
        </c:dLbls>
        <c:gapWidth val="182"/>
        <c:axId val="251202239"/>
        <c:axId val="251204159"/>
      </c:barChart>
      <c:catAx>
        <c:axId val="25120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204159"/>
        <c:crosses val="autoZero"/>
        <c:auto val="1"/>
        <c:lblAlgn val="ctr"/>
        <c:lblOffset val="100"/>
        <c:noMultiLvlLbl val="0"/>
      </c:catAx>
      <c:valAx>
        <c:axId val="25120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20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data).xlsx]Sheet4!PivotTable5</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Average of hum</c:v>
                </c:pt>
              </c:strCache>
            </c:strRef>
          </c:tx>
          <c:spPr>
            <a:solidFill>
              <a:schemeClr val="accent1"/>
            </a:solidFill>
            <a:ln>
              <a:noFill/>
            </a:ln>
            <a:effectLst/>
          </c:spPr>
          <c:invertIfNegative val="0"/>
          <c:cat>
            <c:strRef>
              <c:f>Sheet4!$A$4:$A$11</c:f>
              <c:strCache>
                <c:ptCount val="7"/>
                <c:pt idx="0">
                  <c:v>Sunday</c:v>
                </c:pt>
                <c:pt idx="1">
                  <c:v>Monday</c:v>
                </c:pt>
                <c:pt idx="2">
                  <c:v>Tuesday</c:v>
                </c:pt>
                <c:pt idx="3">
                  <c:v>Wednesday</c:v>
                </c:pt>
                <c:pt idx="4">
                  <c:v>Thursday</c:v>
                </c:pt>
                <c:pt idx="5">
                  <c:v>Friday</c:v>
                </c:pt>
                <c:pt idx="6">
                  <c:v>Saturday</c:v>
                </c:pt>
              </c:strCache>
            </c:strRef>
          </c:cat>
          <c:val>
            <c:numRef>
              <c:f>Sheet4!$B$4:$B$11</c:f>
              <c:numCache>
                <c:formatCode>0%</c:formatCode>
                <c:ptCount val="7"/>
                <c:pt idx="0">
                  <c:v>0.54176829268292603</c:v>
                </c:pt>
                <c:pt idx="1">
                  <c:v>0.54503355704697998</c:v>
                </c:pt>
                <c:pt idx="2">
                  <c:v>0.67086614173228387</c:v>
                </c:pt>
                <c:pt idx="3">
                  <c:v>0.64190839694656499</c:v>
                </c:pt>
                <c:pt idx="4">
                  <c:v>0.49407999999999985</c:v>
                </c:pt>
                <c:pt idx="5">
                  <c:v>0.56268115942028984</c:v>
                </c:pt>
                <c:pt idx="6">
                  <c:v>0.6248192771084341</c:v>
                </c:pt>
              </c:numCache>
            </c:numRef>
          </c:val>
          <c:extLst>
            <c:ext xmlns:c16="http://schemas.microsoft.com/office/drawing/2014/chart" uri="{C3380CC4-5D6E-409C-BE32-E72D297353CC}">
              <c16:uniqueId val="{00000000-48E7-49E7-B0D1-D960EE21112B}"/>
            </c:ext>
          </c:extLst>
        </c:ser>
        <c:ser>
          <c:idx val="1"/>
          <c:order val="1"/>
          <c:tx>
            <c:strRef>
              <c:f>Sheet4!$C$3</c:f>
              <c:strCache>
                <c:ptCount val="1"/>
                <c:pt idx="0">
                  <c:v>Average of windspeed</c:v>
                </c:pt>
              </c:strCache>
            </c:strRef>
          </c:tx>
          <c:spPr>
            <a:solidFill>
              <a:schemeClr val="accent2"/>
            </a:solidFill>
            <a:ln>
              <a:noFill/>
            </a:ln>
            <a:effectLst/>
          </c:spPr>
          <c:invertIfNegative val="0"/>
          <c:cat>
            <c:strRef>
              <c:f>Sheet4!$A$4:$A$11</c:f>
              <c:strCache>
                <c:ptCount val="7"/>
                <c:pt idx="0">
                  <c:v>Sunday</c:v>
                </c:pt>
                <c:pt idx="1">
                  <c:v>Monday</c:v>
                </c:pt>
                <c:pt idx="2">
                  <c:v>Tuesday</c:v>
                </c:pt>
                <c:pt idx="3">
                  <c:v>Wednesday</c:v>
                </c:pt>
                <c:pt idx="4">
                  <c:v>Thursday</c:v>
                </c:pt>
                <c:pt idx="5">
                  <c:v>Friday</c:v>
                </c:pt>
                <c:pt idx="6">
                  <c:v>Saturday</c:v>
                </c:pt>
              </c:strCache>
            </c:strRef>
          </c:cat>
          <c:val>
            <c:numRef>
              <c:f>Sheet4!$C$4:$C$11</c:f>
              <c:numCache>
                <c:formatCode>General</c:formatCode>
                <c:ptCount val="7"/>
                <c:pt idx="0">
                  <c:v>0.21769817073170741</c:v>
                </c:pt>
                <c:pt idx="1">
                  <c:v>0.18191006711409402</c:v>
                </c:pt>
                <c:pt idx="2">
                  <c:v>0.16559842519685042</c:v>
                </c:pt>
                <c:pt idx="3">
                  <c:v>0.23801603053435114</c:v>
                </c:pt>
                <c:pt idx="4">
                  <c:v>0.21111360000000004</c:v>
                </c:pt>
                <c:pt idx="5">
                  <c:v>0.16980724637681169</c:v>
                </c:pt>
                <c:pt idx="6">
                  <c:v>0.18126807228915676</c:v>
                </c:pt>
              </c:numCache>
            </c:numRef>
          </c:val>
          <c:extLst>
            <c:ext xmlns:c16="http://schemas.microsoft.com/office/drawing/2014/chart" uri="{C3380CC4-5D6E-409C-BE32-E72D297353CC}">
              <c16:uniqueId val="{00000001-48E7-49E7-B0D1-D960EE21112B}"/>
            </c:ext>
          </c:extLst>
        </c:ser>
        <c:dLbls>
          <c:showLegendKey val="0"/>
          <c:showVal val="0"/>
          <c:showCatName val="0"/>
          <c:showSerName val="0"/>
          <c:showPercent val="0"/>
          <c:showBubbleSize val="0"/>
        </c:dLbls>
        <c:gapWidth val="150"/>
        <c:axId val="531721904"/>
        <c:axId val="531729104"/>
      </c:barChart>
      <c:lineChart>
        <c:grouping val="standard"/>
        <c:varyColors val="0"/>
        <c:ser>
          <c:idx val="2"/>
          <c:order val="2"/>
          <c:tx>
            <c:strRef>
              <c:f>Sheet4!$D$3</c:f>
              <c:strCache>
                <c:ptCount val="1"/>
                <c:pt idx="0">
                  <c:v>Sum of registered</c:v>
                </c:pt>
              </c:strCache>
            </c:strRef>
          </c:tx>
          <c:spPr>
            <a:ln w="28575" cap="rnd">
              <a:solidFill>
                <a:schemeClr val="accent3"/>
              </a:solidFill>
              <a:round/>
            </a:ln>
            <a:effectLst/>
          </c:spPr>
          <c:marker>
            <c:symbol val="none"/>
          </c:marker>
          <c:cat>
            <c:strRef>
              <c:f>Sheet4!$A$4:$A$11</c:f>
              <c:strCache>
                <c:ptCount val="7"/>
                <c:pt idx="0">
                  <c:v>Sunday</c:v>
                </c:pt>
                <c:pt idx="1">
                  <c:v>Monday</c:v>
                </c:pt>
                <c:pt idx="2">
                  <c:v>Tuesday</c:v>
                </c:pt>
                <c:pt idx="3">
                  <c:v>Wednesday</c:v>
                </c:pt>
                <c:pt idx="4">
                  <c:v>Thursday</c:v>
                </c:pt>
                <c:pt idx="5">
                  <c:v>Friday</c:v>
                </c:pt>
                <c:pt idx="6">
                  <c:v>Saturday</c:v>
                </c:pt>
              </c:strCache>
            </c:strRef>
          </c:cat>
          <c:val>
            <c:numRef>
              <c:f>Sheet4!$D$4:$D$11</c:f>
              <c:numCache>
                <c:formatCode>General</c:formatCode>
                <c:ptCount val="7"/>
                <c:pt idx="0">
                  <c:v>6644</c:v>
                </c:pt>
                <c:pt idx="1">
                  <c:v>7916</c:v>
                </c:pt>
                <c:pt idx="2">
                  <c:v>7926</c:v>
                </c:pt>
                <c:pt idx="3">
                  <c:v>7705</c:v>
                </c:pt>
                <c:pt idx="4">
                  <c:v>8126</c:v>
                </c:pt>
                <c:pt idx="5">
                  <c:v>8543</c:v>
                </c:pt>
                <c:pt idx="6">
                  <c:v>6523</c:v>
                </c:pt>
              </c:numCache>
            </c:numRef>
          </c:val>
          <c:smooth val="0"/>
          <c:extLst>
            <c:ext xmlns:c16="http://schemas.microsoft.com/office/drawing/2014/chart" uri="{C3380CC4-5D6E-409C-BE32-E72D297353CC}">
              <c16:uniqueId val="{00000002-48E7-49E7-B0D1-D960EE21112B}"/>
            </c:ext>
          </c:extLst>
        </c:ser>
        <c:dLbls>
          <c:showLegendKey val="0"/>
          <c:showVal val="0"/>
          <c:showCatName val="0"/>
          <c:showSerName val="0"/>
          <c:showPercent val="0"/>
          <c:showBubbleSize val="0"/>
        </c:dLbls>
        <c:marker val="1"/>
        <c:smooth val="0"/>
        <c:axId val="531723344"/>
        <c:axId val="531726704"/>
      </c:lineChart>
      <c:catAx>
        <c:axId val="53172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29104"/>
        <c:crosses val="autoZero"/>
        <c:auto val="1"/>
        <c:lblAlgn val="ctr"/>
        <c:lblOffset val="100"/>
        <c:noMultiLvlLbl val="0"/>
      </c:catAx>
      <c:valAx>
        <c:axId val="531729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21904"/>
        <c:crosses val="autoZero"/>
        <c:crossBetween val="between"/>
      </c:valAx>
      <c:valAx>
        <c:axId val="5317267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23344"/>
        <c:crosses val="max"/>
        <c:crossBetween val="between"/>
      </c:valAx>
      <c:catAx>
        <c:axId val="531723344"/>
        <c:scaling>
          <c:orientation val="minMax"/>
        </c:scaling>
        <c:delete val="1"/>
        <c:axPos val="b"/>
        <c:numFmt formatCode="General" sourceLinked="1"/>
        <c:majorTickMark val="none"/>
        <c:minorTickMark val="none"/>
        <c:tickLblPos val="nextTo"/>
        <c:crossAx val="5317267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data).xlsx]Sheet4!PivotTable7</c:name>
    <c:fmtId val="3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Sheet4!$B$15</c:f>
              <c:strCache>
                <c:ptCount val="1"/>
                <c:pt idx="0">
                  <c:v>Average of hum</c:v>
                </c:pt>
              </c:strCache>
            </c:strRef>
          </c:tx>
          <c:spPr>
            <a:solidFill>
              <a:schemeClr val="accent6"/>
            </a:solidFill>
            <a:ln>
              <a:noFill/>
            </a:ln>
            <a:effectLst/>
          </c:spPr>
          <c:invertIfNegative val="0"/>
          <c:cat>
            <c:multiLvlStrRef>
              <c:f>Sheet4!$A$16:$A$63</c:f>
              <c:multiLvlStrCache>
                <c:ptCount val="45"/>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lvl>
                <c:lvl>
                  <c:pt idx="0">
                    <c:v>Jan</c:v>
                  </c:pt>
                  <c:pt idx="31">
                    <c:v>Feb</c:v>
                  </c:pt>
                </c:lvl>
              </c:multiLvlStrCache>
            </c:multiLvlStrRef>
          </c:cat>
          <c:val>
            <c:numRef>
              <c:f>Sheet4!$B$16:$B$63</c:f>
              <c:numCache>
                <c:formatCode>0%</c:formatCode>
                <c:ptCount val="45"/>
                <c:pt idx="0">
                  <c:v>0.80583333333333351</c:v>
                </c:pt>
                <c:pt idx="1">
                  <c:v>0.69608695652173924</c:v>
                </c:pt>
                <c:pt idx="2">
                  <c:v>0.43727272727272726</c:v>
                </c:pt>
                <c:pt idx="3">
                  <c:v>0.59043478260869575</c:v>
                </c:pt>
                <c:pt idx="4">
                  <c:v>0.43695652173913052</c:v>
                </c:pt>
                <c:pt idx="5">
                  <c:v>0.51826086956521744</c:v>
                </c:pt>
                <c:pt idx="6">
                  <c:v>0.4986956521739131</c:v>
                </c:pt>
                <c:pt idx="7">
                  <c:v>0.53583333333333327</c:v>
                </c:pt>
                <c:pt idx="8">
                  <c:v>0.43416666666666681</c:v>
                </c:pt>
                <c:pt idx="9">
                  <c:v>0.48291666666666672</c:v>
                </c:pt>
                <c:pt idx="10">
                  <c:v>0.68636363636363618</c:v>
                </c:pt>
                <c:pt idx="11">
                  <c:v>0.59954545454545471</c:v>
                </c:pt>
                <c:pt idx="12">
                  <c:v>0.47041666666666687</c:v>
                </c:pt>
                <c:pt idx="13">
                  <c:v>0.53782608695652179</c:v>
                </c:pt>
                <c:pt idx="14">
                  <c:v>0.49874999999999997</c:v>
                </c:pt>
                <c:pt idx="15">
                  <c:v>0.48375000000000012</c:v>
                </c:pt>
                <c:pt idx="16">
                  <c:v>0.53749999999999998</c:v>
                </c:pt>
                <c:pt idx="17">
                  <c:v>0.86166666666666669</c:v>
                </c:pt>
                <c:pt idx="18">
                  <c:v>0.74173913043478235</c:v>
                </c:pt>
                <c:pt idx="19">
                  <c:v>0.53833333333333344</c:v>
                </c:pt>
                <c:pt idx="20">
                  <c:v>0.45708333333333345</c:v>
                </c:pt>
                <c:pt idx="21">
                  <c:v>0.39999999999999997</c:v>
                </c:pt>
                <c:pt idx="22">
                  <c:v>0.43652173913043485</c:v>
                </c:pt>
                <c:pt idx="23">
                  <c:v>0.49173913043478273</c:v>
                </c:pt>
                <c:pt idx="24">
                  <c:v>0.61695652173913051</c:v>
                </c:pt>
                <c:pt idx="25">
                  <c:v>0.86249999999999982</c:v>
                </c:pt>
                <c:pt idx="26">
                  <c:v>0.6875</c:v>
                </c:pt>
                <c:pt idx="27">
                  <c:v>0.79304347826086963</c:v>
                </c:pt>
                <c:pt idx="28">
                  <c:v>0.65173913043478249</c:v>
                </c:pt>
                <c:pt idx="29">
                  <c:v>0.72217391304347822</c:v>
                </c:pt>
                <c:pt idx="30">
                  <c:v>0.60375000000000001</c:v>
                </c:pt>
                <c:pt idx="31">
                  <c:v>0.8295652173913044</c:v>
                </c:pt>
                <c:pt idx="32">
                  <c:v>0.77541666666666664</c:v>
                </c:pt>
                <c:pt idx="33">
                  <c:v>0.43782608695652192</c:v>
                </c:pt>
                <c:pt idx="34">
                  <c:v>0.5852173913043478</c:v>
                </c:pt>
                <c:pt idx="35">
                  <c:v>0.9291666666666667</c:v>
                </c:pt>
                <c:pt idx="36">
                  <c:v>0.56833333333333347</c:v>
                </c:pt>
                <c:pt idx="37">
                  <c:v>0.73833333333333317</c:v>
                </c:pt>
                <c:pt idx="38">
                  <c:v>0.53791666666666671</c:v>
                </c:pt>
                <c:pt idx="39">
                  <c:v>0.49478260869565222</c:v>
                </c:pt>
                <c:pt idx="40">
                  <c:v>0.43739130434782603</c:v>
                </c:pt>
                <c:pt idx="41">
                  <c:v>0.50636363636363635</c:v>
                </c:pt>
                <c:pt idx="42">
                  <c:v>0.54416666666666669</c:v>
                </c:pt>
                <c:pt idx="43">
                  <c:v>0.45739130434782593</c:v>
                </c:pt>
                <c:pt idx="44">
                  <c:v>0.44750000000000001</c:v>
                </c:pt>
              </c:numCache>
            </c:numRef>
          </c:val>
          <c:extLst>
            <c:ext xmlns:c16="http://schemas.microsoft.com/office/drawing/2014/chart" uri="{C3380CC4-5D6E-409C-BE32-E72D297353CC}">
              <c16:uniqueId val="{00000000-0AC3-41FE-A1B8-C8D463AF13EC}"/>
            </c:ext>
          </c:extLst>
        </c:ser>
        <c:dLbls>
          <c:showLegendKey val="0"/>
          <c:showVal val="0"/>
          <c:showCatName val="0"/>
          <c:showSerName val="0"/>
          <c:showPercent val="0"/>
          <c:showBubbleSize val="0"/>
        </c:dLbls>
        <c:gapWidth val="150"/>
        <c:axId val="531681104"/>
        <c:axId val="531681584"/>
      </c:barChart>
      <c:lineChart>
        <c:grouping val="standard"/>
        <c:varyColors val="0"/>
        <c:ser>
          <c:idx val="1"/>
          <c:order val="1"/>
          <c:tx>
            <c:strRef>
              <c:f>Sheet4!$C$15</c:f>
              <c:strCache>
                <c:ptCount val="1"/>
                <c:pt idx="0">
                  <c:v>Average of temp</c:v>
                </c:pt>
              </c:strCache>
            </c:strRef>
          </c:tx>
          <c:spPr>
            <a:ln w="28575" cap="rnd">
              <a:solidFill>
                <a:schemeClr val="accent5"/>
              </a:solidFill>
              <a:round/>
            </a:ln>
            <a:effectLst/>
          </c:spPr>
          <c:marker>
            <c:symbol val="none"/>
          </c:marker>
          <c:cat>
            <c:multiLvlStrRef>
              <c:f>Sheet4!$A$16:$A$63</c:f>
              <c:multiLvlStrCache>
                <c:ptCount val="45"/>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lvl>
                <c:lvl>
                  <c:pt idx="0">
                    <c:v>Jan</c:v>
                  </c:pt>
                  <c:pt idx="31">
                    <c:v>Feb</c:v>
                  </c:pt>
                </c:lvl>
              </c:multiLvlStrCache>
            </c:multiLvlStrRef>
          </c:cat>
          <c:val>
            <c:numRef>
              <c:f>Sheet4!$C$16:$C$63</c:f>
              <c:numCache>
                <c:formatCode>General</c:formatCode>
                <c:ptCount val="45"/>
                <c:pt idx="0">
                  <c:v>0.34416666666666673</c:v>
                </c:pt>
                <c:pt idx="1">
                  <c:v>0.36347826086956525</c:v>
                </c:pt>
                <c:pt idx="2">
                  <c:v>0.19636363636363632</c:v>
                </c:pt>
                <c:pt idx="3">
                  <c:v>0.19999999999999998</c:v>
                </c:pt>
                <c:pt idx="4">
                  <c:v>0.22695652173913042</c:v>
                </c:pt>
                <c:pt idx="5">
                  <c:v>0.20434782608695654</c:v>
                </c:pt>
                <c:pt idx="6">
                  <c:v>0.19652173913043483</c:v>
                </c:pt>
                <c:pt idx="7">
                  <c:v>0.16500000000000006</c:v>
                </c:pt>
                <c:pt idx="8">
                  <c:v>0.13833333333333339</c:v>
                </c:pt>
                <c:pt idx="9">
                  <c:v>0.1508333333333334</c:v>
                </c:pt>
                <c:pt idx="10">
                  <c:v>0.16909090909090915</c:v>
                </c:pt>
                <c:pt idx="11">
                  <c:v>0.17272727272727278</c:v>
                </c:pt>
                <c:pt idx="12">
                  <c:v>0.16500000000000006</c:v>
                </c:pt>
                <c:pt idx="13">
                  <c:v>0.16086956521739135</c:v>
                </c:pt>
                <c:pt idx="14">
                  <c:v>0.23333333333333331</c:v>
                </c:pt>
                <c:pt idx="15">
                  <c:v>0.23166666666666669</c:v>
                </c:pt>
                <c:pt idx="16">
                  <c:v>0.1758333333333334</c:v>
                </c:pt>
                <c:pt idx="17">
                  <c:v>0.2166666666666667</c:v>
                </c:pt>
                <c:pt idx="18">
                  <c:v>0.29217391304347828</c:v>
                </c:pt>
                <c:pt idx="19">
                  <c:v>0.26166666666666666</c:v>
                </c:pt>
                <c:pt idx="20">
                  <c:v>0.17750000000000002</c:v>
                </c:pt>
                <c:pt idx="21">
                  <c:v>5.9130434782608703E-2</c:v>
                </c:pt>
                <c:pt idx="22">
                  <c:v>9.6521739130434797E-2</c:v>
                </c:pt>
                <c:pt idx="23">
                  <c:v>9.7391304347826113E-2</c:v>
                </c:pt>
                <c:pt idx="24">
                  <c:v>0.22347826086956515</c:v>
                </c:pt>
                <c:pt idx="25">
                  <c:v>0.21750000000000005</c:v>
                </c:pt>
                <c:pt idx="26">
                  <c:v>0.19499999999999998</c:v>
                </c:pt>
                <c:pt idx="27">
                  <c:v>0.20347826086956528</c:v>
                </c:pt>
                <c:pt idx="28">
                  <c:v>0.1965217391304348</c:v>
                </c:pt>
                <c:pt idx="29">
                  <c:v>0.21652173913043476</c:v>
                </c:pt>
                <c:pt idx="30">
                  <c:v>0.18083333333333337</c:v>
                </c:pt>
                <c:pt idx="31">
                  <c:v>0.19217391304347831</c:v>
                </c:pt>
                <c:pt idx="32">
                  <c:v>0.26</c:v>
                </c:pt>
                <c:pt idx="33">
                  <c:v>0.18695652173913049</c:v>
                </c:pt>
                <c:pt idx="34">
                  <c:v>0.21130434782608701</c:v>
                </c:pt>
                <c:pt idx="35">
                  <c:v>0.23333333333333336</c:v>
                </c:pt>
                <c:pt idx="36">
                  <c:v>0.28583333333333333</c:v>
                </c:pt>
                <c:pt idx="37">
                  <c:v>0.27166666666666667</c:v>
                </c:pt>
                <c:pt idx="38">
                  <c:v>0.22083333333333341</c:v>
                </c:pt>
                <c:pt idx="39">
                  <c:v>0.1347826086956522</c:v>
                </c:pt>
                <c:pt idx="40">
                  <c:v>0.14434782608695657</c:v>
                </c:pt>
                <c:pt idx="41">
                  <c:v>0.18909090909090909</c:v>
                </c:pt>
                <c:pt idx="42">
                  <c:v>0.22249999999999995</c:v>
                </c:pt>
                <c:pt idx="43">
                  <c:v>0.31652173913043485</c:v>
                </c:pt>
                <c:pt idx="44">
                  <c:v>0.34749999999999998</c:v>
                </c:pt>
              </c:numCache>
            </c:numRef>
          </c:val>
          <c:smooth val="0"/>
          <c:extLst>
            <c:ext xmlns:c16="http://schemas.microsoft.com/office/drawing/2014/chart" uri="{C3380CC4-5D6E-409C-BE32-E72D297353CC}">
              <c16:uniqueId val="{00000001-0AC3-41FE-A1B8-C8D463AF13EC}"/>
            </c:ext>
          </c:extLst>
        </c:ser>
        <c:dLbls>
          <c:showLegendKey val="0"/>
          <c:showVal val="0"/>
          <c:showCatName val="0"/>
          <c:showSerName val="0"/>
          <c:showPercent val="0"/>
          <c:showBubbleSize val="0"/>
        </c:dLbls>
        <c:marker val="1"/>
        <c:smooth val="0"/>
        <c:axId val="531682544"/>
        <c:axId val="531684944"/>
      </c:lineChart>
      <c:catAx>
        <c:axId val="53168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81584"/>
        <c:crosses val="autoZero"/>
        <c:auto val="1"/>
        <c:lblAlgn val="ctr"/>
        <c:lblOffset val="100"/>
        <c:noMultiLvlLbl val="0"/>
      </c:catAx>
      <c:valAx>
        <c:axId val="531681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81104"/>
        <c:crosses val="autoZero"/>
        <c:crossBetween val="between"/>
      </c:valAx>
      <c:valAx>
        <c:axId val="5316849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82544"/>
        <c:crosses val="max"/>
        <c:crossBetween val="between"/>
      </c:valAx>
      <c:catAx>
        <c:axId val="531682544"/>
        <c:scaling>
          <c:orientation val="minMax"/>
        </c:scaling>
        <c:delete val="1"/>
        <c:axPos val="b"/>
        <c:numFmt formatCode="General" sourceLinked="1"/>
        <c:majorTickMark val="none"/>
        <c:minorTickMark val="none"/>
        <c:tickLblPos val="nextTo"/>
        <c:crossAx val="531684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data).xlsx]Sheet1!PivotTable2</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Holiday effect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Sheet1!$A$4:$A$14</c:f>
              <c:multiLvlStrCache>
                <c:ptCount val="8"/>
                <c:lvl>
                  <c:pt idx="0">
                    <c:v>Sunday</c:v>
                  </c:pt>
                  <c:pt idx="1">
                    <c:v>Monday</c:v>
                  </c:pt>
                  <c:pt idx="2">
                    <c:v>Tuesday</c:v>
                  </c:pt>
                  <c:pt idx="3">
                    <c:v>Wednesday</c:v>
                  </c:pt>
                  <c:pt idx="4">
                    <c:v>Thursday</c:v>
                  </c:pt>
                  <c:pt idx="5">
                    <c:v>Friday</c:v>
                  </c:pt>
                  <c:pt idx="6">
                    <c:v>Saturday</c:v>
                  </c:pt>
                  <c:pt idx="7">
                    <c:v>Monday</c:v>
                  </c:pt>
                </c:lvl>
                <c:lvl>
                  <c:pt idx="0">
                    <c:v>NO</c:v>
                  </c:pt>
                  <c:pt idx="7">
                    <c:v>YES</c:v>
                  </c:pt>
                </c:lvl>
              </c:multiLvlStrCache>
            </c:multiLvlStrRef>
          </c:cat>
          <c:val>
            <c:numRef>
              <c:f>Sheet1!$B$4:$B$14</c:f>
              <c:numCache>
                <c:formatCode>General</c:formatCode>
                <c:ptCount val="8"/>
                <c:pt idx="0">
                  <c:v>8121</c:v>
                </c:pt>
                <c:pt idx="1">
                  <c:v>7450</c:v>
                </c:pt>
                <c:pt idx="2">
                  <c:v>8383</c:v>
                </c:pt>
                <c:pt idx="3">
                  <c:v>8049</c:v>
                </c:pt>
                <c:pt idx="4">
                  <c:v>8458</c:v>
                </c:pt>
                <c:pt idx="5">
                  <c:v>9095</c:v>
                </c:pt>
                <c:pt idx="6">
                  <c:v>7748</c:v>
                </c:pt>
                <c:pt idx="7">
                  <c:v>1000</c:v>
                </c:pt>
              </c:numCache>
            </c:numRef>
          </c:val>
          <c:smooth val="0"/>
          <c:extLst>
            <c:ext xmlns:c16="http://schemas.microsoft.com/office/drawing/2014/chart" uri="{C3380CC4-5D6E-409C-BE32-E72D297353CC}">
              <c16:uniqueId val="{00000000-59C1-46F7-99B4-823B10E4460A}"/>
            </c:ext>
          </c:extLst>
        </c:ser>
        <c:dLbls>
          <c:dLblPos val="ctr"/>
          <c:showLegendKey val="0"/>
          <c:showVal val="1"/>
          <c:showCatName val="0"/>
          <c:showSerName val="0"/>
          <c:showPercent val="0"/>
          <c:showBubbleSize val="0"/>
        </c:dLbls>
        <c:marker val="1"/>
        <c:smooth val="0"/>
        <c:axId val="1140537823"/>
        <c:axId val="1140550303"/>
      </c:lineChart>
      <c:catAx>
        <c:axId val="1140537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0550303"/>
        <c:crosses val="autoZero"/>
        <c:auto val="1"/>
        <c:lblAlgn val="ctr"/>
        <c:lblOffset val="100"/>
        <c:noMultiLvlLbl val="0"/>
      </c:catAx>
      <c:valAx>
        <c:axId val="1140550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405378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1(all data).xlsx]Sheet1!PivotTable3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multiLvlStrRef>
              <c:f>Sheet1!$B$20:$B$31</c:f>
              <c:multiLvlStrCache>
                <c:ptCount val="6"/>
                <c:lvl>
                  <c:pt idx="0">
                    <c:v>Afternoon</c:v>
                  </c:pt>
                  <c:pt idx="1">
                    <c:v>Evening</c:v>
                  </c:pt>
                  <c:pt idx="2">
                    <c:v>Morning</c:v>
                  </c:pt>
                  <c:pt idx="3">
                    <c:v>Afternoon</c:v>
                  </c:pt>
                  <c:pt idx="4">
                    <c:v>Evening</c:v>
                  </c:pt>
                  <c:pt idx="5">
                    <c:v>Morning</c:v>
                  </c:pt>
                </c:lvl>
                <c:lvl>
                  <c:pt idx="0">
                    <c:v>01-01-2011</c:v>
                  </c:pt>
                  <c:pt idx="3">
                    <c:v>02-01-2011</c:v>
                  </c:pt>
                </c:lvl>
                <c:lvl>
                  <c:pt idx="0">
                    <c:v>01-Jan</c:v>
                  </c:pt>
                  <c:pt idx="3">
                    <c:v>02-Jan</c:v>
                  </c:pt>
                </c:lvl>
                <c:lvl>
                  <c:pt idx="0">
                    <c:v>Jan</c:v>
                  </c:pt>
                </c:lvl>
              </c:multiLvlStrCache>
            </c:multiLvlStrRef>
          </c:cat>
          <c:val>
            <c:numRef>
              <c:f>Sheet1!$C$20:$C$31</c:f>
              <c:numCache>
                <c:formatCode>0</c:formatCode>
                <c:ptCount val="6"/>
                <c:pt idx="0">
                  <c:v>60.8</c:v>
                </c:pt>
                <c:pt idx="1">
                  <c:v>36</c:v>
                </c:pt>
                <c:pt idx="2">
                  <c:v>25.416666666666668</c:v>
                </c:pt>
                <c:pt idx="3">
                  <c:v>34.75</c:v>
                </c:pt>
                <c:pt idx="4">
                  <c:v>43.8</c:v>
                </c:pt>
                <c:pt idx="5">
                  <c:v>27.5</c:v>
                </c:pt>
              </c:numCache>
            </c:numRef>
          </c:val>
          <c:extLst>
            <c:ext xmlns:c16="http://schemas.microsoft.com/office/drawing/2014/chart" uri="{C3380CC4-5D6E-409C-BE32-E72D297353CC}">
              <c16:uniqueId val="{00000000-6257-4FFE-B133-6D6746D37E5B}"/>
            </c:ext>
          </c:extLst>
        </c:ser>
        <c:dLbls>
          <c:showLegendKey val="0"/>
          <c:showVal val="0"/>
          <c:showCatName val="0"/>
          <c:showSerName val="0"/>
          <c:showPercent val="0"/>
          <c:showBubbleSize val="0"/>
        </c:dLbls>
        <c:gapWidth val="219"/>
        <c:overlap val="-27"/>
        <c:axId val="1140574303"/>
        <c:axId val="1140577183"/>
      </c:barChart>
      <c:catAx>
        <c:axId val="1140574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77183"/>
        <c:crosses val="autoZero"/>
        <c:auto val="1"/>
        <c:lblAlgn val="ctr"/>
        <c:lblOffset val="100"/>
        <c:noMultiLvlLbl val="0"/>
      </c:catAx>
      <c:valAx>
        <c:axId val="1140577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'final data'!$M$1</c:f>
              <c:strCache>
                <c:ptCount val="1"/>
                <c:pt idx="0">
                  <c:v>registered</c:v>
                </c:pt>
              </c:strCache>
            </c:strRef>
          </c:tx>
          <c:spPr>
            <a:solidFill>
              <a:schemeClr val="accent1"/>
            </a:solidFill>
            <a:ln>
              <a:noFill/>
            </a:ln>
            <a:effectLst/>
          </c:spPr>
          <c:invertIfNegative val="0"/>
          <c:cat>
            <c:strRef>
              <c:f>'final data'!$H$2:$H$1002</c:f>
              <c:strCache>
                <c:ptCount val="1000"/>
                <c:pt idx="0">
                  <c:v>Clear Sky</c:v>
                </c:pt>
                <c:pt idx="1">
                  <c:v>Clear Sky</c:v>
                </c:pt>
                <c:pt idx="2">
                  <c:v>Clear Sky</c:v>
                </c:pt>
                <c:pt idx="3">
                  <c:v>Clear Sky</c:v>
                </c:pt>
                <c:pt idx="4">
                  <c:v>Clear Sky</c:v>
                </c:pt>
                <c:pt idx="5">
                  <c:v>Mist</c:v>
                </c:pt>
                <c:pt idx="6">
                  <c:v>Clear Sky</c:v>
                </c:pt>
                <c:pt idx="7">
                  <c:v>Clear Sky</c:v>
                </c:pt>
                <c:pt idx="8">
                  <c:v>Clear Sky</c:v>
                </c:pt>
                <c:pt idx="9">
                  <c:v>Clear Sky</c:v>
                </c:pt>
                <c:pt idx="10">
                  <c:v>Clear Sky</c:v>
                </c:pt>
                <c:pt idx="11">
                  <c:v>Clear Sky</c:v>
                </c:pt>
                <c:pt idx="12">
                  <c:v>Clear Sky</c:v>
                </c:pt>
                <c:pt idx="13">
                  <c:v>Mist</c:v>
                </c:pt>
                <c:pt idx="14">
                  <c:v>Mist</c:v>
                </c:pt>
                <c:pt idx="15">
                  <c:v>Mist</c:v>
                </c:pt>
                <c:pt idx="16">
                  <c:v>Mist</c:v>
                </c:pt>
                <c:pt idx="17">
                  <c:v>Mist</c:v>
                </c:pt>
                <c:pt idx="18">
                  <c:v>Dark Cloud</c:v>
                </c:pt>
                <c:pt idx="19">
                  <c:v>Dark Cloud</c:v>
                </c:pt>
                <c:pt idx="20">
                  <c:v>Mist</c:v>
                </c:pt>
                <c:pt idx="21">
                  <c:v>Mist</c:v>
                </c:pt>
                <c:pt idx="22">
                  <c:v>Mist</c:v>
                </c:pt>
                <c:pt idx="23">
                  <c:v>Mist</c:v>
                </c:pt>
                <c:pt idx="24">
                  <c:v>Mist</c:v>
                </c:pt>
                <c:pt idx="25">
                  <c:v>Mist</c:v>
                </c:pt>
                <c:pt idx="26">
                  <c:v>Mist</c:v>
                </c:pt>
                <c:pt idx="27">
                  <c:v>Mist</c:v>
                </c:pt>
                <c:pt idx="28">
                  <c:v>Mist</c:v>
                </c:pt>
                <c:pt idx="29">
                  <c:v>Dark Cloud</c:v>
                </c:pt>
                <c:pt idx="30">
                  <c:v>Mist</c:v>
                </c:pt>
                <c:pt idx="31">
                  <c:v>Dark Cloud</c:v>
                </c:pt>
                <c:pt idx="32">
                  <c:v>Mist</c:v>
                </c:pt>
                <c:pt idx="33">
                  <c:v>Mist</c:v>
                </c:pt>
                <c:pt idx="34">
                  <c:v>Mist</c:v>
                </c:pt>
                <c:pt idx="35">
                  <c:v>Mist</c:v>
                </c:pt>
                <c:pt idx="36">
                  <c:v>Mist</c:v>
                </c:pt>
                <c:pt idx="37">
                  <c:v>Dark Cloud</c:v>
                </c:pt>
                <c:pt idx="38">
                  <c:v>Dark Cloud</c:v>
                </c:pt>
                <c:pt idx="39">
                  <c:v>Dark Cloud</c:v>
                </c:pt>
                <c:pt idx="40">
                  <c:v>Clear Sky</c:v>
                </c:pt>
                <c:pt idx="41">
                  <c:v>Mist</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Mist</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Mist</c:v>
                </c:pt>
                <c:pt idx="119">
                  <c:v>Mist</c:v>
                </c:pt>
                <c:pt idx="120">
                  <c:v>Mist</c:v>
                </c:pt>
                <c:pt idx="121">
                  <c:v>Mist</c:v>
                </c:pt>
                <c:pt idx="122">
                  <c:v>Clear Sky</c:v>
                </c:pt>
                <c:pt idx="123">
                  <c:v>Mist</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Mist</c:v>
                </c:pt>
                <c:pt idx="136">
                  <c:v>Mist</c:v>
                </c:pt>
                <c:pt idx="137">
                  <c:v>Mist</c:v>
                </c:pt>
                <c:pt idx="138">
                  <c:v>Mist</c:v>
                </c:pt>
                <c:pt idx="139">
                  <c:v>Mist</c:v>
                </c:pt>
                <c:pt idx="140">
                  <c:v>Mist</c:v>
                </c:pt>
                <c:pt idx="141">
                  <c:v>Mist</c:v>
                </c:pt>
                <c:pt idx="142">
                  <c:v>Dark Cloud</c:v>
                </c:pt>
                <c:pt idx="143">
                  <c:v>Mist</c:v>
                </c:pt>
                <c:pt idx="144">
                  <c:v>Clear Sky</c:v>
                </c:pt>
                <c:pt idx="145">
                  <c:v>Clear Sky</c:v>
                </c:pt>
                <c:pt idx="146">
                  <c:v>Clear Sky</c:v>
                </c:pt>
                <c:pt idx="147">
                  <c:v>Clear Sky</c:v>
                </c:pt>
                <c:pt idx="148">
                  <c:v>Mist</c:v>
                </c:pt>
                <c:pt idx="149">
                  <c:v>Mist</c:v>
                </c:pt>
                <c:pt idx="150">
                  <c:v>Mist</c:v>
                </c:pt>
                <c:pt idx="151">
                  <c:v>Mist</c:v>
                </c:pt>
                <c:pt idx="152">
                  <c:v>Mist</c:v>
                </c:pt>
                <c:pt idx="153">
                  <c:v>Mist</c:v>
                </c:pt>
                <c:pt idx="154">
                  <c:v>Mist</c:v>
                </c:pt>
                <c:pt idx="155">
                  <c:v>Clear Sky</c:v>
                </c:pt>
                <c:pt idx="156">
                  <c:v>Clear Sky</c:v>
                </c:pt>
                <c:pt idx="157">
                  <c:v>Clear Sky</c:v>
                </c:pt>
                <c:pt idx="158">
                  <c:v>Clear Sky</c:v>
                </c:pt>
                <c:pt idx="159">
                  <c:v>Mist</c:v>
                </c:pt>
                <c:pt idx="160">
                  <c:v>Mist</c:v>
                </c:pt>
                <c:pt idx="161">
                  <c:v>Mist</c:v>
                </c:pt>
                <c:pt idx="162">
                  <c:v>Mist</c:v>
                </c:pt>
                <c:pt idx="163">
                  <c:v>Mist</c:v>
                </c:pt>
                <c:pt idx="164">
                  <c:v>Dark Cloud</c:v>
                </c:pt>
                <c:pt idx="165">
                  <c:v>Dark Cloud</c:v>
                </c:pt>
                <c:pt idx="166">
                  <c:v>Mist</c:v>
                </c:pt>
                <c:pt idx="167">
                  <c:v>Mist</c:v>
                </c:pt>
                <c:pt idx="168">
                  <c:v>Mist</c:v>
                </c:pt>
                <c:pt idx="169">
                  <c:v>Dark Cloud</c:v>
                </c:pt>
                <c:pt idx="170">
                  <c:v>Dark Cloud</c:v>
                </c:pt>
                <c:pt idx="171">
                  <c:v>Mist</c:v>
                </c:pt>
                <c:pt idx="172">
                  <c:v>Mist</c:v>
                </c:pt>
                <c:pt idx="173">
                  <c:v>Mist</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Mist</c:v>
                </c:pt>
                <c:pt idx="218">
                  <c:v>Mist</c:v>
                </c:pt>
                <c:pt idx="219">
                  <c:v>Mist</c:v>
                </c:pt>
                <c:pt idx="220">
                  <c:v>Mist</c:v>
                </c:pt>
                <c:pt idx="221">
                  <c:v>Mist</c:v>
                </c:pt>
                <c:pt idx="222">
                  <c:v>Mist</c:v>
                </c:pt>
                <c:pt idx="223">
                  <c:v>Mist</c:v>
                </c:pt>
                <c:pt idx="224">
                  <c:v>Mist</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Mist</c:v>
                </c:pt>
                <c:pt idx="236">
                  <c:v>Mist</c:v>
                </c:pt>
                <c:pt idx="237">
                  <c:v>Mist</c:v>
                </c:pt>
                <c:pt idx="238">
                  <c:v>Mist</c:v>
                </c:pt>
                <c:pt idx="239">
                  <c:v>Mist</c:v>
                </c:pt>
                <c:pt idx="240">
                  <c:v>Mist</c:v>
                </c:pt>
                <c:pt idx="241">
                  <c:v>Mist</c:v>
                </c:pt>
                <c:pt idx="242">
                  <c:v>Mist</c:v>
                </c:pt>
                <c:pt idx="243">
                  <c:v>Mist</c:v>
                </c:pt>
                <c:pt idx="244">
                  <c:v>Mist</c:v>
                </c:pt>
                <c:pt idx="245">
                  <c:v>Mist</c:v>
                </c:pt>
                <c:pt idx="246">
                  <c:v>Mist</c:v>
                </c:pt>
                <c:pt idx="247">
                  <c:v>Mist</c:v>
                </c:pt>
                <c:pt idx="248">
                  <c:v>Mist</c:v>
                </c:pt>
                <c:pt idx="249">
                  <c:v>Dark Cloud</c:v>
                </c:pt>
                <c:pt idx="250">
                  <c:v>Dark Cloud</c:v>
                </c:pt>
                <c:pt idx="251">
                  <c:v>Dark Cloud</c:v>
                </c:pt>
                <c:pt idx="252">
                  <c:v>Dark Cloud</c:v>
                </c:pt>
                <c:pt idx="253">
                  <c:v>Dark Cloud</c:v>
                </c:pt>
                <c:pt idx="254">
                  <c:v>Dark Cloud</c:v>
                </c:pt>
                <c:pt idx="255">
                  <c:v>Mist</c:v>
                </c:pt>
                <c:pt idx="256">
                  <c:v>Mist</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Mist</c:v>
                </c:pt>
                <c:pt idx="288">
                  <c:v>Mist</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Mist</c:v>
                </c:pt>
                <c:pt idx="323">
                  <c:v>Mist</c:v>
                </c:pt>
                <c:pt idx="324">
                  <c:v>Clear Sky</c:v>
                </c:pt>
                <c:pt idx="325">
                  <c:v>Mist</c:v>
                </c:pt>
                <c:pt idx="326">
                  <c:v>Mist</c:v>
                </c:pt>
                <c:pt idx="327">
                  <c:v>Mist</c:v>
                </c:pt>
                <c:pt idx="328">
                  <c:v>Mist</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Mist</c:v>
                </c:pt>
                <c:pt idx="340">
                  <c:v>Mist</c:v>
                </c:pt>
                <c:pt idx="341">
                  <c:v>Mist</c:v>
                </c:pt>
                <c:pt idx="342">
                  <c:v>Mist</c:v>
                </c:pt>
                <c:pt idx="343">
                  <c:v>Mist</c:v>
                </c:pt>
                <c:pt idx="344">
                  <c:v>Mist</c:v>
                </c:pt>
                <c:pt idx="345">
                  <c:v>Mist</c:v>
                </c:pt>
                <c:pt idx="346">
                  <c:v>Mist</c:v>
                </c:pt>
                <c:pt idx="347">
                  <c:v>Clear Sky</c:v>
                </c:pt>
                <c:pt idx="348">
                  <c:v>Clear Sky</c:v>
                </c:pt>
                <c:pt idx="349">
                  <c:v>Clear Sky</c:v>
                </c:pt>
                <c:pt idx="350">
                  <c:v>Clear Sky</c:v>
                </c:pt>
                <c:pt idx="351">
                  <c:v>Clear Sky</c:v>
                </c:pt>
                <c:pt idx="352">
                  <c:v>Clear Sky</c:v>
                </c:pt>
                <c:pt idx="353">
                  <c:v>Mist</c:v>
                </c:pt>
                <c:pt idx="354">
                  <c:v>Mist</c:v>
                </c:pt>
                <c:pt idx="355">
                  <c:v>Mist</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Mist</c:v>
                </c:pt>
                <c:pt idx="371">
                  <c:v>Mist</c:v>
                </c:pt>
                <c:pt idx="372">
                  <c:v>Mist</c:v>
                </c:pt>
                <c:pt idx="373">
                  <c:v>Mist</c:v>
                </c:pt>
                <c:pt idx="374">
                  <c:v>Mist</c:v>
                </c:pt>
                <c:pt idx="375">
                  <c:v>Mist</c:v>
                </c:pt>
                <c:pt idx="376">
                  <c:v>Mist</c:v>
                </c:pt>
                <c:pt idx="377">
                  <c:v>Mist</c:v>
                </c:pt>
                <c:pt idx="378">
                  <c:v>Mist</c:v>
                </c:pt>
                <c:pt idx="379">
                  <c:v>Mist</c:v>
                </c:pt>
                <c:pt idx="380">
                  <c:v>Mist</c:v>
                </c:pt>
                <c:pt idx="381">
                  <c:v>Mist</c:v>
                </c:pt>
                <c:pt idx="382">
                  <c:v>Mist</c:v>
                </c:pt>
                <c:pt idx="383">
                  <c:v>Mist</c:v>
                </c:pt>
                <c:pt idx="384">
                  <c:v>Mist</c:v>
                </c:pt>
                <c:pt idx="385">
                  <c:v>Mist</c:v>
                </c:pt>
                <c:pt idx="386">
                  <c:v>Mist</c:v>
                </c:pt>
                <c:pt idx="387">
                  <c:v>Mist</c:v>
                </c:pt>
                <c:pt idx="388">
                  <c:v>Mist</c:v>
                </c:pt>
                <c:pt idx="389">
                  <c:v>Clear Sky</c:v>
                </c:pt>
                <c:pt idx="390">
                  <c:v>Mist</c:v>
                </c:pt>
                <c:pt idx="391">
                  <c:v>Dark Cloud</c:v>
                </c:pt>
                <c:pt idx="392">
                  <c:v>Dark Cloud</c:v>
                </c:pt>
                <c:pt idx="393">
                  <c:v>Dark Cloud</c:v>
                </c:pt>
                <c:pt idx="394">
                  <c:v>Dark Cloud</c:v>
                </c:pt>
                <c:pt idx="395">
                  <c:v>Dark Cloud</c:v>
                </c:pt>
                <c:pt idx="396">
                  <c:v>Mist</c:v>
                </c:pt>
                <c:pt idx="397">
                  <c:v>Mist</c:v>
                </c:pt>
                <c:pt idx="398">
                  <c:v>Mist</c:v>
                </c:pt>
                <c:pt idx="399">
                  <c:v>Mist</c:v>
                </c:pt>
                <c:pt idx="400">
                  <c:v>Mist</c:v>
                </c:pt>
                <c:pt idx="401">
                  <c:v>Mist</c:v>
                </c:pt>
                <c:pt idx="402">
                  <c:v>Mist</c:v>
                </c:pt>
                <c:pt idx="403">
                  <c:v>Mist</c:v>
                </c:pt>
                <c:pt idx="404">
                  <c:v>Mist</c:v>
                </c:pt>
                <c:pt idx="405">
                  <c:v>Mist</c:v>
                </c:pt>
                <c:pt idx="406">
                  <c:v>Mist</c:v>
                </c:pt>
                <c:pt idx="407">
                  <c:v>Mist</c:v>
                </c:pt>
                <c:pt idx="408">
                  <c:v>Mist</c:v>
                </c:pt>
                <c:pt idx="409">
                  <c:v>Dark Cloud</c:v>
                </c:pt>
                <c:pt idx="410">
                  <c:v>Dark Cloud</c:v>
                </c:pt>
                <c:pt idx="411">
                  <c:v>Dark Cloud</c:v>
                </c:pt>
                <c:pt idx="412">
                  <c:v>Mist</c:v>
                </c:pt>
                <c:pt idx="413">
                  <c:v>Mist</c:v>
                </c:pt>
                <c:pt idx="414">
                  <c:v>Mist</c:v>
                </c:pt>
                <c:pt idx="415">
                  <c:v>Mist</c:v>
                </c:pt>
                <c:pt idx="416">
                  <c:v>Mist</c:v>
                </c:pt>
                <c:pt idx="417">
                  <c:v>Mist</c:v>
                </c:pt>
                <c:pt idx="418">
                  <c:v>Mist</c:v>
                </c:pt>
                <c:pt idx="419">
                  <c:v>Mist</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Mist</c:v>
                </c:pt>
                <c:pt idx="441">
                  <c:v>Clear Sky</c:v>
                </c:pt>
                <c:pt idx="442">
                  <c:v>Mist</c:v>
                </c:pt>
                <c:pt idx="443">
                  <c:v>Mist</c:v>
                </c:pt>
                <c:pt idx="444">
                  <c:v>Mist</c:v>
                </c:pt>
                <c:pt idx="445">
                  <c:v>Mist</c:v>
                </c:pt>
                <c:pt idx="446">
                  <c:v>Mist</c:v>
                </c:pt>
                <c:pt idx="447">
                  <c:v>Mist</c:v>
                </c:pt>
                <c:pt idx="448">
                  <c:v>Mist</c:v>
                </c:pt>
                <c:pt idx="449">
                  <c:v>Mist</c:v>
                </c:pt>
                <c:pt idx="450">
                  <c:v>Clear Sky</c:v>
                </c:pt>
                <c:pt idx="451">
                  <c:v>Mist</c:v>
                </c:pt>
                <c:pt idx="452">
                  <c:v>Mist</c:v>
                </c:pt>
                <c:pt idx="453">
                  <c:v>Mist</c:v>
                </c:pt>
                <c:pt idx="454">
                  <c:v>Mist</c:v>
                </c:pt>
                <c:pt idx="455">
                  <c:v>Mist</c:v>
                </c:pt>
                <c:pt idx="456">
                  <c:v>Mist</c:v>
                </c:pt>
                <c:pt idx="457">
                  <c:v>Dark Cloud</c:v>
                </c:pt>
                <c:pt idx="458">
                  <c:v>Dark Cloud</c:v>
                </c:pt>
                <c:pt idx="459">
                  <c:v>Mist</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Mist</c:v>
                </c:pt>
                <c:pt idx="481">
                  <c:v>Mist</c:v>
                </c:pt>
                <c:pt idx="482">
                  <c:v>Mist</c:v>
                </c:pt>
                <c:pt idx="483">
                  <c:v>Mist</c:v>
                </c:pt>
                <c:pt idx="484">
                  <c:v>Mist</c:v>
                </c:pt>
                <c:pt idx="485">
                  <c:v>Clear Sky</c:v>
                </c:pt>
                <c:pt idx="486">
                  <c:v>Clear Sky</c:v>
                </c:pt>
                <c:pt idx="487">
                  <c:v>Clear Sky</c:v>
                </c:pt>
                <c:pt idx="488">
                  <c:v>Mist</c:v>
                </c:pt>
                <c:pt idx="489">
                  <c:v>Mist</c:v>
                </c:pt>
                <c:pt idx="490">
                  <c:v>Mist</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Mist</c:v>
                </c:pt>
                <c:pt idx="507">
                  <c:v>Mist</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Mist</c:v>
                </c:pt>
                <c:pt idx="537">
                  <c:v>Mist</c:v>
                </c:pt>
                <c:pt idx="538">
                  <c:v>Mist</c:v>
                </c:pt>
                <c:pt idx="539">
                  <c:v>Clear Sky</c:v>
                </c:pt>
                <c:pt idx="540">
                  <c:v>Clear Sky</c:v>
                </c:pt>
                <c:pt idx="541">
                  <c:v>Clear Sky</c:v>
                </c:pt>
                <c:pt idx="542">
                  <c:v>Clear Sky</c:v>
                </c:pt>
                <c:pt idx="543">
                  <c:v>Clear Sky</c:v>
                </c:pt>
                <c:pt idx="544">
                  <c:v>Clear Sky</c:v>
                </c:pt>
                <c:pt idx="545">
                  <c:v>Clear Sky</c:v>
                </c:pt>
                <c:pt idx="546">
                  <c:v>Mist</c:v>
                </c:pt>
                <c:pt idx="547">
                  <c:v>Mist</c:v>
                </c:pt>
                <c:pt idx="548">
                  <c:v>Mist</c:v>
                </c:pt>
                <c:pt idx="549">
                  <c:v>Mist</c:v>
                </c:pt>
                <c:pt idx="550">
                  <c:v>Clear Sky</c:v>
                </c:pt>
                <c:pt idx="551">
                  <c:v>Clear Sky</c:v>
                </c:pt>
                <c:pt idx="552">
                  <c:v>Clear Sky</c:v>
                </c:pt>
                <c:pt idx="553">
                  <c:v>Clear Sky</c:v>
                </c:pt>
                <c:pt idx="554">
                  <c:v>Clear Sky</c:v>
                </c:pt>
                <c:pt idx="555">
                  <c:v>Mist</c:v>
                </c:pt>
                <c:pt idx="556">
                  <c:v>Mist</c:v>
                </c:pt>
                <c:pt idx="557">
                  <c:v>Mist</c:v>
                </c:pt>
                <c:pt idx="558">
                  <c:v>Mist</c:v>
                </c:pt>
                <c:pt idx="559">
                  <c:v>Mist</c:v>
                </c:pt>
                <c:pt idx="560">
                  <c:v>Mist</c:v>
                </c:pt>
                <c:pt idx="561">
                  <c:v>Mist</c:v>
                </c:pt>
                <c:pt idx="562">
                  <c:v>Mist</c:v>
                </c:pt>
                <c:pt idx="563">
                  <c:v>Mist</c:v>
                </c:pt>
                <c:pt idx="564">
                  <c:v>Clear Sky</c:v>
                </c:pt>
                <c:pt idx="565">
                  <c:v>Mist</c:v>
                </c:pt>
                <c:pt idx="566">
                  <c:v>Mist</c:v>
                </c:pt>
                <c:pt idx="567">
                  <c:v>Clear Sky</c:v>
                </c:pt>
                <c:pt idx="568">
                  <c:v>Clear Sky</c:v>
                </c:pt>
                <c:pt idx="569">
                  <c:v>Clear Sky</c:v>
                </c:pt>
                <c:pt idx="570">
                  <c:v>Mist</c:v>
                </c:pt>
                <c:pt idx="571">
                  <c:v>Mist</c:v>
                </c:pt>
                <c:pt idx="572">
                  <c:v>Mist</c:v>
                </c:pt>
                <c:pt idx="573">
                  <c:v>Dark Cloud</c:v>
                </c:pt>
                <c:pt idx="574">
                  <c:v>Dark Cloud</c:v>
                </c:pt>
                <c:pt idx="575">
                  <c:v>Dark Cloud</c:v>
                </c:pt>
                <c:pt idx="576">
                  <c:v>Dark Cloud</c:v>
                </c:pt>
                <c:pt idx="577">
                  <c:v>Dark Cloud</c:v>
                </c:pt>
                <c:pt idx="578">
                  <c:v>Dark Cloud</c:v>
                </c:pt>
                <c:pt idx="579">
                  <c:v>Dark Cloud</c:v>
                </c:pt>
                <c:pt idx="580">
                  <c:v>Dark Cloud</c:v>
                </c:pt>
                <c:pt idx="581">
                  <c:v>Dark Cloud</c:v>
                </c:pt>
                <c:pt idx="582">
                  <c:v>Dark Cloud</c:v>
                </c:pt>
                <c:pt idx="583">
                  <c:v>Dark Cloud</c:v>
                </c:pt>
                <c:pt idx="584">
                  <c:v>Dark Cloud</c:v>
                </c:pt>
                <c:pt idx="585">
                  <c:v>Heavy Rainfall</c:v>
                </c:pt>
                <c:pt idx="586">
                  <c:v>Dark Cloud</c:v>
                </c:pt>
                <c:pt idx="587">
                  <c:v>Clear Sky</c:v>
                </c:pt>
                <c:pt idx="588">
                  <c:v>Clear Sky</c:v>
                </c:pt>
                <c:pt idx="589">
                  <c:v>Clear Sky</c:v>
                </c:pt>
                <c:pt idx="590">
                  <c:v>Clear Sky</c:v>
                </c:pt>
                <c:pt idx="591">
                  <c:v>Clear Sky</c:v>
                </c:pt>
                <c:pt idx="592">
                  <c:v>Clear Sky</c:v>
                </c:pt>
                <c:pt idx="593">
                  <c:v>Clear Sky</c:v>
                </c:pt>
                <c:pt idx="594">
                  <c:v>Clear Sky</c:v>
                </c:pt>
                <c:pt idx="595">
                  <c:v>Mist</c:v>
                </c:pt>
                <c:pt idx="596">
                  <c:v>Mist</c:v>
                </c:pt>
                <c:pt idx="597">
                  <c:v>Mist</c:v>
                </c:pt>
                <c:pt idx="598">
                  <c:v>Mist</c:v>
                </c:pt>
                <c:pt idx="599">
                  <c:v>Mist</c:v>
                </c:pt>
                <c:pt idx="600">
                  <c:v>Mist</c:v>
                </c:pt>
                <c:pt idx="601">
                  <c:v>Mist</c:v>
                </c:pt>
                <c:pt idx="602">
                  <c:v>Mist</c:v>
                </c:pt>
                <c:pt idx="603">
                  <c:v>Dark Cloud</c:v>
                </c:pt>
                <c:pt idx="604">
                  <c:v>Dark Cloud</c:v>
                </c:pt>
                <c:pt idx="605">
                  <c:v>Dark Cloud</c:v>
                </c:pt>
                <c:pt idx="606">
                  <c:v>Dark Cloud</c:v>
                </c:pt>
                <c:pt idx="607">
                  <c:v>Dark Cloud</c:v>
                </c:pt>
                <c:pt idx="608">
                  <c:v>Dark Cloud</c:v>
                </c:pt>
                <c:pt idx="609">
                  <c:v>Mist</c:v>
                </c:pt>
                <c:pt idx="610">
                  <c:v>Clear Sky</c:v>
                </c:pt>
                <c:pt idx="611">
                  <c:v>Clear Sky</c:v>
                </c:pt>
                <c:pt idx="612">
                  <c:v>Clear Sky</c:v>
                </c:pt>
                <c:pt idx="613">
                  <c:v>Mist</c:v>
                </c:pt>
                <c:pt idx="614">
                  <c:v>Mist</c:v>
                </c:pt>
                <c:pt idx="615">
                  <c:v>Mist</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Mist</c:v>
                </c:pt>
                <c:pt idx="628">
                  <c:v>Mist</c:v>
                </c:pt>
                <c:pt idx="629">
                  <c:v>Mist</c:v>
                </c:pt>
                <c:pt idx="630">
                  <c:v>Mist</c:v>
                </c:pt>
                <c:pt idx="631">
                  <c:v>Mist</c:v>
                </c:pt>
                <c:pt idx="632">
                  <c:v>Clear Sky</c:v>
                </c:pt>
                <c:pt idx="633">
                  <c:v>Clear Sky</c:v>
                </c:pt>
                <c:pt idx="634">
                  <c:v>Clear Sky</c:v>
                </c:pt>
                <c:pt idx="635">
                  <c:v>Clear Sky</c:v>
                </c:pt>
                <c:pt idx="636">
                  <c:v>Mist</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Mist</c:v>
                </c:pt>
                <c:pt idx="649">
                  <c:v>Mist</c:v>
                </c:pt>
                <c:pt idx="650">
                  <c:v>Mist</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Mist</c:v>
                </c:pt>
                <c:pt idx="661">
                  <c:v>Mist</c:v>
                </c:pt>
                <c:pt idx="662">
                  <c:v>Mist</c:v>
                </c:pt>
                <c:pt idx="663">
                  <c:v>Mist</c:v>
                </c:pt>
                <c:pt idx="664">
                  <c:v>Mist</c:v>
                </c:pt>
                <c:pt idx="665">
                  <c:v>Clear Sky</c:v>
                </c:pt>
                <c:pt idx="666">
                  <c:v>Clear Sky</c:v>
                </c:pt>
                <c:pt idx="667">
                  <c:v>Clear Sky</c:v>
                </c:pt>
                <c:pt idx="668">
                  <c:v>Clear Sky</c:v>
                </c:pt>
                <c:pt idx="669">
                  <c:v>Clear Sky</c:v>
                </c:pt>
                <c:pt idx="670">
                  <c:v>Clear Sky</c:v>
                </c:pt>
                <c:pt idx="671">
                  <c:v>Mist</c:v>
                </c:pt>
                <c:pt idx="672">
                  <c:v>Mist</c:v>
                </c:pt>
                <c:pt idx="673">
                  <c:v>Mist</c:v>
                </c:pt>
                <c:pt idx="674">
                  <c:v>Mist</c:v>
                </c:pt>
                <c:pt idx="675">
                  <c:v>Mist</c:v>
                </c:pt>
                <c:pt idx="676">
                  <c:v>Mist</c:v>
                </c:pt>
                <c:pt idx="677">
                  <c:v>Mist</c:v>
                </c:pt>
                <c:pt idx="678">
                  <c:v>Mist</c:v>
                </c:pt>
                <c:pt idx="679">
                  <c:v>Mist</c:v>
                </c:pt>
                <c:pt idx="680">
                  <c:v>Mist</c:v>
                </c:pt>
                <c:pt idx="681">
                  <c:v>Mist</c:v>
                </c:pt>
                <c:pt idx="682">
                  <c:v>Mist</c:v>
                </c:pt>
                <c:pt idx="683">
                  <c:v>Clear Sky</c:v>
                </c:pt>
                <c:pt idx="684">
                  <c:v>Dark Cloud</c:v>
                </c:pt>
                <c:pt idx="685">
                  <c:v>Dark Cloud</c:v>
                </c:pt>
                <c:pt idx="686">
                  <c:v>Mist</c:v>
                </c:pt>
                <c:pt idx="687">
                  <c:v>Mist</c:v>
                </c:pt>
                <c:pt idx="688">
                  <c:v>Mist</c:v>
                </c:pt>
                <c:pt idx="689">
                  <c:v>Mist</c:v>
                </c:pt>
                <c:pt idx="690">
                  <c:v>Mist</c:v>
                </c:pt>
                <c:pt idx="691">
                  <c:v>Mist</c:v>
                </c:pt>
                <c:pt idx="692">
                  <c:v>Dark Cloud</c:v>
                </c:pt>
                <c:pt idx="693">
                  <c:v>Dark Cloud</c:v>
                </c:pt>
                <c:pt idx="694">
                  <c:v>Dark Cloud</c:v>
                </c:pt>
                <c:pt idx="695">
                  <c:v>Dark Cloud</c:v>
                </c:pt>
                <c:pt idx="696">
                  <c:v>Mist</c:v>
                </c:pt>
                <c:pt idx="697">
                  <c:v>Mist</c:v>
                </c:pt>
                <c:pt idx="698">
                  <c:v>Mist</c:v>
                </c:pt>
                <c:pt idx="699">
                  <c:v>Mist</c:v>
                </c:pt>
                <c:pt idx="700">
                  <c:v>Mist</c:v>
                </c:pt>
                <c:pt idx="701">
                  <c:v>Mist</c:v>
                </c:pt>
                <c:pt idx="702">
                  <c:v>Mist</c:v>
                </c:pt>
                <c:pt idx="703">
                  <c:v>Mist</c:v>
                </c:pt>
                <c:pt idx="704">
                  <c:v>Mist</c:v>
                </c:pt>
                <c:pt idx="705">
                  <c:v>Mist</c:v>
                </c:pt>
                <c:pt idx="706">
                  <c:v>Mist</c:v>
                </c:pt>
                <c:pt idx="707">
                  <c:v>Mist</c:v>
                </c:pt>
                <c:pt idx="708">
                  <c:v>Mist</c:v>
                </c:pt>
                <c:pt idx="709">
                  <c:v>Mist</c:v>
                </c:pt>
                <c:pt idx="710">
                  <c:v>Dark Cloud</c:v>
                </c:pt>
                <c:pt idx="711">
                  <c:v>Dark Cloud</c:v>
                </c:pt>
                <c:pt idx="712">
                  <c:v>Dark Cloud</c:v>
                </c:pt>
                <c:pt idx="713">
                  <c:v>Dark Cloud</c:v>
                </c:pt>
                <c:pt idx="714">
                  <c:v>Dark Cloud</c:v>
                </c:pt>
                <c:pt idx="715">
                  <c:v>Dark Cloud</c:v>
                </c:pt>
                <c:pt idx="716">
                  <c:v>Dark Cloud</c:v>
                </c:pt>
                <c:pt idx="717">
                  <c:v>Dark Cloud</c:v>
                </c:pt>
                <c:pt idx="718">
                  <c:v>Dark Cloud</c:v>
                </c:pt>
                <c:pt idx="719">
                  <c:v>Dark Cloud</c:v>
                </c:pt>
                <c:pt idx="720">
                  <c:v>Mist</c:v>
                </c:pt>
                <c:pt idx="721">
                  <c:v>Mist</c:v>
                </c:pt>
                <c:pt idx="722">
                  <c:v>Mist</c:v>
                </c:pt>
                <c:pt idx="723">
                  <c:v>Mist</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Mist</c:v>
                </c:pt>
                <c:pt idx="759">
                  <c:v>Mist</c:v>
                </c:pt>
                <c:pt idx="760">
                  <c:v>Mist</c:v>
                </c:pt>
                <c:pt idx="761">
                  <c:v>Mist</c:v>
                </c:pt>
                <c:pt idx="762">
                  <c:v>Mist</c:v>
                </c:pt>
                <c:pt idx="763">
                  <c:v>Mist</c:v>
                </c:pt>
                <c:pt idx="764">
                  <c:v>Clear Sky</c:v>
                </c:pt>
                <c:pt idx="765">
                  <c:v>Clear Sky</c:v>
                </c:pt>
                <c:pt idx="766">
                  <c:v>Mist</c:v>
                </c:pt>
                <c:pt idx="767">
                  <c:v>Mist</c:v>
                </c:pt>
                <c:pt idx="768">
                  <c:v>Clear Sky</c:v>
                </c:pt>
                <c:pt idx="769">
                  <c:v>Mist</c:v>
                </c:pt>
                <c:pt idx="770">
                  <c:v>Mist</c:v>
                </c:pt>
                <c:pt idx="771">
                  <c:v>Mist</c:v>
                </c:pt>
                <c:pt idx="772">
                  <c:v>Mist</c:v>
                </c:pt>
                <c:pt idx="773">
                  <c:v>Mist</c:v>
                </c:pt>
                <c:pt idx="774">
                  <c:v>Mist</c:v>
                </c:pt>
                <c:pt idx="775">
                  <c:v>Mist</c:v>
                </c:pt>
                <c:pt idx="776">
                  <c:v>Mist</c:v>
                </c:pt>
                <c:pt idx="777">
                  <c:v>Mist</c:v>
                </c:pt>
                <c:pt idx="778">
                  <c:v>Mist</c:v>
                </c:pt>
                <c:pt idx="779">
                  <c:v>Mist</c:v>
                </c:pt>
                <c:pt idx="780">
                  <c:v>Mist</c:v>
                </c:pt>
                <c:pt idx="781">
                  <c:v>Mist</c:v>
                </c:pt>
                <c:pt idx="782">
                  <c:v>Mist</c:v>
                </c:pt>
                <c:pt idx="783">
                  <c:v>Mist</c:v>
                </c:pt>
                <c:pt idx="784">
                  <c:v>Mist</c:v>
                </c:pt>
                <c:pt idx="785">
                  <c:v>Dark Cloud</c:v>
                </c:pt>
                <c:pt idx="786">
                  <c:v>Dark Cloud</c:v>
                </c:pt>
                <c:pt idx="787">
                  <c:v>Dark Cloud</c:v>
                </c:pt>
                <c:pt idx="788">
                  <c:v>Dark Cloud</c:v>
                </c:pt>
                <c:pt idx="789">
                  <c:v>Dark Cloud</c:v>
                </c:pt>
                <c:pt idx="790">
                  <c:v>Dark Cloud</c:v>
                </c:pt>
                <c:pt idx="791">
                  <c:v>Dark Cloud</c:v>
                </c:pt>
                <c:pt idx="792">
                  <c:v>Dark Cloud</c:v>
                </c:pt>
                <c:pt idx="793">
                  <c:v>Dark Cloud</c:v>
                </c:pt>
                <c:pt idx="794">
                  <c:v>Dark Cloud</c:v>
                </c:pt>
                <c:pt idx="795">
                  <c:v>Dark Cloud</c:v>
                </c:pt>
                <c:pt idx="796">
                  <c:v>Dark Cloud</c:v>
                </c:pt>
                <c:pt idx="797">
                  <c:v>Dark Cloud</c:v>
                </c:pt>
                <c:pt idx="798">
                  <c:v>Mist</c:v>
                </c:pt>
                <c:pt idx="799">
                  <c:v>Mist</c:v>
                </c:pt>
                <c:pt idx="800">
                  <c:v>Mist</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Mist</c:v>
                </c:pt>
                <c:pt idx="838">
                  <c:v>Clear Sky</c:v>
                </c:pt>
                <c:pt idx="839">
                  <c:v>Clear Sky</c:v>
                </c:pt>
                <c:pt idx="840">
                  <c:v>Clear Sky</c:v>
                </c:pt>
                <c:pt idx="841">
                  <c:v>Mist</c:v>
                </c:pt>
                <c:pt idx="842">
                  <c:v>Mist</c:v>
                </c:pt>
                <c:pt idx="843">
                  <c:v>Mist</c:v>
                </c:pt>
                <c:pt idx="844">
                  <c:v>Mist</c:v>
                </c:pt>
                <c:pt idx="845">
                  <c:v>Mist</c:v>
                </c:pt>
                <c:pt idx="846">
                  <c:v>Mist</c:v>
                </c:pt>
                <c:pt idx="847">
                  <c:v>Mist</c:v>
                </c:pt>
                <c:pt idx="848">
                  <c:v>Mist</c:v>
                </c:pt>
                <c:pt idx="849">
                  <c:v>Mist</c:v>
                </c:pt>
                <c:pt idx="850">
                  <c:v>Clear Sky</c:v>
                </c:pt>
                <c:pt idx="851">
                  <c:v>Clear Sky</c:v>
                </c:pt>
                <c:pt idx="852">
                  <c:v>Mist</c:v>
                </c:pt>
                <c:pt idx="853">
                  <c:v>Mist</c:v>
                </c:pt>
                <c:pt idx="854">
                  <c:v>Mist</c:v>
                </c:pt>
                <c:pt idx="855">
                  <c:v>Mist</c:v>
                </c:pt>
                <c:pt idx="856">
                  <c:v>Dark Cloud</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Mist</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Mist</c:v>
                </c:pt>
                <c:pt idx="888">
                  <c:v>Mist</c:v>
                </c:pt>
                <c:pt idx="889">
                  <c:v>Clear Sky</c:v>
                </c:pt>
                <c:pt idx="890">
                  <c:v>Clear Sky</c:v>
                </c:pt>
                <c:pt idx="891">
                  <c:v>Mist</c:v>
                </c:pt>
                <c:pt idx="892">
                  <c:v>Mist</c:v>
                </c:pt>
                <c:pt idx="893">
                  <c:v>Mist</c:v>
                </c:pt>
                <c:pt idx="894">
                  <c:v>Mist</c:v>
                </c:pt>
                <c:pt idx="895">
                  <c:v>Dark Cloud</c:v>
                </c:pt>
                <c:pt idx="896">
                  <c:v>Dark Cloud</c:v>
                </c:pt>
                <c:pt idx="897">
                  <c:v>Mist</c:v>
                </c:pt>
                <c:pt idx="898">
                  <c:v>Dark Cloud</c:v>
                </c:pt>
                <c:pt idx="899">
                  <c:v>Dark Cloud</c:v>
                </c:pt>
                <c:pt idx="900">
                  <c:v>Dark Cloud</c:v>
                </c:pt>
                <c:pt idx="901">
                  <c:v>Dark Cloud</c:v>
                </c:pt>
                <c:pt idx="902">
                  <c:v>Dark Cloud</c:v>
                </c:pt>
                <c:pt idx="903">
                  <c:v>Mist</c:v>
                </c:pt>
                <c:pt idx="904">
                  <c:v>Mist</c:v>
                </c:pt>
                <c:pt idx="905">
                  <c:v>Mist</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Mist</c:v>
                </c:pt>
                <c:pt idx="972">
                  <c:v>Mist</c:v>
                </c:pt>
                <c:pt idx="973">
                  <c:v>Mist</c:v>
                </c:pt>
                <c:pt idx="974">
                  <c:v>Mist</c:v>
                </c:pt>
                <c:pt idx="975">
                  <c:v>Mist</c:v>
                </c:pt>
                <c:pt idx="976">
                  <c:v>Mist</c:v>
                </c:pt>
                <c:pt idx="977">
                  <c:v>Mist</c:v>
                </c:pt>
                <c:pt idx="978">
                  <c:v>Clear Sky</c:v>
                </c:pt>
                <c:pt idx="979">
                  <c:v>Clear Sky</c:v>
                </c:pt>
                <c:pt idx="980">
                  <c:v>Clear Sky</c:v>
                </c:pt>
                <c:pt idx="981">
                  <c:v>Clear Sky</c:v>
                </c:pt>
                <c:pt idx="982">
                  <c:v>Mist</c:v>
                </c:pt>
                <c:pt idx="983">
                  <c:v>Mist</c:v>
                </c:pt>
                <c:pt idx="984">
                  <c:v>Mist</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strCache>
            </c:strRef>
          </c:cat>
          <c:val>
            <c:numRef>
              <c:f>'final data'!$M$2:$M$1002</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val>
          <c:extLst>
            <c:ext xmlns:c16="http://schemas.microsoft.com/office/drawing/2014/chart" uri="{C3380CC4-5D6E-409C-BE32-E72D297353CC}">
              <c16:uniqueId val="{00000000-B271-4700-B974-D5583FEE4A36}"/>
            </c:ext>
          </c:extLst>
        </c:ser>
        <c:dLbls>
          <c:showLegendKey val="0"/>
          <c:showVal val="0"/>
          <c:showCatName val="0"/>
          <c:showSerName val="0"/>
          <c:showPercent val="0"/>
          <c:showBubbleSize val="0"/>
        </c:dLbls>
        <c:gapWidth val="219"/>
        <c:overlap val="-27"/>
        <c:axId val="1847554543"/>
        <c:axId val="1847555023"/>
      </c:barChart>
      <c:catAx>
        <c:axId val="18475545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555023"/>
        <c:crosses val="autoZero"/>
        <c:auto val="1"/>
        <c:lblAlgn val="ctr"/>
        <c:lblOffset val="100"/>
        <c:noMultiLvlLbl val="0"/>
      </c:catAx>
      <c:valAx>
        <c:axId val="184755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RIGESTERED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5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6.xml"/><Relationship Id="rId18" Type="http://schemas.openxmlformats.org/officeDocument/2006/relationships/chart" Target="../charts/chart11.xml"/><Relationship Id="rId3" Type="http://schemas.openxmlformats.org/officeDocument/2006/relationships/chart" Target="../charts/chart4.xml"/><Relationship Id="rId7" Type="http://schemas.openxmlformats.org/officeDocument/2006/relationships/image" Target="../media/image6.svg"/><Relationship Id="rId12" Type="http://schemas.openxmlformats.org/officeDocument/2006/relationships/image" Target="../media/image10.svg"/><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emf"/><Relationship Id="rId15" Type="http://schemas.openxmlformats.org/officeDocument/2006/relationships/chart" Target="../charts/chart8.xml"/><Relationship Id="rId10" Type="http://schemas.openxmlformats.org/officeDocument/2006/relationships/image" Target="../media/image8.svg"/><Relationship Id="rId19" Type="http://schemas.openxmlformats.org/officeDocument/2006/relationships/chart" Target="../charts/chart12.xml"/><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60960</xdr:colOff>
      <xdr:row>5</xdr:row>
      <xdr:rowOff>148590</xdr:rowOff>
    </xdr:from>
    <xdr:to>
      <xdr:col>12</xdr:col>
      <xdr:colOff>91440</xdr:colOff>
      <xdr:row>21</xdr:row>
      <xdr:rowOff>144780</xdr:rowOff>
    </xdr:to>
    <xdr:graphicFrame macro="">
      <xdr:nvGraphicFramePr>
        <xdr:cNvPr id="2" name="Chart 1">
          <a:extLst>
            <a:ext uri="{FF2B5EF4-FFF2-40B4-BE49-F238E27FC236}">
              <a16:creationId xmlns:a16="http://schemas.microsoft.com/office/drawing/2014/main" id="{6C47C896-521E-C3AE-A14D-50BC60815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0</xdr:row>
      <xdr:rowOff>34290</xdr:rowOff>
    </xdr:from>
    <xdr:to>
      <xdr:col>11</xdr:col>
      <xdr:colOff>144780</xdr:colOff>
      <xdr:row>15</xdr:row>
      <xdr:rowOff>34290</xdr:rowOff>
    </xdr:to>
    <xdr:graphicFrame macro="">
      <xdr:nvGraphicFramePr>
        <xdr:cNvPr id="2" name="Chart 1">
          <a:extLst>
            <a:ext uri="{FF2B5EF4-FFF2-40B4-BE49-F238E27FC236}">
              <a16:creationId xmlns:a16="http://schemas.microsoft.com/office/drawing/2014/main" id="{B952BCE3-E7A5-D6E3-44DF-959C4B0A8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187</xdr:row>
      <xdr:rowOff>41910</xdr:rowOff>
    </xdr:from>
    <xdr:to>
      <xdr:col>10</xdr:col>
      <xdr:colOff>99060</xdr:colOff>
      <xdr:row>202</xdr:row>
      <xdr:rowOff>41910</xdr:rowOff>
    </xdr:to>
    <xdr:graphicFrame macro="">
      <xdr:nvGraphicFramePr>
        <xdr:cNvPr id="3" name="Chart 2">
          <a:extLst>
            <a:ext uri="{FF2B5EF4-FFF2-40B4-BE49-F238E27FC236}">
              <a16:creationId xmlns:a16="http://schemas.microsoft.com/office/drawing/2014/main" id="{CD3BE01F-956B-E5D7-D921-7309D321F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190500</xdr:colOff>
      <xdr:row>504</xdr:row>
      <xdr:rowOff>45720</xdr:rowOff>
    </xdr:from>
    <xdr:to>
      <xdr:col>17</xdr:col>
      <xdr:colOff>190500</xdr:colOff>
      <xdr:row>517</xdr:row>
      <xdr:rowOff>135255</xdr:rowOff>
    </xdr:to>
    <mc:AlternateContent xmlns:mc="http://schemas.openxmlformats.org/markup-compatibility/2006" xmlns:sle15="http://schemas.microsoft.com/office/drawing/2012/slicer">
      <mc:Choice Requires="sle15">
        <xdr:graphicFrame macro="">
          <xdr:nvGraphicFramePr>
            <xdr:cNvPr id="2" name="dteday">
              <a:extLst>
                <a:ext uri="{FF2B5EF4-FFF2-40B4-BE49-F238E27FC236}">
                  <a16:creationId xmlns:a16="http://schemas.microsoft.com/office/drawing/2014/main" id="{29A7198C-B518-A855-ED93-B814B22DEE04}"/>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8488680" y="9221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259080</xdr:colOff>
      <xdr:row>504</xdr:row>
      <xdr:rowOff>91440</xdr:rowOff>
    </xdr:from>
    <xdr:to>
      <xdr:col>20</xdr:col>
      <xdr:colOff>259080</xdr:colOff>
      <xdr:row>517</xdr:row>
      <xdr:rowOff>180975</xdr:rowOff>
    </xdr:to>
    <mc:AlternateContent xmlns:mc="http://schemas.openxmlformats.org/markup-compatibility/2006" xmlns:sle15="http://schemas.microsoft.com/office/drawing/2012/slicer">
      <mc:Choice Requires="sle15">
        <xdr:graphicFrame macro="">
          <xdr:nvGraphicFramePr>
            <xdr:cNvPr id="3" name="cnt">
              <a:extLst>
                <a:ext uri="{FF2B5EF4-FFF2-40B4-BE49-F238E27FC236}">
                  <a16:creationId xmlns:a16="http://schemas.microsoft.com/office/drawing/2014/main" id="{02C327CD-2F8A-A905-7B9D-0082A5EA04C7}"/>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10386060" y="9226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0</xdr:colOff>
      <xdr:row>3</xdr:row>
      <xdr:rowOff>0</xdr:rowOff>
    </xdr:from>
    <xdr:to>
      <xdr:col>19</xdr:col>
      <xdr:colOff>0</xdr:colOff>
      <xdr:row>16</xdr:row>
      <xdr:rowOff>89535</xdr:rowOff>
    </xdr:to>
    <mc:AlternateContent xmlns:mc="http://schemas.openxmlformats.org/markup-compatibility/2006" xmlns:sle15="http://schemas.microsoft.com/office/drawing/2012/slicer">
      <mc:Choice Requires="sle15">
        <xdr:graphicFrame macro="">
          <xdr:nvGraphicFramePr>
            <xdr:cNvPr id="5" name="dteday 1">
              <a:extLst>
                <a:ext uri="{FF2B5EF4-FFF2-40B4-BE49-F238E27FC236}">
                  <a16:creationId xmlns:a16="http://schemas.microsoft.com/office/drawing/2014/main" id="{B33D3D13-8305-46CD-808F-0BBA31B680B5}"/>
                </a:ext>
              </a:extLst>
            </xdr:cNvPr>
            <xdr:cNvGraphicFramePr/>
          </xdr:nvGraphicFramePr>
          <xdr:xfrm>
            <a:off x="0" y="0"/>
            <a:ext cx="0" cy="0"/>
          </xdr:xfrm>
          <a:graphic>
            <a:graphicData uri="http://schemas.microsoft.com/office/drawing/2010/slicer">
              <sle:slicer xmlns:sle="http://schemas.microsoft.com/office/drawing/2010/slicer" name="dteday 1"/>
            </a:graphicData>
          </a:graphic>
        </xdr:graphicFrame>
      </mc:Choice>
      <mc:Fallback xmlns="">
        <xdr:sp macro="" textlink="">
          <xdr:nvSpPr>
            <xdr:cNvPr id="0" name=""/>
            <xdr:cNvSpPr>
              <a:spLocks noTextEdit="1"/>
            </xdr:cNvSpPr>
          </xdr:nvSpPr>
          <xdr:spPr>
            <a:xfrm>
              <a:off x="951738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273988</xdr:colOff>
      <xdr:row>1</xdr:row>
      <xdr:rowOff>21535</xdr:rowOff>
    </xdr:from>
    <xdr:to>
      <xdr:col>4</xdr:col>
      <xdr:colOff>594028</xdr:colOff>
      <xdr:row>6</xdr:row>
      <xdr:rowOff>148424</xdr:rowOff>
    </xdr:to>
    <xdr:sp macro="" textlink="">
      <xdr:nvSpPr>
        <xdr:cNvPr id="5" name="Rectangle 4">
          <a:extLst>
            <a:ext uri="{FF2B5EF4-FFF2-40B4-BE49-F238E27FC236}">
              <a16:creationId xmlns:a16="http://schemas.microsoft.com/office/drawing/2014/main" id="{C932C36B-5F51-EAFA-CCD7-54E8B8184B2C}"/>
            </a:ext>
          </a:extLst>
        </xdr:cNvPr>
        <xdr:cNvSpPr/>
      </xdr:nvSpPr>
      <xdr:spPr>
        <a:xfrm>
          <a:off x="273988" y="204415"/>
          <a:ext cx="1539240" cy="10412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0" i="0" baseline="0">
              <a:solidFill>
                <a:schemeClr val="lt1"/>
              </a:solidFill>
              <a:effectLst/>
              <a:latin typeface="+mn-lt"/>
              <a:ea typeface="+mn-ea"/>
              <a:cs typeface="+mn-cs"/>
            </a:rPr>
            <a:t>Total</a:t>
          </a:r>
          <a:r>
            <a:rPr lang="en-IN" sz="1100" b="0" i="0" baseline="0">
              <a:solidFill>
                <a:schemeClr val="lt1"/>
              </a:solidFill>
              <a:effectLst/>
              <a:latin typeface="+mn-lt"/>
              <a:ea typeface="+mn-ea"/>
              <a:cs typeface="+mn-cs"/>
            </a:rPr>
            <a:t> </a:t>
          </a:r>
          <a:r>
            <a:rPr lang="en-IN" sz="2000" b="0" i="0" baseline="0">
              <a:solidFill>
                <a:schemeClr val="lt1"/>
              </a:solidFill>
              <a:effectLst/>
              <a:latin typeface="+mn-lt"/>
              <a:ea typeface="+mn-ea"/>
              <a:cs typeface="+mn-cs"/>
            </a:rPr>
            <a:t>Rentals</a:t>
          </a:r>
          <a:endParaRPr lang="en-IN">
            <a:effectLst/>
          </a:endParaRPr>
        </a:p>
        <a:p>
          <a:pPr algn="l"/>
          <a:endParaRPr lang="en-IN" sz="1100"/>
        </a:p>
      </xdr:txBody>
    </xdr:sp>
    <xdr:clientData/>
  </xdr:twoCellAnchor>
  <xdr:twoCellAnchor>
    <xdr:from>
      <xdr:col>5</xdr:col>
      <xdr:colOff>236220</xdr:colOff>
      <xdr:row>1</xdr:row>
      <xdr:rowOff>25180</xdr:rowOff>
    </xdr:from>
    <xdr:to>
      <xdr:col>7</xdr:col>
      <xdr:colOff>556260</xdr:colOff>
      <xdr:row>6</xdr:row>
      <xdr:rowOff>152070</xdr:rowOff>
    </xdr:to>
    <xdr:sp macro="" textlink="">
      <xdr:nvSpPr>
        <xdr:cNvPr id="6" name="Rectangle 5">
          <a:extLst>
            <a:ext uri="{FF2B5EF4-FFF2-40B4-BE49-F238E27FC236}">
              <a16:creationId xmlns:a16="http://schemas.microsoft.com/office/drawing/2014/main" id="{4268EDA2-E090-47FA-A2DA-3B6C9E0023C6}"/>
            </a:ext>
          </a:extLst>
        </xdr:cNvPr>
        <xdr:cNvSpPr/>
      </xdr:nvSpPr>
      <xdr:spPr>
        <a:xfrm>
          <a:off x="2065020" y="208060"/>
          <a:ext cx="1539240" cy="10412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Average Temperature</a:t>
          </a:r>
        </a:p>
      </xdr:txBody>
    </xdr:sp>
    <xdr:clientData/>
  </xdr:twoCellAnchor>
  <xdr:twoCellAnchor>
    <xdr:from>
      <xdr:col>8</xdr:col>
      <xdr:colOff>214023</xdr:colOff>
      <xdr:row>1</xdr:row>
      <xdr:rowOff>19878</xdr:rowOff>
    </xdr:from>
    <xdr:to>
      <xdr:col>10</xdr:col>
      <xdr:colOff>534063</xdr:colOff>
      <xdr:row>6</xdr:row>
      <xdr:rowOff>149418</xdr:rowOff>
    </xdr:to>
    <xdr:sp macro="" textlink="">
      <xdr:nvSpPr>
        <xdr:cNvPr id="7" name="Rectangle 6">
          <a:extLst>
            <a:ext uri="{FF2B5EF4-FFF2-40B4-BE49-F238E27FC236}">
              <a16:creationId xmlns:a16="http://schemas.microsoft.com/office/drawing/2014/main" id="{76515570-B9CE-407F-BA78-401BFE5DA85E}"/>
            </a:ext>
          </a:extLst>
        </xdr:cNvPr>
        <xdr:cNvSpPr/>
      </xdr:nvSpPr>
      <xdr:spPr>
        <a:xfrm>
          <a:off x="3871623" y="205408"/>
          <a:ext cx="1539240" cy="10571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Average Humidity</a:t>
          </a:r>
        </a:p>
        <a:p>
          <a:pPr algn="ctr"/>
          <a:r>
            <a:rPr lang="en-IN" sz="2000">
              <a:solidFill>
                <a:schemeClr val="tx1"/>
              </a:solidFill>
            </a:rPr>
            <a:t>58%</a:t>
          </a:r>
          <a:endParaRPr lang="en-IN" sz="1800">
            <a:solidFill>
              <a:schemeClr val="tx1"/>
            </a:solidFill>
          </a:endParaRPr>
        </a:p>
      </xdr:txBody>
    </xdr:sp>
    <xdr:clientData/>
  </xdr:twoCellAnchor>
  <xdr:twoCellAnchor>
    <xdr:from>
      <xdr:col>11</xdr:col>
      <xdr:colOff>129540</xdr:colOff>
      <xdr:row>1</xdr:row>
      <xdr:rowOff>7620</xdr:rowOff>
    </xdr:from>
    <xdr:to>
      <xdr:col>13</xdr:col>
      <xdr:colOff>449580</xdr:colOff>
      <xdr:row>6</xdr:row>
      <xdr:rowOff>137160</xdr:rowOff>
    </xdr:to>
    <xdr:sp macro="" textlink="">
      <xdr:nvSpPr>
        <xdr:cNvPr id="8" name="Rectangle 7">
          <a:extLst>
            <a:ext uri="{FF2B5EF4-FFF2-40B4-BE49-F238E27FC236}">
              <a16:creationId xmlns:a16="http://schemas.microsoft.com/office/drawing/2014/main" id="{0F4C828A-E795-45CA-9836-8B212969354C}"/>
            </a:ext>
          </a:extLst>
        </xdr:cNvPr>
        <xdr:cNvSpPr/>
      </xdr:nvSpPr>
      <xdr:spPr>
        <a:xfrm>
          <a:off x="5615940" y="190500"/>
          <a:ext cx="1539240" cy="1043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i="0" u="none" strike="noStrike">
              <a:solidFill>
                <a:schemeClr val="lt1"/>
              </a:solidFill>
              <a:effectLst/>
              <a:latin typeface="+mn-lt"/>
              <a:ea typeface="+mn-ea"/>
              <a:cs typeface="+mn-cs"/>
            </a:rPr>
            <a:t>Total Registered Rents</a:t>
          </a:r>
          <a:r>
            <a:rPr lang="en-IN" sz="1600">
              <a:effectLst/>
            </a:rPr>
            <a:t> </a:t>
          </a:r>
          <a:endParaRPr lang="en-IN" sz="1600"/>
        </a:p>
      </xdr:txBody>
    </xdr:sp>
    <xdr:clientData/>
  </xdr:twoCellAnchor>
  <xdr:twoCellAnchor>
    <xdr:from>
      <xdr:col>14</xdr:col>
      <xdr:colOff>175260</xdr:colOff>
      <xdr:row>1</xdr:row>
      <xdr:rowOff>30480</xdr:rowOff>
    </xdr:from>
    <xdr:to>
      <xdr:col>16</xdr:col>
      <xdr:colOff>495300</xdr:colOff>
      <xdr:row>6</xdr:row>
      <xdr:rowOff>160020</xdr:rowOff>
    </xdr:to>
    <xdr:sp macro="" textlink="">
      <xdr:nvSpPr>
        <xdr:cNvPr id="9" name="Rectangle 8">
          <a:extLst>
            <a:ext uri="{FF2B5EF4-FFF2-40B4-BE49-F238E27FC236}">
              <a16:creationId xmlns:a16="http://schemas.microsoft.com/office/drawing/2014/main" id="{5C4DD48C-1AA2-44D6-8FEF-BFEE01AFD78F}"/>
            </a:ext>
          </a:extLst>
        </xdr:cNvPr>
        <xdr:cNvSpPr/>
      </xdr:nvSpPr>
      <xdr:spPr>
        <a:xfrm>
          <a:off x="7490460" y="213360"/>
          <a:ext cx="1539240" cy="1043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parajita" panose="02020603050405020304" pitchFamily="18" charset="0"/>
              <a:cs typeface="Aparajita" panose="02020603050405020304" pitchFamily="18" charset="0"/>
            </a:rPr>
            <a:t>Total Casual Rents</a:t>
          </a:r>
        </a:p>
      </xdr:txBody>
    </xdr:sp>
    <xdr:clientData/>
  </xdr:twoCellAnchor>
  <xdr:twoCellAnchor editAs="oneCell">
    <xdr:from>
      <xdr:col>2</xdr:col>
      <xdr:colOff>320704</xdr:colOff>
      <xdr:row>3</xdr:row>
      <xdr:rowOff>97074</xdr:rowOff>
    </xdr:from>
    <xdr:to>
      <xdr:col>3</xdr:col>
      <xdr:colOff>271282</xdr:colOff>
      <xdr:row>6</xdr:row>
      <xdr:rowOff>108611</xdr:rowOff>
    </xdr:to>
    <xdr:pic>
      <xdr:nvPicPr>
        <xdr:cNvPr id="15" name="Picture 14" descr="Customer review with solid fill">
          <a:extLst>
            <a:ext uri="{FF2B5EF4-FFF2-40B4-BE49-F238E27FC236}">
              <a16:creationId xmlns:a16="http://schemas.microsoft.com/office/drawing/2014/main" id="{0A08E498-535E-826A-779B-0CD0FFAC06DE}"/>
            </a:ext>
          </a:extLst>
        </xdr:cNvPr>
        <xdr:cNvPicPr>
          <a:picLocks noChangeAspect="1" noChangeArrowheads="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320704" y="653665"/>
          <a:ext cx="560178" cy="568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xdr:row>
      <xdr:rowOff>147098</xdr:rowOff>
    </xdr:from>
    <xdr:to>
      <xdr:col>9</xdr:col>
      <xdr:colOff>576470</xdr:colOff>
      <xdr:row>24</xdr:row>
      <xdr:rowOff>26505</xdr:rowOff>
    </xdr:to>
    <xdr:graphicFrame macro="">
      <xdr:nvGraphicFramePr>
        <xdr:cNvPr id="17" name="Chart 16">
          <a:extLst>
            <a:ext uri="{FF2B5EF4-FFF2-40B4-BE49-F238E27FC236}">
              <a16:creationId xmlns:a16="http://schemas.microsoft.com/office/drawing/2014/main" id="{A4621EF2-3D92-441D-AE32-1210A79EE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107343</xdr:colOff>
      <xdr:row>3</xdr:row>
      <xdr:rowOff>79513</xdr:rowOff>
    </xdr:from>
    <xdr:to>
      <xdr:col>5</xdr:col>
      <xdr:colOff>56996</xdr:colOff>
      <xdr:row>7</xdr:row>
      <xdr:rowOff>25490</xdr:rowOff>
    </xdr:to>
    <xdr:pic>
      <xdr:nvPicPr>
        <xdr:cNvPr id="28" name="Picture 27">
          <a:extLst>
            <a:ext uri="{FF2B5EF4-FFF2-40B4-BE49-F238E27FC236}">
              <a16:creationId xmlns:a16="http://schemas.microsoft.com/office/drawing/2014/main" id="{FA9D3119-C9A0-34F5-095C-68BBDAA8B342}"/>
            </a:ext>
          </a:extLst>
        </xdr:cNvPr>
        <xdr:cNvPicPr>
          <a:picLocks noChangeAspect="1"/>
        </xdr:cNvPicPr>
      </xdr:nvPicPr>
      <xdr:blipFill>
        <a:blip xmlns:r="http://schemas.openxmlformats.org/officeDocument/2006/relationships" r:embed="rId4"/>
        <a:stretch>
          <a:fillRect/>
        </a:stretch>
      </xdr:blipFill>
      <xdr:spPr>
        <a:xfrm>
          <a:off x="716943" y="636104"/>
          <a:ext cx="1168853" cy="688099"/>
        </a:xfrm>
        <a:prstGeom prst="rect">
          <a:avLst/>
        </a:prstGeom>
      </xdr:spPr>
    </xdr:pic>
    <xdr:clientData/>
  </xdr:twoCellAnchor>
  <xdr:twoCellAnchor editAs="oneCell">
    <xdr:from>
      <xdr:col>5</xdr:col>
      <xdr:colOff>318052</xdr:colOff>
      <xdr:row>4</xdr:row>
      <xdr:rowOff>73975</xdr:rowOff>
    </xdr:from>
    <xdr:to>
      <xdr:col>7</xdr:col>
      <xdr:colOff>397564</xdr:colOff>
      <xdr:row>6</xdr:row>
      <xdr:rowOff>109329</xdr:rowOff>
    </xdr:to>
    <xdr:pic>
      <xdr:nvPicPr>
        <xdr:cNvPr id="33" name="Picture 32">
          <a:extLst>
            <a:ext uri="{FF2B5EF4-FFF2-40B4-BE49-F238E27FC236}">
              <a16:creationId xmlns:a16="http://schemas.microsoft.com/office/drawing/2014/main" id="{7C1F17F9-FA04-2070-EA48-6231C8822CF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46852" y="805495"/>
          <a:ext cx="1298712" cy="401114"/>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5</xdr:col>
      <xdr:colOff>345551</xdr:colOff>
      <xdr:row>4</xdr:row>
      <xdr:rowOff>135173</xdr:rowOff>
    </xdr:from>
    <xdr:to>
      <xdr:col>6</xdr:col>
      <xdr:colOff>80507</xdr:colOff>
      <xdr:row>6</xdr:row>
      <xdr:rowOff>111318</xdr:rowOff>
    </xdr:to>
    <xdr:pic>
      <xdr:nvPicPr>
        <xdr:cNvPr id="35" name="Graphic 34" descr="Thermometer with solid fill">
          <a:extLst>
            <a:ext uri="{FF2B5EF4-FFF2-40B4-BE49-F238E27FC236}">
              <a16:creationId xmlns:a16="http://schemas.microsoft.com/office/drawing/2014/main" id="{AD45F73A-9C98-B0D0-34DB-935B9042071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74351" y="866693"/>
          <a:ext cx="344556" cy="341905"/>
        </a:xfrm>
        <a:prstGeom prst="rect">
          <a:avLst/>
        </a:prstGeom>
      </xdr:spPr>
    </xdr:pic>
    <xdr:clientData/>
  </xdr:twoCellAnchor>
  <xdr:twoCellAnchor>
    <xdr:from>
      <xdr:col>10</xdr:col>
      <xdr:colOff>0</xdr:colOff>
      <xdr:row>7</xdr:row>
      <xdr:rowOff>99060</xdr:rowOff>
    </xdr:from>
    <xdr:to>
      <xdr:col>17</xdr:col>
      <xdr:colOff>350520</xdr:colOff>
      <xdr:row>23</xdr:row>
      <xdr:rowOff>175260</xdr:rowOff>
    </xdr:to>
    <xdr:graphicFrame macro="">
      <xdr:nvGraphicFramePr>
        <xdr:cNvPr id="36" name="Chart 35">
          <a:extLst>
            <a:ext uri="{FF2B5EF4-FFF2-40B4-BE49-F238E27FC236}">
              <a16:creationId xmlns:a16="http://schemas.microsoft.com/office/drawing/2014/main" id="{CBA30AD6-A0F4-42E3-867A-2A81CE97C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281940</xdr:colOff>
      <xdr:row>3</xdr:row>
      <xdr:rowOff>114300</xdr:rowOff>
    </xdr:from>
    <xdr:to>
      <xdr:col>14</xdr:col>
      <xdr:colOff>266700</xdr:colOff>
      <xdr:row>6</xdr:row>
      <xdr:rowOff>83820</xdr:rowOff>
    </xdr:to>
    <xdr:sp macro="" textlink="">
      <xdr:nvSpPr>
        <xdr:cNvPr id="37" name="TextBox 36">
          <a:extLst>
            <a:ext uri="{FF2B5EF4-FFF2-40B4-BE49-F238E27FC236}">
              <a16:creationId xmlns:a16="http://schemas.microsoft.com/office/drawing/2014/main" id="{9AE798B7-393A-C4DC-198C-137983809EF3}"/>
            </a:ext>
          </a:extLst>
        </xdr:cNvPr>
        <xdr:cNvSpPr txBox="1"/>
      </xdr:nvSpPr>
      <xdr:spPr>
        <a:xfrm>
          <a:off x="5768340" y="662940"/>
          <a:ext cx="1813560" cy="5181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53383</a:t>
          </a:r>
        </a:p>
      </xdr:txBody>
    </xdr:sp>
    <xdr:clientData/>
  </xdr:twoCellAnchor>
  <xdr:twoCellAnchor editAs="oneCell">
    <xdr:from>
      <xdr:col>11</xdr:col>
      <xdr:colOff>190500</xdr:colOff>
      <xdr:row>3</xdr:row>
      <xdr:rowOff>99060</xdr:rowOff>
    </xdr:from>
    <xdr:to>
      <xdr:col>12</xdr:col>
      <xdr:colOff>76200</xdr:colOff>
      <xdr:row>6</xdr:row>
      <xdr:rowOff>45720</xdr:rowOff>
    </xdr:to>
    <xdr:pic>
      <xdr:nvPicPr>
        <xdr:cNvPr id="39" name="Graphic 38" descr="Employee badge with solid fill">
          <a:extLst>
            <a:ext uri="{FF2B5EF4-FFF2-40B4-BE49-F238E27FC236}">
              <a16:creationId xmlns:a16="http://schemas.microsoft.com/office/drawing/2014/main" id="{E32B2657-3432-7020-F78A-D8DA0EC55C8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76900" y="647700"/>
          <a:ext cx="495300" cy="495300"/>
        </a:xfrm>
        <a:prstGeom prst="rect">
          <a:avLst/>
        </a:prstGeom>
      </xdr:spPr>
    </xdr:pic>
    <xdr:clientData/>
  </xdr:twoCellAnchor>
  <xdr:twoCellAnchor>
    <xdr:from>
      <xdr:col>14</xdr:col>
      <xdr:colOff>259080</xdr:colOff>
      <xdr:row>4</xdr:row>
      <xdr:rowOff>0</xdr:rowOff>
    </xdr:from>
    <xdr:to>
      <xdr:col>17</xdr:col>
      <xdr:colOff>160020</xdr:colOff>
      <xdr:row>6</xdr:row>
      <xdr:rowOff>152400</xdr:rowOff>
    </xdr:to>
    <xdr:sp macro="" textlink="">
      <xdr:nvSpPr>
        <xdr:cNvPr id="41" name="TextBox 40">
          <a:extLst>
            <a:ext uri="{FF2B5EF4-FFF2-40B4-BE49-F238E27FC236}">
              <a16:creationId xmlns:a16="http://schemas.microsoft.com/office/drawing/2014/main" id="{F7F9BC06-080F-42CF-881E-9D224E4404B5}"/>
            </a:ext>
          </a:extLst>
        </xdr:cNvPr>
        <xdr:cNvSpPr txBox="1"/>
      </xdr:nvSpPr>
      <xdr:spPr>
        <a:xfrm>
          <a:off x="7574280" y="731520"/>
          <a:ext cx="1813560" cy="51816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4921</a:t>
          </a:r>
        </a:p>
      </xdr:txBody>
    </xdr:sp>
    <xdr:clientData/>
  </xdr:twoCellAnchor>
  <xdr:twoCellAnchor editAs="oneCell">
    <xdr:from>
      <xdr:col>14</xdr:col>
      <xdr:colOff>251460</xdr:colOff>
      <xdr:row>3</xdr:row>
      <xdr:rowOff>175260</xdr:rowOff>
    </xdr:from>
    <xdr:to>
      <xdr:col>15</xdr:col>
      <xdr:colOff>167640</xdr:colOff>
      <xdr:row>6</xdr:row>
      <xdr:rowOff>152400</xdr:rowOff>
    </xdr:to>
    <xdr:pic>
      <xdr:nvPicPr>
        <xdr:cNvPr id="43" name="Graphic 42" descr="Handshake with solid fill">
          <a:extLst>
            <a:ext uri="{FF2B5EF4-FFF2-40B4-BE49-F238E27FC236}">
              <a16:creationId xmlns:a16="http://schemas.microsoft.com/office/drawing/2014/main" id="{04AD8DCB-6CC0-AAD0-F4C3-EE2986C949C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566660" y="723900"/>
          <a:ext cx="525780" cy="525780"/>
        </a:xfrm>
        <a:prstGeom prst="rect">
          <a:avLst/>
        </a:prstGeom>
      </xdr:spPr>
    </xdr:pic>
    <xdr:clientData/>
  </xdr:twoCellAnchor>
  <xdr:twoCellAnchor>
    <xdr:from>
      <xdr:col>2</xdr:col>
      <xdr:colOff>167640</xdr:colOff>
      <xdr:row>25</xdr:row>
      <xdr:rowOff>22860</xdr:rowOff>
    </xdr:from>
    <xdr:to>
      <xdr:col>9</xdr:col>
      <xdr:colOff>472440</xdr:colOff>
      <xdr:row>40</xdr:row>
      <xdr:rowOff>22860</xdr:rowOff>
    </xdr:to>
    <xdr:graphicFrame macro="">
      <xdr:nvGraphicFramePr>
        <xdr:cNvPr id="45" name="Chart 44">
          <a:extLst>
            <a:ext uri="{FF2B5EF4-FFF2-40B4-BE49-F238E27FC236}">
              <a16:creationId xmlns:a16="http://schemas.microsoft.com/office/drawing/2014/main" id="{02802B53-FD03-4B0C-B658-4D27316DD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586740</xdr:colOff>
      <xdr:row>24</xdr:row>
      <xdr:rowOff>129540</xdr:rowOff>
    </xdr:from>
    <xdr:to>
      <xdr:col>17</xdr:col>
      <xdr:colOff>198120</xdr:colOff>
      <xdr:row>39</xdr:row>
      <xdr:rowOff>129540</xdr:rowOff>
    </xdr:to>
    <xdr:graphicFrame macro="">
      <xdr:nvGraphicFramePr>
        <xdr:cNvPr id="46" name="Chart 45">
          <a:extLst>
            <a:ext uri="{FF2B5EF4-FFF2-40B4-BE49-F238E27FC236}">
              <a16:creationId xmlns:a16="http://schemas.microsoft.com/office/drawing/2014/main" id="{1A0C0DC3-0065-4EE8-BEC9-B0A861C7F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205740</xdr:colOff>
      <xdr:row>40</xdr:row>
      <xdr:rowOff>99060</xdr:rowOff>
    </xdr:from>
    <xdr:to>
      <xdr:col>10</xdr:col>
      <xdr:colOff>406400</xdr:colOff>
      <xdr:row>58</xdr:row>
      <xdr:rowOff>177800</xdr:rowOff>
    </xdr:to>
    <xdr:graphicFrame macro="">
      <xdr:nvGraphicFramePr>
        <xdr:cNvPr id="2" name="Chart 1">
          <a:extLst>
            <a:ext uri="{FF2B5EF4-FFF2-40B4-BE49-F238E27FC236}">
              <a16:creationId xmlns:a16="http://schemas.microsoft.com/office/drawing/2014/main" id="{88B9F7A8-F3A7-4B8C-B4A0-8B3D2E5F7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403860</xdr:colOff>
      <xdr:row>42</xdr:row>
      <xdr:rowOff>8467</xdr:rowOff>
    </xdr:from>
    <xdr:to>
      <xdr:col>18</xdr:col>
      <xdr:colOff>15240</xdr:colOff>
      <xdr:row>57</xdr:row>
      <xdr:rowOff>8467</xdr:rowOff>
    </xdr:to>
    <xdr:graphicFrame macro="">
      <xdr:nvGraphicFramePr>
        <xdr:cNvPr id="3" name="Chart 2">
          <a:extLst>
            <a:ext uri="{FF2B5EF4-FFF2-40B4-BE49-F238E27FC236}">
              <a16:creationId xmlns:a16="http://schemas.microsoft.com/office/drawing/2014/main" id="{BF76A227-B5D4-4FA2-9C69-DB7793D0C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182880</xdr:colOff>
      <xdr:row>59</xdr:row>
      <xdr:rowOff>83820</xdr:rowOff>
    </xdr:from>
    <xdr:to>
      <xdr:col>9</xdr:col>
      <xdr:colOff>487680</xdr:colOff>
      <xdr:row>74</xdr:row>
      <xdr:rowOff>83820</xdr:rowOff>
    </xdr:to>
    <xdr:graphicFrame macro="">
      <xdr:nvGraphicFramePr>
        <xdr:cNvPr id="4" name="Chart 3">
          <a:extLst>
            <a:ext uri="{FF2B5EF4-FFF2-40B4-BE49-F238E27FC236}">
              <a16:creationId xmlns:a16="http://schemas.microsoft.com/office/drawing/2014/main" id="{91635B58-FC2C-4C49-9A31-5B8747A81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0</xdr:colOff>
      <xdr:row>60</xdr:row>
      <xdr:rowOff>0</xdr:rowOff>
    </xdr:from>
    <xdr:to>
      <xdr:col>17</xdr:col>
      <xdr:colOff>220980</xdr:colOff>
      <xdr:row>75</xdr:row>
      <xdr:rowOff>39757</xdr:rowOff>
    </xdr:to>
    <xdr:graphicFrame macro="">
      <xdr:nvGraphicFramePr>
        <xdr:cNvPr id="10" name="Chart 9">
          <a:extLst>
            <a:ext uri="{FF2B5EF4-FFF2-40B4-BE49-F238E27FC236}">
              <a16:creationId xmlns:a16="http://schemas.microsoft.com/office/drawing/2014/main" id="{296552D5-D3AB-4A17-95DF-BAAB7A49F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198120</xdr:colOff>
      <xdr:row>76</xdr:row>
      <xdr:rowOff>106680</xdr:rowOff>
    </xdr:from>
    <xdr:to>
      <xdr:col>9</xdr:col>
      <xdr:colOff>502920</xdr:colOff>
      <xdr:row>91</xdr:row>
      <xdr:rowOff>106680</xdr:rowOff>
    </xdr:to>
    <xdr:graphicFrame macro="">
      <xdr:nvGraphicFramePr>
        <xdr:cNvPr id="11" name="Chart 10">
          <a:extLst>
            <a:ext uri="{FF2B5EF4-FFF2-40B4-BE49-F238E27FC236}">
              <a16:creationId xmlns:a16="http://schemas.microsoft.com/office/drawing/2014/main" id="{72AD6A10-80EA-4148-BC0C-82185442D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vinder Singh" refreshedDate="46029.926957175929" createdVersion="8" refreshedVersion="8" minRefreshableVersion="3" recordCount="1000" xr:uid="{EB39559E-8FE6-4570-9FB6-787EF923262B}">
  <cacheSource type="worksheet">
    <worksheetSource name="Append1"/>
  </cacheSource>
  <cacheFields count="18">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ount="1">
        <s v="winter"/>
      </sharedItems>
    </cacheField>
    <cacheField name="mnth" numFmtId="0">
      <sharedItems count="2">
        <s v="JANUARY"/>
        <s v="FEBRUARY"/>
      </sharedItems>
    </cacheField>
    <cacheField name="hr" numFmtId="0">
      <sharedItems containsSemiMixedTypes="0" containsString="0" containsNumber="1" containsInteger="1" minValue="0" maxValue="23"/>
    </cacheField>
    <cacheField name="holiday" numFmtId="0">
      <sharedItems count="2">
        <s v="NO"/>
        <s v="YES"/>
      </sharedItems>
    </cacheField>
    <cacheField name="weekday" numFmtId="0">
      <sharedItems count="7">
        <s v="Saturday"/>
        <s v="Sunday"/>
        <s v="Monday"/>
        <s v="Tuesday"/>
        <s v="Wednesday"/>
        <s v="Thursday"/>
        <s v="Friday"/>
      </sharedItems>
    </cacheField>
    <cacheField name="Column1" numFmtId="0">
      <sharedItems count="4">
        <s v="Morning"/>
        <s v="Afternoon"/>
        <s v="Evening"/>
        <s v="Unknown"/>
      </sharedItems>
    </cacheField>
    <cacheField name="TEMPERATURE" numFmtId="165">
      <sharedItems containsSemiMixedTypes="0" containsString="0" containsNumber="1" minValue="0.82000000000000006" maxValue="18.86"/>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9">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vinder Singh" refreshedDate="46041.825564699073" createdVersion="8" refreshedVersion="8" minRefreshableVersion="3" recordCount="1000" xr:uid="{CBF42F30-F244-4B93-8E29-53FA4777E58B}">
  <cacheSource type="worksheet">
    <worksheetSource name="Append1"/>
  </cacheSource>
  <cacheFields count="14">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acheField>
    <cacheField name="mnth" numFmtId="0">
      <sharedItems/>
    </cacheField>
    <cacheField name="hr" numFmtId="0">
      <sharedItems containsSemiMixedTypes="0" containsString="0" containsNumber="1" containsInteger="1" minValue="0" maxValue="23"/>
    </cacheField>
    <cacheField name="holiday" numFmtId="0">
      <sharedItems count="2">
        <s v="NO"/>
        <s v="YES"/>
      </sharedItems>
    </cacheField>
    <cacheField name="weekday" numFmtId="0">
      <sharedItems count="7">
        <s v="Saturday"/>
        <s v="Sunday"/>
        <s v="Monday"/>
        <s v="Tuesday"/>
        <s v="Wednesday"/>
        <s v="Thursday"/>
        <s v="Friday"/>
      </sharedItems>
    </cacheField>
    <cacheField name="Weather" numFmtId="0">
      <sharedItems count="4">
        <s v="Clear Sky"/>
        <s v="Mist"/>
        <s v="Dark Cloud"/>
        <s v="Heavy Rainfall"/>
      </sharedItems>
    </cacheField>
    <cacheField name="TEMPERATURE" numFmtId="165">
      <sharedItems containsSemiMixedTypes="0" containsString="0" containsNumber="1" minValue="0.82000000000000006" maxValue="18.86"/>
    </cacheField>
    <cacheField name="hum" numFmtId="9">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vinder Singh" refreshedDate="46041.827288310182" createdVersion="8" refreshedVersion="8" minRefreshableVersion="3" recordCount="1000" xr:uid="{192033BF-149C-43CA-8B02-CEFD329E9B08}">
  <cacheSource type="worksheet">
    <worksheetSource name="Append1"/>
  </cacheSource>
  <cacheFields count="14">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acheField>
    <cacheField name="mnth" numFmtId="0">
      <sharedItems/>
    </cacheField>
    <cacheField name="hr" numFmtId="0">
      <sharedItems containsSemiMixedTypes="0" containsString="0" containsNumber="1" containsInteger="1" minValue="0" maxValue="23"/>
    </cacheField>
    <cacheField name="holiday" numFmtId="0">
      <sharedItems/>
    </cacheField>
    <cacheField name="weekday" numFmtId="0">
      <sharedItems count="7">
        <s v="Saturday"/>
        <s v="Sunday"/>
        <s v="Monday"/>
        <s v="Tuesday"/>
        <s v="Wednesday"/>
        <s v="Thursday"/>
        <s v="Friday"/>
      </sharedItems>
    </cacheField>
    <cacheField name="Weather" numFmtId="0">
      <sharedItems/>
    </cacheField>
    <cacheField name="TEMPERATURE" numFmtId="165">
      <sharedItems containsSemiMixedTypes="0" containsString="0" containsNumber="1" minValue="0.82000000000000006" maxValue="18.86"/>
    </cacheField>
    <cacheField name="hum" numFmtId="9">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vinder Singh" refreshedDate="46041.883454976851" createdVersion="8" refreshedVersion="8" minRefreshableVersion="3" recordCount="1000" xr:uid="{E40023C1-BA98-4913-B7B6-577DD0B69AF2}">
  <cacheSource type="worksheet">
    <worksheetSource name="Append1[Weather]"/>
  </cacheSource>
  <cacheFields count="1">
    <cacheField name="Weather" numFmtId="0">
      <sharedItems count="4">
        <s v="Clear Sky"/>
        <s v="Mist"/>
        <s v="Dark Cloud"/>
        <s v="Heavy Rainfal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0"/>
    <x v="0"/>
    <x v="0"/>
    <x v="0"/>
    <n v="9.84"/>
    <n v="0.24"/>
    <n v="0.28789999999999999"/>
    <n v="0.81"/>
    <n v="0"/>
    <n v="3"/>
    <n v="13"/>
    <n v="16"/>
  </r>
  <r>
    <n v="2"/>
    <x v="0"/>
    <x v="0"/>
    <x v="0"/>
    <n v="1"/>
    <x v="0"/>
    <x v="0"/>
    <x v="0"/>
    <n v="9.02"/>
    <n v="0.22"/>
    <n v="0.2727"/>
    <n v="0.8"/>
    <n v="0"/>
    <n v="8"/>
    <n v="32"/>
    <n v="40"/>
  </r>
  <r>
    <n v="3"/>
    <x v="0"/>
    <x v="0"/>
    <x v="0"/>
    <n v="2"/>
    <x v="0"/>
    <x v="0"/>
    <x v="0"/>
    <n v="9.02"/>
    <n v="0.22"/>
    <n v="0.2727"/>
    <n v="0.8"/>
    <n v="0"/>
    <n v="5"/>
    <n v="27"/>
    <n v="32"/>
  </r>
  <r>
    <n v="4"/>
    <x v="0"/>
    <x v="0"/>
    <x v="0"/>
    <n v="3"/>
    <x v="0"/>
    <x v="0"/>
    <x v="0"/>
    <n v="9.84"/>
    <n v="0.24"/>
    <n v="0.28789999999999999"/>
    <n v="0.75"/>
    <n v="0"/>
    <n v="3"/>
    <n v="10"/>
    <n v="13"/>
  </r>
  <r>
    <n v="5"/>
    <x v="0"/>
    <x v="0"/>
    <x v="0"/>
    <n v="4"/>
    <x v="0"/>
    <x v="0"/>
    <x v="0"/>
    <n v="9.84"/>
    <n v="0.24"/>
    <n v="0.28789999999999999"/>
    <n v="0.75"/>
    <n v="0"/>
    <n v="0"/>
    <n v="1"/>
    <n v="1"/>
  </r>
  <r>
    <n v="6"/>
    <x v="0"/>
    <x v="0"/>
    <x v="0"/>
    <n v="5"/>
    <x v="0"/>
    <x v="0"/>
    <x v="1"/>
    <n v="9.84"/>
    <n v="0.24"/>
    <n v="0.2576"/>
    <n v="0.75"/>
    <n v="8.9599999999999999E-2"/>
    <n v="0"/>
    <n v="1"/>
    <n v="1"/>
  </r>
  <r>
    <n v="7"/>
    <x v="0"/>
    <x v="0"/>
    <x v="0"/>
    <n v="6"/>
    <x v="0"/>
    <x v="0"/>
    <x v="0"/>
    <n v="9.02"/>
    <n v="0.22"/>
    <n v="0.2727"/>
    <n v="0.8"/>
    <n v="0"/>
    <n v="2"/>
    <n v="0"/>
    <n v="2"/>
  </r>
  <r>
    <n v="8"/>
    <x v="0"/>
    <x v="0"/>
    <x v="0"/>
    <n v="7"/>
    <x v="0"/>
    <x v="0"/>
    <x v="0"/>
    <n v="8.2000000000000011"/>
    <n v="0.2"/>
    <n v="0.2576"/>
    <n v="0.86"/>
    <n v="0"/>
    <n v="1"/>
    <n v="2"/>
    <n v="3"/>
  </r>
  <r>
    <n v="9"/>
    <x v="0"/>
    <x v="0"/>
    <x v="0"/>
    <n v="8"/>
    <x v="0"/>
    <x v="0"/>
    <x v="0"/>
    <n v="9.84"/>
    <n v="0.24"/>
    <m/>
    <n v="0.75"/>
    <n v="0"/>
    <n v="1"/>
    <n v="7"/>
    <n v="8"/>
  </r>
  <r>
    <n v="10"/>
    <x v="0"/>
    <x v="0"/>
    <x v="0"/>
    <n v="9"/>
    <x v="0"/>
    <x v="0"/>
    <x v="0"/>
    <n v="13.120000000000001"/>
    <n v="0.32"/>
    <n v="0.34849999999999998"/>
    <n v="0.76"/>
    <n v="0"/>
    <n v="8"/>
    <n v="6"/>
    <n v="14"/>
  </r>
  <r>
    <n v="11"/>
    <x v="0"/>
    <x v="0"/>
    <x v="0"/>
    <n v="10"/>
    <x v="0"/>
    <x v="0"/>
    <x v="0"/>
    <n v="15.58"/>
    <n v="0.38"/>
    <n v="0.39389999999999997"/>
    <n v="0.76"/>
    <n v="0.25369999999999998"/>
    <n v="12"/>
    <n v="24"/>
    <n v="36"/>
  </r>
  <r>
    <n v="12"/>
    <x v="0"/>
    <x v="0"/>
    <x v="0"/>
    <n v="11"/>
    <x v="0"/>
    <x v="0"/>
    <x v="0"/>
    <n v="14.76"/>
    <n v="0.36"/>
    <n v="0.33329999999999999"/>
    <n v="0.81"/>
    <n v="0.28360000000000002"/>
    <n v="26"/>
    <n v="30"/>
    <n v="56"/>
  </r>
  <r>
    <n v="13"/>
    <x v="0"/>
    <x v="0"/>
    <x v="0"/>
    <n v="12"/>
    <x v="0"/>
    <x v="0"/>
    <x v="0"/>
    <n v="17.22"/>
    <n v="0.42"/>
    <n v="0.42420000000000002"/>
    <n v="0.77"/>
    <n v="0.28360000000000002"/>
    <n v="29"/>
    <n v="55"/>
    <n v="84"/>
  </r>
  <r>
    <n v="14"/>
    <x v="0"/>
    <x v="0"/>
    <x v="0"/>
    <n v="13"/>
    <x v="0"/>
    <x v="0"/>
    <x v="1"/>
    <n v="18.86"/>
    <n v="0.46"/>
    <n v="0.45450000000000002"/>
    <n v="0.72"/>
    <n v="0.29849999999999999"/>
    <n v="47"/>
    <n v="47"/>
    <n v="94"/>
  </r>
  <r>
    <n v="15"/>
    <x v="0"/>
    <x v="0"/>
    <x v="0"/>
    <n v="14"/>
    <x v="0"/>
    <x v="0"/>
    <x v="1"/>
    <n v="18.86"/>
    <n v="0.46"/>
    <n v="0.45450000000000002"/>
    <n v="0.72"/>
    <n v="0.28360000000000002"/>
    <n v="35"/>
    <n v="71"/>
    <n v="106"/>
  </r>
  <r>
    <n v="16"/>
    <x v="0"/>
    <x v="0"/>
    <x v="0"/>
    <n v="15"/>
    <x v="0"/>
    <x v="0"/>
    <x v="1"/>
    <n v="18.04"/>
    <n v="0.44"/>
    <n v="0.43940000000000001"/>
    <n v="0.77"/>
    <n v="0.29849999999999999"/>
    <n v="40"/>
    <n v="70"/>
    <n v="110"/>
  </r>
  <r>
    <n v="17"/>
    <x v="0"/>
    <x v="0"/>
    <x v="0"/>
    <n v="16"/>
    <x v="0"/>
    <x v="0"/>
    <x v="1"/>
    <n v="17.22"/>
    <n v="0.42"/>
    <n v="0.42420000000000002"/>
    <n v="0.82"/>
    <n v="0.29849999999999999"/>
    <n v="41"/>
    <n v="52"/>
    <n v="93"/>
  </r>
  <r>
    <n v="18"/>
    <x v="0"/>
    <x v="0"/>
    <x v="0"/>
    <n v="17"/>
    <x v="0"/>
    <x v="0"/>
    <x v="1"/>
    <n v="18.04"/>
    <n v="0.44"/>
    <m/>
    <n v="0.82"/>
    <n v="0.28360000000000002"/>
    <n v="15"/>
    <n v="52"/>
    <n v="67"/>
  </r>
  <r>
    <n v="19"/>
    <x v="0"/>
    <x v="0"/>
    <x v="0"/>
    <n v="18"/>
    <x v="0"/>
    <x v="0"/>
    <x v="2"/>
    <n v="17.22"/>
    <n v="0.42"/>
    <n v="0.42420000000000002"/>
    <n v="0.88"/>
    <n v="0.25369999999999998"/>
    <n v="9"/>
    <n v="26"/>
    <n v="35"/>
  </r>
  <r>
    <n v="20"/>
    <x v="0"/>
    <x v="0"/>
    <x v="0"/>
    <n v="19"/>
    <x v="0"/>
    <x v="0"/>
    <x v="2"/>
    <n v="17.22"/>
    <n v="0.42"/>
    <n v="0.42420000000000002"/>
    <n v="0.88"/>
    <n v="0.25369999999999998"/>
    <n v="6"/>
    <n v="31"/>
    <n v="37"/>
  </r>
  <r>
    <n v="21"/>
    <x v="0"/>
    <x v="0"/>
    <x v="0"/>
    <n v="20"/>
    <x v="0"/>
    <x v="0"/>
    <x v="1"/>
    <n v="16.400000000000002"/>
    <n v="0.4"/>
    <n v="0.40910000000000002"/>
    <n v="0.87"/>
    <n v="0.25369999999999998"/>
    <n v="11"/>
    <n v="25"/>
    <n v="36"/>
  </r>
  <r>
    <n v="22"/>
    <x v="0"/>
    <x v="0"/>
    <x v="0"/>
    <n v="21"/>
    <x v="0"/>
    <x v="0"/>
    <x v="1"/>
    <n v="16.400000000000002"/>
    <n v="0.4"/>
    <n v="0.40910000000000002"/>
    <n v="0.87"/>
    <n v="0.19400000000000001"/>
    <n v="3"/>
    <n v="31"/>
    <n v="34"/>
  </r>
  <r>
    <n v="23"/>
    <x v="0"/>
    <x v="0"/>
    <x v="0"/>
    <n v="22"/>
    <x v="0"/>
    <x v="0"/>
    <x v="1"/>
    <n v="16.400000000000002"/>
    <n v="0.4"/>
    <n v="0.40910000000000002"/>
    <n v="0.94"/>
    <n v="0.22389999999999999"/>
    <n v="11"/>
    <n v="17"/>
    <n v="28"/>
  </r>
  <r>
    <n v="24"/>
    <x v="0"/>
    <x v="0"/>
    <x v="0"/>
    <n v="23"/>
    <x v="0"/>
    <x v="0"/>
    <x v="1"/>
    <n v="18.86"/>
    <n v="0.46"/>
    <m/>
    <n v="0.88"/>
    <n v="0.29849999999999999"/>
    <n v="15"/>
    <n v="24"/>
    <n v="39"/>
  </r>
  <r>
    <n v="25"/>
    <x v="1"/>
    <x v="0"/>
    <x v="0"/>
    <n v="0"/>
    <x v="0"/>
    <x v="1"/>
    <x v="1"/>
    <n v="18.86"/>
    <n v="0.46"/>
    <n v="0.45450000000000002"/>
    <n v="0.88"/>
    <n v="0.29849999999999999"/>
    <n v="4"/>
    <n v="13"/>
    <n v="17"/>
  </r>
  <r>
    <n v="26"/>
    <x v="1"/>
    <x v="0"/>
    <x v="0"/>
    <n v="1"/>
    <x v="0"/>
    <x v="1"/>
    <x v="1"/>
    <n v="18.04"/>
    <n v="0.44"/>
    <n v="0.43940000000000001"/>
    <n v="0.94"/>
    <n v="0.25369999999999998"/>
    <n v="1"/>
    <n v="16"/>
    <n v="17"/>
  </r>
  <r>
    <n v="27"/>
    <x v="1"/>
    <x v="0"/>
    <x v="0"/>
    <n v="2"/>
    <x v="0"/>
    <x v="1"/>
    <x v="1"/>
    <n v="17.22"/>
    <n v="0.42"/>
    <n v="0.42420000000000002"/>
    <n v="1"/>
    <n v="0.28360000000000002"/>
    <n v="1"/>
    <n v="8"/>
    <n v="9"/>
  </r>
  <r>
    <n v="28"/>
    <x v="1"/>
    <x v="0"/>
    <x v="0"/>
    <n v="3"/>
    <x v="0"/>
    <x v="1"/>
    <x v="1"/>
    <n v="18.86"/>
    <n v="0.46"/>
    <n v="0.45450000000000002"/>
    <n v="0.94"/>
    <n v="0.19400000000000001"/>
    <n v="2"/>
    <n v="4"/>
    <n v="6"/>
  </r>
  <r>
    <n v="29"/>
    <x v="1"/>
    <x v="0"/>
    <x v="0"/>
    <n v="4"/>
    <x v="0"/>
    <x v="1"/>
    <x v="1"/>
    <n v="18.86"/>
    <n v="0.46"/>
    <m/>
    <n v="0.94"/>
    <n v="0.19400000000000001"/>
    <n v="2"/>
    <n v="1"/>
    <n v="3"/>
  </r>
  <r>
    <n v="30"/>
    <x v="1"/>
    <x v="0"/>
    <x v="0"/>
    <n v="6"/>
    <x v="0"/>
    <x v="1"/>
    <x v="2"/>
    <n v="17.22"/>
    <n v="0.42"/>
    <n v="0.42420000000000002"/>
    <n v="0.77"/>
    <n v="0.29849999999999999"/>
    <n v="0"/>
    <n v="2"/>
    <n v="2"/>
  </r>
  <r>
    <n v="31"/>
    <x v="1"/>
    <x v="0"/>
    <x v="0"/>
    <n v="7"/>
    <x v="0"/>
    <x v="1"/>
    <x v="1"/>
    <n v="16.400000000000002"/>
    <n v="0.4"/>
    <n v="0.40910000000000002"/>
    <n v="0.76"/>
    <n v="0.19400000000000001"/>
    <n v="0"/>
    <n v="1"/>
    <n v="1"/>
  </r>
  <r>
    <n v="32"/>
    <x v="1"/>
    <x v="0"/>
    <x v="0"/>
    <n v="8"/>
    <x v="0"/>
    <x v="1"/>
    <x v="2"/>
    <n v="16.400000000000002"/>
    <n v="0.4"/>
    <n v="0.40910000000000002"/>
    <n v="0.71"/>
    <n v="0.22389999999999999"/>
    <n v="0"/>
    <n v="8"/>
    <n v="8"/>
  </r>
  <r>
    <n v="33"/>
    <x v="1"/>
    <x v="0"/>
    <x v="0"/>
    <n v="9"/>
    <x v="0"/>
    <x v="1"/>
    <x v="1"/>
    <n v="15.58"/>
    <n v="0.38"/>
    <m/>
    <n v="0.76"/>
    <n v="0.22389999999999999"/>
    <n v="1"/>
    <n v="19"/>
    <n v="20"/>
  </r>
  <r>
    <n v="34"/>
    <x v="1"/>
    <x v="0"/>
    <x v="0"/>
    <n v="10"/>
    <x v="0"/>
    <x v="1"/>
    <x v="1"/>
    <n v="14.76"/>
    <n v="0.36"/>
    <n v="0.34849999999999998"/>
    <n v="0.81"/>
    <n v="0.22389999999999999"/>
    <n v="7"/>
    <n v="46"/>
    <n v="53"/>
  </r>
  <r>
    <n v="35"/>
    <x v="1"/>
    <x v="0"/>
    <x v="0"/>
    <n v="11"/>
    <x v="0"/>
    <x v="1"/>
    <x v="1"/>
    <n v="14.76"/>
    <n v="0.36"/>
    <n v="0.33329999999999999"/>
    <n v="0.71"/>
    <n v="0.25369999999999998"/>
    <n v="16"/>
    <n v="54"/>
    <n v="70"/>
  </r>
  <r>
    <n v="36"/>
    <x v="1"/>
    <x v="0"/>
    <x v="0"/>
    <n v="12"/>
    <x v="0"/>
    <x v="1"/>
    <x v="1"/>
    <n v="14.76"/>
    <n v="0.36"/>
    <n v="0.33329999999999999"/>
    <n v="0.66"/>
    <n v="0.29849999999999999"/>
    <n v="20"/>
    <n v="73"/>
    <n v="93"/>
  </r>
  <r>
    <n v="37"/>
    <x v="1"/>
    <x v="0"/>
    <x v="0"/>
    <n v="13"/>
    <x v="0"/>
    <x v="1"/>
    <x v="1"/>
    <n v="14.76"/>
    <n v="0.36"/>
    <n v="0.34849999999999998"/>
    <n v="0.66"/>
    <n v="0.1343"/>
    <n v="11"/>
    <n v="64"/>
    <n v="75"/>
  </r>
  <r>
    <n v="38"/>
    <x v="1"/>
    <x v="0"/>
    <x v="0"/>
    <n v="14"/>
    <x v="0"/>
    <x v="1"/>
    <x v="2"/>
    <n v="14.76"/>
    <n v="0.36"/>
    <m/>
    <n v="0.76"/>
    <n v="0.19400000000000001"/>
    <n v="4"/>
    <n v="55"/>
    <n v="59"/>
  </r>
  <r>
    <n v="39"/>
    <x v="1"/>
    <x v="0"/>
    <x v="0"/>
    <n v="15"/>
    <x v="0"/>
    <x v="1"/>
    <x v="2"/>
    <n v="13.940000000000001"/>
    <n v="0.34"/>
    <n v="0.33329999999999999"/>
    <n v="0.81"/>
    <n v="0.16420000000000001"/>
    <n v="19"/>
    <n v="55"/>
    <n v="74"/>
  </r>
  <r>
    <n v="40"/>
    <x v="1"/>
    <x v="0"/>
    <x v="0"/>
    <n v="16"/>
    <x v="0"/>
    <x v="1"/>
    <x v="2"/>
    <n v="13.940000000000001"/>
    <n v="0.34"/>
    <n v="0.33329999999999999"/>
    <n v="0.71"/>
    <n v="0.16420000000000001"/>
    <n v="9"/>
    <n v="67"/>
    <n v="76"/>
  </r>
  <r>
    <n v="41"/>
    <x v="1"/>
    <x v="0"/>
    <x v="0"/>
    <n v="17"/>
    <x v="0"/>
    <x v="1"/>
    <x v="0"/>
    <n v="13.940000000000001"/>
    <n v="0.34"/>
    <n v="0.33329999999999999"/>
    <n v="0.56999999999999995"/>
    <n v="0.19400000000000001"/>
    <n v="7"/>
    <n v="58"/>
    <n v="65"/>
  </r>
  <r>
    <n v="42"/>
    <x v="1"/>
    <x v="0"/>
    <x v="0"/>
    <n v="18"/>
    <x v="0"/>
    <x v="1"/>
    <x v="1"/>
    <n v="14.76"/>
    <n v="0.36"/>
    <n v="0.33329999999999999"/>
    <n v="0.46"/>
    <n v="0.32840000000000003"/>
    <n v="10"/>
    <n v="43"/>
    <n v="53"/>
  </r>
  <r>
    <n v="43"/>
    <x v="1"/>
    <x v="0"/>
    <x v="0"/>
    <n v="19"/>
    <x v="0"/>
    <x v="1"/>
    <x v="0"/>
    <n v="13.120000000000001"/>
    <n v="0.32"/>
    <n v="0.28789999999999999"/>
    <n v="0.42"/>
    <n v="0.44779999999999998"/>
    <n v="1"/>
    <n v="29"/>
    <n v="30"/>
  </r>
  <r>
    <n v="44"/>
    <x v="1"/>
    <x v="0"/>
    <x v="0"/>
    <n v="20"/>
    <x v="0"/>
    <x v="1"/>
    <x v="0"/>
    <n v="12.299999999999999"/>
    <n v="0.3"/>
    <m/>
    <n v="0.39"/>
    <n v="0.35820000000000002"/>
    <n v="5"/>
    <n v="17"/>
    <n v="22"/>
  </r>
  <r>
    <n v="45"/>
    <x v="1"/>
    <x v="0"/>
    <x v="0"/>
    <n v="21"/>
    <x v="0"/>
    <x v="1"/>
    <x v="0"/>
    <n v="10.66"/>
    <n v="0.26"/>
    <n v="0.2273"/>
    <n v="0.44"/>
    <n v="0.32840000000000003"/>
    <n v="11"/>
    <n v="20"/>
    <n v="31"/>
  </r>
  <r>
    <n v="46"/>
    <x v="1"/>
    <x v="0"/>
    <x v="0"/>
    <n v="22"/>
    <x v="0"/>
    <x v="1"/>
    <x v="0"/>
    <n v="9.84"/>
    <n v="0.24"/>
    <n v="0.21210000000000001"/>
    <n v="0.44"/>
    <n v="0.29849999999999999"/>
    <n v="0"/>
    <n v="9"/>
    <n v="9"/>
  </r>
  <r>
    <n v="47"/>
    <x v="1"/>
    <x v="0"/>
    <x v="0"/>
    <n v="23"/>
    <x v="0"/>
    <x v="1"/>
    <x v="0"/>
    <n v="9.02"/>
    <n v="0.22"/>
    <n v="0.2273"/>
    <n v="0.47"/>
    <n v="0.16420000000000001"/>
    <n v="0"/>
    <n v="8"/>
    <n v="8"/>
  </r>
  <r>
    <n v="48"/>
    <x v="2"/>
    <x v="0"/>
    <x v="0"/>
    <n v="0"/>
    <x v="0"/>
    <x v="2"/>
    <x v="0"/>
    <n v="9.02"/>
    <n v="0.22"/>
    <n v="0.19700000000000001"/>
    <n v="0.44"/>
    <n v="0.35820000000000002"/>
    <n v="0"/>
    <n v="5"/>
    <n v="5"/>
  </r>
  <r>
    <n v="49"/>
    <x v="2"/>
    <x v="0"/>
    <x v="0"/>
    <n v="1"/>
    <x v="0"/>
    <x v="2"/>
    <x v="0"/>
    <n v="8.2000000000000011"/>
    <n v="0.2"/>
    <m/>
    <n v="0.44"/>
    <n v="0.41789999999999999"/>
    <n v="0"/>
    <n v="2"/>
    <n v="2"/>
  </r>
  <r>
    <n v="50"/>
    <x v="2"/>
    <x v="0"/>
    <x v="0"/>
    <n v="4"/>
    <x v="0"/>
    <x v="2"/>
    <x v="0"/>
    <n v="6.5600000000000005"/>
    <n v="0.16"/>
    <n v="0.13639999999999999"/>
    <n v="0.47"/>
    <n v="0.3881"/>
    <n v="0"/>
    <n v="1"/>
    <n v="1"/>
  </r>
  <r>
    <n v="51"/>
    <x v="2"/>
    <x v="0"/>
    <x v="0"/>
    <n v="5"/>
    <x v="0"/>
    <x v="2"/>
    <x v="0"/>
    <n v="6.5600000000000005"/>
    <n v="0.16"/>
    <n v="0.13639999999999999"/>
    <n v="0.47"/>
    <n v="0.28360000000000002"/>
    <n v="0"/>
    <n v="3"/>
    <n v="3"/>
  </r>
  <r>
    <n v="52"/>
    <x v="2"/>
    <x v="0"/>
    <x v="0"/>
    <n v="6"/>
    <x v="0"/>
    <x v="2"/>
    <x v="0"/>
    <n v="5.74"/>
    <n v="0.14000000000000001"/>
    <n v="0.1061"/>
    <n v="0.5"/>
    <n v="0.3881"/>
    <n v="0"/>
    <n v="30"/>
    <n v="30"/>
  </r>
  <r>
    <n v="53"/>
    <x v="2"/>
    <x v="0"/>
    <x v="0"/>
    <n v="7"/>
    <x v="0"/>
    <x v="2"/>
    <x v="0"/>
    <n v="5.74"/>
    <n v="0.14000000000000001"/>
    <n v="0.13639999999999999"/>
    <n v="0.5"/>
    <n v="0.19400000000000001"/>
    <n v="1"/>
    <n v="63"/>
    <n v="64"/>
  </r>
  <r>
    <n v="54"/>
    <x v="2"/>
    <x v="0"/>
    <x v="0"/>
    <n v="8"/>
    <x v="0"/>
    <x v="2"/>
    <x v="0"/>
    <n v="5.74"/>
    <n v="0.14000000000000001"/>
    <n v="0.1212"/>
    <n v="0.5"/>
    <n v="0.28360000000000002"/>
    <n v="1"/>
    <n v="153"/>
    <n v="154"/>
  </r>
  <r>
    <n v="55"/>
    <x v="2"/>
    <x v="0"/>
    <x v="0"/>
    <n v="9"/>
    <x v="0"/>
    <x v="2"/>
    <x v="0"/>
    <n v="6.5600000000000005"/>
    <n v="0.16"/>
    <n v="0.13639999999999999"/>
    <n v="0.43"/>
    <n v="0.3881"/>
    <n v="7"/>
    <n v="81"/>
    <n v="88"/>
  </r>
  <r>
    <n v="56"/>
    <x v="2"/>
    <x v="0"/>
    <x v="0"/>
    <n v="10"/>
    <x v="0"/>
    <x v="2"/>
    <x v="0"/>
    <n v="7.38"/>
    <n v="0.18"/>
    <n v="0.16669999999999999"/>
    <n v="0.43"/>
    <n v="0.25369999999999998"/>
    <n v="11"/>
    <n v="33"/>
    <n v="44"/>
  </r>
  <r>
    <n v="57"/>
    <x v="2"/>
    <x v="0"/>
    <x v="0"/>
    <n v="11"/>
    <x v="0"/>
    <x v="2"/>
    <x v="0"/>
    <n v="8.2000000000000011"/>
    <n v="0.2"/>
    <n v="0.18179999999999999"/>
    <n v="0.4"/>
    <n v="0.32840000000000003"/>
    <n v="10"/>
    <n v="41"/>
    <n v="51"/>
  </r>
  <r>
    <n v="58"/>
    <x v="2"/>
    <x v="0"/>
    <x v="0"/>
    <n v="12"/>
    <x v="0"/>
    <x v="2"/>
    <x v="0"/>
    <n v="9.02"/>
    <n v="0.22"/>
    <n v="0.21210000000000001"/>
    <n v="0.35"/>
    <n v="0.29849999999999999"/>
    <n v="13"/>
    <n v="48"/>
    <n v="61"/>
  </r>
  <r>
    <n v="59"/>
    <x v="2"/>
    <x v="0"/>
    <x v="0"/>
    <n v="13"/>
    <x v="0"/>
    <x v="2"/>
    <x v="0"/>
    <n v="9.84"/>
    <n v="0.24"/>
    <m/>
    <n v="0.35"/>
    <n v="0.28360000000000002"/>
    <n v="8"/>
    <n v="53"/>
    <n v="61"/>
  </r>
  <r>
    <n v="60"/>
    <x v="2"/>
    <x v="0"/>
    <x v="0"/>
    <n v="14"/>
    <x v="0"/>
    <x v="2"/>
    <x v="0"/>
    <n v="10.66"/>
    <n v="0.26"/>
    <n v="0.2424"/>
    <n v="0.3"/>
    <n v="0.28360000000000002"/>
    <n v="11"/>
    <n v="66"/>
    <n v="77"/>
  </r>
  <r>
    <n v="61"/>
    <x v="2"/>
    <x v="0"/>
    <x v="0"/>
    <n v="15"/>
    <x v="0"/>
    <x v="2"/>
    <x v="0"/>
    <n v="10.66"/>
    <n v="0.26"/>
    <n v="0.2424"/>
    <n v="0.3"/>
    <n v="0.25369999999999998"/>
    <n v="14"/>
    <n v="58"/>
    <n v="72"/>
  </r>
  <r>
    <n v="62"/>
    <x v="2"/>
    <x v="0"/>
    <x v="0"/>
    <n v="16"/>
    <x v="0"/>
    <x v="2"/>
    <x v="0"/>
    <n v="10.66"/>
    <n v="0.26"/>
    <n v="0.2424"/>
    <n v="0.3"/>
    <n v="0.25369999999999998"/>
    <n v="9"/>
    <n v="67"/>
    <n v="76"/>
  </r>
  <r>
    <n v="63"/>
    <x v="2"/>
    <x v="0"/>
    <x v="0"/>
    <n v="17"/>
    <x v="0"/>
    <x v="2"/>
    <x v="0"/>
    <n v="9.84"/>
    <n v="0.24"/>
    <n v="0.2273"/>
    <n v="0.3"/>
    <n v="0.22389999999999999"/>
    <n v="11"/>
    <n v="146"/>
    <n v="157"/>
  </r>
  <r>
    <n v="64"/>
    <x v="2"/>
    <x v="0"/>
    <x v="0"/>
    <n v="18"/>
    <x v="0"/>
    <x v="2"/>
    <x v="0"/>
    <n v="9.84"/>
    <n v="0.24"/>
    <n v="0.2576"/>
    <n v="0.32"/>
    <n v="0.1045"/>
    <n v="9"/>
    <n v="148"/>
    <n v="157"/>
  </r>
  <r>
    <n v="65"/>
    <x v="2"/>
    <x v="0"/>
    <x v="0"/>
    <n v="19"/>
    <x v="0"/>
    <x v="2"/>
    <x v="0"/>
    <n v="8.2000000000000011"/>
    <n v="0.2"/>
    <n v="0.2576"/>
    <n v="0.47"/>
    <n v="0"/>
    <n v="8"/>
    <n v="102"/>
    <n v="110"/>
  </r>
  <r>
    <n v="66"/>
    <x v="2"/>
    <x v="0"/>
    <x v="0"/>
    <n v="20"/>
    <x v="0"/>
    <x v="2"/>
    <x v="0"/>
    <n v="8.2000000000000011"/>
    <n v="0.2"/>
    <m/>
    <n v="0.47"/>
    <n v="0.1045"/>
    <n v="3"/>
    <n v="49"/>
    <n v="52"/>
  </r>
  <r>
    <n v="67"/>
    <x v="2"/>
    <x v="0"/>
    <x v="0"/>
    <n v="21"/>
    <x v="0"/>
    <x v="2"/>
    <x v="0"/>
    <n v="7.38"/>
    <n v="0.18"/>
    <n v="0.19700000000000001"/>
    <n v="0.64"/>
    <n v="0.1343"/>
    <n v="3"/>
    <n v="49"/>
    <n v="52"/>
  </r>
  <r>
    <n v="68"/>
    <x v="2"/>
    <x v="0"/>
    <x v="0"/>
    <n v="22"/>
    <x v="0"/>
    <x v="2"/>
    <x v="0"/>
    <n v="5.74"/>
    <n v="0.14000000000000001"/>
    <n v="0.1515"/>
    <n v="0.69"/>
    <n v="0.1343"/>
    <n v="0"/>
    <n v="20"/>
    <n v="20"/>
  </r>
  <r>
    <n v="69"/>
    <x v="2"/>
    <x v="0"/>
    <x v="0"/>
    <n v="23"/>
    <x v="0"/>
    <x v="2"/>
    <x v="0"/>
    <n v="7.38"/>
    <n v="0.18"/>
    <n v="0.21210000000000001"/>
    <n v="0.55000000000000004"/>
    <n v="0.1045"/>
    <n v="1"/>
    <n v="11"/>
    <n v="12"/>
  </r>
  <r>
    <n v="70"/>
    <x v="3"/>
    <x v="0"/>
    <x v="0"/>
    <n v="0"/>
    <x v="0"/>
    <x v="3"/>
    <x v="0"/>
    <n v="6.5600000000000005"/>
    <n v="0.16"/>
    <m/>
    <n v="0.55000000000000004"/>
    <n v="0.1045"/>
    <n v="0"/>
    <n v="5"/>
    <n v="5"/>
  </r>
  <r>
    <n v="71"/>
    <x v="3"/>
    <x v="0"/>
    <x v="0"/>
    <n v="1"/>
    <x v="0"/>
    <x v="3"/>
    <x v="0"/>
    <n v="6.5600000000000005"/>
    <n v="0.16"/>
    <n v="0.18179999999999999"/>
    <n v="0.59"/>
    <n v="0.1045"/>
    <n v="0"/>
    <n v="2"/>
    <n v="2"/>
  </r>
  <r>
    <n v="72"/>
    <x v="3"/>
    <x v="0"/>
    <x v="0"/>
    <n v="2"/>
    <x v="0"/>
    <x v="3"/>
    <x v="0"/>
    <n v="5.74"/>
    <n v="0.14000000000000001"/>
    <n v="0.1515"/>
    <n v="0.63"/>
    <n v="0.1343"/>
    <n v="0"/>
    <n v="1"/>
    <n v="1"/>
  </r>
  <r>
    <n v="73"/>
    <x v="3"/>
    <x v="0"/>
    <x v="0"/>
    <n v="4"/>
    <x v="0"/>
    <x v="3"/>
    <x v="0"/>
    <n v="5.74"/>
    <n v="0.14000000000000001"/>
    <n v="0.18179999999999999"/>
    <n v="0.63"/>
    <n v="8.9599999999999999E-2"/>
    <n v="0"/>
    <n v="2"/>
    <n v="2"/>
  </r>
  <r>
    <n v="74"/>
    <x v="3"/>
    <x v="0"/>
    <x v="0"/>
    <n v="5"/>
    <x v="0"/>
    <x v="3"/>
    <x v="0"/>
    <n v="4.92"/>
    <n v="0.12"/>
    <n v="0.1515"/>
    <n v="0.68"/>
    <n v="0.1045"/>
    <n v="0"/>
    <n v="4"/>
    <n v="4"/>
  </r>
  <r>
    <n v="75"/>
    <x v="3"/>
    <x v="0"/>
    <x v="0"/>
    <n v="6"/>
    <x v="0"/>
    <x v="3"/>
    <x v="0"/>
    <n v="4.92"/>
    <n v="0.12"/>
    <n v="0.1515"/>
    <n v="0.74"/>
    <n v="0.1045"/>
    <n v="0"/>
    <n v="36"/>
    <n v="36"/>
  </r>
  <r>
    <n v="76"/>
    <x v="3"/>
    <x v="0"/>
    <x v="0"/>
    <n v="7"/>
    <x v="0"/>
    <x v="3"/>
    <x v="0"/>
    <n v="4.92"/>
    <n v="0.12"/>
    <n v="0.1515"/>
    <n v="0.74"/>
    <n v="0.1343"/>
    <n v="2"/>
    <n v="92"/>
    <n v="94"/>
  </r>
  <r>
    <n v="77"/>
    <x v="3"/>
    <x v="0"/>
    <x v="0"/>
    <n v="8"/>
    <x v="0"/>
    <x v="3"/>
    <x v="0"/>
    <n v="5.74"/>
    <n v="0.14000000000000001"/>
    <n v="0.1515"/>
    <n v="0.69"/>
    <n v="0.16420000000000001"/>
    <n v="2"/>
    <n v="177"/>
    <n v="179"/>
  </r>
  <r>
    <n v="78"/>
    <x v="3"/>
    <x v="0"/>
    <x v="0"/>
    <n v="9"/>
    <x v="0"/>
    <x v="3"/>
    <x v="0"/>
    <n v="6.5600000000000005"/>
    <n v="0.16"/>
    <n v="0.1515"/>
    <n v="0.64"/>
    <n v="0.22389999999999999"/>
    <n v="2"/>
    <n v="98"/>
    <n v="100"/>
  </r>
  <r>
    <n v="79"/>
    <x v="3"/>
    <x v="0"/>
    <x v="0"/>
    <n v="10"/>
    <x v="0"/>
    <x v="3"/>
    <x v="1"/>
    <n v="6.5600000000000005"/>
    <n v="0.16"/>
    <n v="0.13639999999999999"/>
    <n v="0.69"/>
    <n v="0.32840000000000003"/>
    <n v="5"/>
    <n v="37"/>
    <n v="42"/>
  </r>
  <r>
    <n v="80"/>
    <x v="3"/>
    <x v="0"/>
    <x v="0"/>
    <n v="11"/>
    <x v="0"/>
    <x v="3"/>
    <x v="0"/>
    <n v="9.02"/>
    <n v="0.22"/>
    <n v="0.21210000000000001"/>
    <n v="0.51"/>
    <n v="0.29849999999999999"/>
    <n v="7"/>
    <n v="50"/>
    <n v="57"/>
  </r>
  <r>
    <n v="81"/>
    <x v="3"/>
    <x v="0"/>
    <x v="0"/>
    <n v="12"/>
    <x v="0"/>
    <x v="3"/>
    <x v="0"/>
    <n v="9.02"/>
    <n v="0.22"/>
    <n v="0.2273"/>
    <n v="0.51"/>
    <n v="0.16420000000000001"/>
    <n v="12"/>
    <n v="66"/>
    <n v="78"/>
  </r>
  <r>
    <n v="82"/>
    <x v="3"/>
    <x v="0"/>
    <x v="0"/>
    <n v="13"/>
    <x v="0"/>
    <x v="3"/>
    <x v="0"/>
    <n v="9.84"/>
    <n v="0.24"/>
    <n v="0.2273"/>
    <n v="0.56000000000000005"/>
    <n v="0.19400000000000001"/>
    <n v="18"/>
    <n v="79"/>
    <n v="97"/>
  </r>
  <r>
    <n v="83"/>
    <x v="3"/>
    <x v="0"/>
    <x v="0"/>
    <n v="14"/>
    <x v="0"/>
    <x v="3"/>
    <x v="0"/>
    <n v="10.66"/>
    <n v="0.26"/>
    <n v="0.2576"/>
    <n v="0.52"/>
    <n v="0.22389999999999999"/>
    <n v="9"/>
    <n v="54"/>
    <n v="63"/>
  </r>
  <r>
    <n v="84"/>
    <x v="3"/>
    <x v="0"/>
    <x v="0"/>
    <n v="15"/>
    <x v="0"/>
    <x v="3"/>
    <x v="0"/>
    <n v="11.48"/>
    <n v="0.28000000000000003"/>
    <n v="0.2727"/>
    <n v="0.52"/>
    <n v="0.25369999999999998"/>
    <n v="17"/>
    <n v="48"/>
    <n v="65"/>
  </r>
  <r>
    <n v="85"/>
    <x v="3"/>
    <x v="0"/>
    <x v="0"/>
    <n v="16"/>
    <x v="0"/>
    <x v="3"/>
    <x v="0"/>
    <n v="12.299999999999999"/>
    <n v="0.3"/>
    <n v="0.28789999999999999"/>
    <n v="0.49"/>
    <n v="0.25369999999999998"/>
    <n v="15"/>
    <n v="68"/>
    <n v="83"/>
  </r>
  <r>
    <n v="86"/>
    <x v="3"/>
    <x v="0"/>
    <x v="0"/>
    <n v="17"/>
    <x v="0"/>
    <x v="3"/>
    <x v="0"/>
    <n v="11.48"/>
    <n v="0.28000000000000003"/>
    <n v="0.2727"/>
    <n v="0.48"/>
    <n v="0.22389999999999999"/>
    <n v="10"/>
    <n v="202"/>
    <n v="212"/>
  </r>
  <r>
    <n v="87"/>
    <x v="3"/>
    <x v="0"/>
    <x v="0"/>
    <n v="18"/>
    <x v="0"/>
    <x v="3"/>
    <x v="0"/>
    <n v="10.66"/>
    <n v="0.26"/>
    <n v="0.2576"/>
    <n v="0.48"/>
    <n v="0.19400000000000001"/>
    <n v="3"/>
    <n v="179"/>
    <n v="182"/>
  </r>
  <r>
    <n v="88"/>
    <x v="3"/>
    <x v="0"/>
    <x v="0"/>
    <n v="19"/>
    <x v="0"/>
    <x v="3"/>
    <x v="0"/>
    <n v="9.84"/>
    <n v="0.24"/>
    <n v="0.2576"/>
    <n v="0.48"/>
    <n v="0.1045"/>
    <n v="2"/>
    <n v="110"/>
    <n v="112"/>
  </r>
  <r>
    <n v="89"/>
    <x v="3"/>
    <x v="0"/>
    <x v="0"/>
    <n v="20"/>
    <x v="0"/>
    <x v="3"/>
    <x v="0"/>
    <n v="9.84"/>
    <n v="0.24"/>
    <n v="0.2576"/>
    <n v="0.48"/>
    <n v="0.1045"/>
    <n v="1"/>
    <n v="53"/>
    <n v="54"/>
  </r>
  <r>
    <n v="90"/>
    <x v="3"/>
    <x v="0"/>
    <x v="0"/>
    <n v="21"/>
    <x v="0"/>
    <x v="3"/>
    <x v="0"/>
    <n v="9.02"/>
    <n v="0.22"/>
    <n v="0.2727"/>
    <n v="0.64"/>
    <n v="0"/>
    <n v="0"/>
    <n v="48"/>
    <n v="48"/>
  </r>
  <r>
    <n v="91"/>
    <x v="3"/>
    <x v="0"/>
    <x v="0"/>
    <n v="22"/>
    <x v="0"/>
    <x v="3"/>
    <x v="0"/>
    <n v="9.02"/>
    <n v="0.22"/>
    <n v="0.2576"/>
    <n v="0.64"/>
    <n v="8.9599999999999999E-2"/>
    <n v="1"/>
    <n v="34"/>
    <n v="35"/>
  </r>
  <r>
    <n v="92"/>
    <x v="3"/>
    <x v="0"/>
    <x v="0"/>
    <n v="23"/>
    <x v="0"/>
    <x v="3"/>
    <x v="0"/>
    <n v="8.2000000000000011"/>
    <n v="0.2"/>
    <n v="0.2273"/>
    <n v="0.69"/>
    <n v="8.9599999999999999E-2"/>
    <n v="2"/>
    <n v="9"/>
    <n v="11"/>
  </r>
  <r>
    <n v="93"/>
    <x v="4"/>
    <x v="0"/>
    <x v="0"/>
    <n v="0"/>
    <x v="0"/>
    <x v="4"/>
    <x v="0"/>
    <n v="8.2000000000000011"/>
    <n v="0.2"/>
    <n v="0.2576"/>
    <n v="0.64"/>
    <n v="0"/>
    <n v="0"/>
    <n v="6"/>
    <n v="6"/>
  </r>
  <r>
    <n v="94"/>
    <x v="4"/>
    <x v="0"/>
    <x v="0"/>
    <n v="1"/>
    <x v="0"/>
    <x v="4"/>
    <x v="0"/>
    <n v="6.5600000000000005"/>
    <n v="0.16"/>
    <n v="0.19700000000000001"/>
    <n v="0.74"/>
    <n v="8.9599999999999999E-2"/>
    <n v="0"/>
    <n v="6"/>
    <n v="6"/>
  </r>
  <r>
    <n v="95"/>
    <x v="4"/>
    <x v="0"/>
    <x v="0"/>
    <n v="2"/>
    <x v="0"/>
    <x v="4"/>
    <x v="0"/>
    <n v="6.5600000000000005"/>
    <n v="0.16"/>
    <n v="0.19700000000000001"/>
    <n v="0.74"/>
    <n v="8.9599999999999999E-2"/>
    <n v="0"/>
    <n v="2"/>
    <n v="2"/>
  </r>
  <r>
    <n v="96"/>
    <x v="4"/>
    <x v="0"/>
    <x v="0"/>
    <n v="4"/>
    <x v="0"/>
    <x v="4"/>
    <x v="0"/>
    <n v="9.84"/>
    <n v="0.24"/>
    <n v="0.2273"/>
    <n v="0.48"/>
    <n v="0.22389999999999999"/>
    <n v="0"/>
    <n v="2"/>
    <n v="2"/>
  </r>
  <r>
    <n v="97"/>
    <x v="4"/>
    <x v="0"/>
    <x v="0"/>
    <n v="5"/>
    <x v="0"/>
    <x v="4"/>
    <x v="0"/>
    <n v="9.02"/>
    <n v="0.22"/>
    <n v="0.2273"/>
    <n v="0.47"/>
    <n v="0.16420000000000001"/>
    <n v="0"/>
    <n v="3"/>
    <n v="3"/>
  </r>
  <r>
    <n v="98"/>
    <x v="4"/>
    <x v="0"/>
    <x v="0"/>
    <n v="6"/>
    <x v="0"/>
    <x v="4"/>
    <x v="0"/>
    <n v="8.2000000000000011"/>
    <n v="0.2"/>
    <n v="0.19700000000000001"/>
    <n v="0.47"/>
    <n v="0.22389999999999999"/>
    <n v="0"/>
    <n v="33"/>
    <n v="33"/>
  </r>
  <r>
    <n v="99"/>
    <x v="4"/>
    <x v="0"/>
    <x v="0"/>
    <n v="7"/>
    <x v="0"/>
    <x v="4"/>
    <x v="0"/>
    <n v="7.38"/>
    <n v="0.18"/>
    <n v="0.18179999999999999"/>
    <n v="0.43"/>
    <n v="0.19400000000000001"/>
    <n v="1"/>
    <n v="87"/>
    <n v="88"/>
  </r>
  <r>
    <n v="100"/>
    <x v="4"/>
    <x v="0"/>
    <x v="0"/>
    <n v="8"/>
    <x v="0"/>
    <x v="4"/>
    <x v="0"/>
    <n v="8.2000000000000011"/>
    <n v="0.2"/>
    <n v="0.18179999999999999"/>
    <n v="0.4"/>
    <n v="0.29849999999999999"/>
    <n v="3"/>
    <n v="192"/>
    <n v="195"/>
  </r>
  <r>
    <n v="101"/>
    <x v="4"/>
    <x v="0"/>
    <x v="0"/>
    <n v="9"/>
    <x v="0"/>
    <x v="4"/>
    <x v="0"/>
    <n v="9.02"/>
    <n v="0.22"/>
    <n v="0.19700000000000001"/>
    <n v="0.37"/>
    <n v="0.32840000000000003"/>
    <n v="6"/>
    <n v="109"/>
    <n v="115"/>
  </r>
  <r>
    <n v="102"/>
    <x v="4"/>
    <x v="0"/>
    <x v="0"/>
    <n v="10"/>
    <x v="0"/>
    <x v="4"/>
    <x v="0"/>
    <n v="9.02"/>
    <n v="0.22"/>
    <n v="0.19700000000000001"/>
    <n v="0.37"/>
    <n v="0.32840000000000003"/>
    <n v="4"/>
    <n v="53"/>
    <n v="57"/>
  </r>
  <r>
    <n v="103"/>
    <x v="4"/>
    <x v="0"/>
    <x v="0"/>
    <n v="11"/>
    <x v="0"/>
    <x v="4"/>
    <x v="0"/>
    <n v="10.66"/>
    <n v="0.26"/>
    <n v="0.2273"/>
    <n v="0.33"/>
    <n v="0.32840000000000003"/>
    <n v="12"/>
    <n v="34"/>
    <n v="46"/>
  </r>
  <r>
    <n v="104"/>
    <x v="4"/>
    <x v="0"/>
    <x v="0"/>
    <n v="12"/>
    <x v="0"/>
    <x v="4"/>
    <x v="0"/>
    <n v="10.66"/>
    <n v="0.26"/>
    <n v="0.2273"/>
    <n v="0.33"/>
    <n v="0.32840000000000003"/>
    <n v="5"/>
    <n v="74"/>
    <n v="79"/>
  </r>
  <r>
    <n v="105"/>
    <x v="4"/>
    <x v="0"/>
    <x v="0"/>
    <n v="13"/>
    <x v="0"/>
    <x v="4"/>
    <x v="0"/>
    <n v="11.48"/>
    <n v="0.28000000000000003"/>
    <n v="0.2576"/>
    <n v="0.3"/>
    <n v="0.29849999999999999"/>
    <n v="6"/>
    <n v="65"/>
    <n v="71"/>
  </r>
  <r>
    <n v="106"/>
    <x v="4"/>
    <x v="0"/>
    <x v="0"/>
    <n v="14"/>
    <x v="0"/>
    <x v="4"/>
    <x v="0"/>
    <n v="12.299999999999999"/>
    <n v="0.3"/>
    <n v="0.28789999999999999"/>
    <n v="0.28000000000000003"/>
    <n v="0.19400000000000001"/>
    <n v="10"/>
    <n v="52"/>
    <n v="62"/>
  </r>
  <r>
    <n v="107"/>
    <x v="4"/>
    <x v="0"/>
    <x v="0"/>
    <n v="15"/>
    <x v="0"/>
    <x v="4"/>
    <x v="0"/>
    <n v="12.299999999999999"/>
    <n v="0.3"/>
    <n v="0.28789999999999999"/>
    <n v="0.28000000000000003"/>
    <n v="0.19400000000000001"/>
    <n v="7"/>
    <n v="55"/>
    <n v="62"/>
  </r>
  <r>
    <n v="108"/>
    <x v="4"/>
    <x v="0"/>
    <x v="0"/>
    <n v="16"/>
    <x v="0"/>
    <x v="4"/>
    <x v="0"/>
    <n v="12.299999999999999"/>
    <n v="0.3"/>
    <n v="0.31819999999999998"/>
    <n v="0.28000000000000003"/>
    <n v="8.9599999999999999E-2"/>
    <n v="4"/>
    <n v="85"/>
    <n v="89"/>
  </r>
  <r>
    <n v="109"/>
    <x v="4"/>
    <x v="0"/>
    <x v="0"/>
    <n v="17"/>
    <x v="0"/>
    <x v="4"/>
    <x v="0"/>
    <n v="9.84"/>
    <n v="0.24"/>
    <n v="0.2273"/>
    <n v="0.38"/>
    <n v="0.19400000000000001"/>
    <n v="4"/>
    <n v="186"/>
    <n v="190"/>
  </r>
  <r>
    <n v="110"/>
    <x v="4"/>
    <x v="0"/>
    <x v="0"/>
    <n v="18"/>
    <x v="0"/>
    <x v="4"/>
    <x v="0"/>
    <n v="9.84"/>
    <n v="0.24"/>
    <n v="0.2424"/>
    <n v="0.38"/>
    <n v="0.1343"/>
    <n v="3"/>
    <n v="166"/>
    <n v="169"/>
  </r>
  <r>
    <n v="111"/>
    <x v="4"/>
    <x v="0"/>
    <x v="0"/>
    <n v="19"/>
    <x v="0"/>
    <x v="4"/>
    <x v="0"/>
    <n v="9.84"/>
    <n v="0.24"/>
    <n v="0.2576"/>
    <n v="0.38"/>
    <n v="0.1045"/>
    <n v="5"/>
    <n v="127"/>
    <n v="132"/>
  </r>
  <r>
    <n v="112"/>
    <x v="4"/>
    <x v="0"/>
    <x v="0"/>
    <n v="20"/>
    <x v="0"/>
    <x v="4"/>
    <x v="0"/>
    <n v="9.02"/>
    <n v="0.22"/>
    <n v="0.2273"/>
    <n v="0.47"/>
    <n v="0.16420000000000001"/>
    <n v="7"/>
    <n v="82"/>
    <n v="89"/>
  </r>
  <r>
    <n v="113"/>
    <x v="4"/>
    <x v="0"/>
    <x v="0"/>
    <n v="21"/>
    <x v="0"/>
    <x v="4"/>
    <x v="0"/>
    <n v="8.2000000000000011"/>
    <n v="0.2"/>
    <n v="0.19700000000000001"/>
    <n v="0.51"/>
    <n v="0.19400000000000001"/>
    <n v="3"/>
    <n v="40"/>
    <n v="43"/>
  </r>
  <r>
    <n v="114"/>
    <x v="4"/>
    <x v="0"/>
    <x v="0"/>
    <n v="22"/>
    <x v="0"/>
    <x v="4"/>
    <x v="0"/>
    <n v="7.38"/>
    <n v="0.18"/>
    <n v="0.19700000000000001"/>
    <n v="0.55000000000000004"/>
    <n v="0.1343"/>
    <n v="1"/>
    <n v="41"/>
    <n v="42"/>
  </r>
  <r>
    <n v="115"/>
    <x v="4"/>
    <x v="0"/>
    <x v="0"/>
    <n v="23"/>
    <x v="0"/>
    <x v="4"/>
    <x v="0"/>
    <n v="8.2000000000000011"/>
    <n v="0.2"/>
    <n v="0.2576"/>
    <n v="0.47"/>
    <n v="0"/>
    <n v="1"/>
    <n v="18"/>
    <n v="19"/>
  </r>
  <r>
    <n v="116"/>
    <x v="5"/>
    <x v="0"/>
    <x v="0"/>
    <n v="0"/>
    <x v="0"/>
    <x v="5"/>
    <x v="0"/>
    <n v="7.38"/>
    <n v="0.18"/>
    <n v="0.2424"/>
    <n v="0.55000000000000004"/>
    <n v="0"/>
    <n v="0"/>
    <n v="11"/>
    <n v="11"/>
  </r>
  <r>
    <n v="117"/>
    <x v="5"/>
    <x v="0"/>
    <x v="0"/>
    <n v="1"/>
    <x v="0"/>
    <x v="5"/>
    <x v="0"/>
    <n v="6.5600000000000005"/>
    <n v="0.16"/>
    <n v="0.2273"/>
    <n v="0.64"/>
    <n v="0"/>
    <n v="0"/>
    <n v="4"/>
    <n v="4"/>
  </r>
  <r>
    <n v="118"/>
    <x v="5"/>
    <x v="0"/>
    <x v="0"/>
    <n v="2"/>
    <x v="0"/>
    <x v="5"/>
    <x v="0"/>
    <n v="6.5600000000000005"/>
    <n v="0.16"/>
    <n v="0.2273"/>
    <n v="0.64"/>
    <n v="0"/>
    <n v="0"/>
    <n v="2"/>
    <n v="2"/>
  </r>
  <r>
    <n v="119"/>
    <x v="5"/>
    <x v="0"/>
    <x v="0"/>
    <n v="4"/>
    <x v="0"/>
    <x v="5"/>
    <x v="1"/>
    <n v="6.5600000000000005"/>
    <n v="0.16"/>
    <n v="0.19700000000000001"/>
    <n v="0.64"/>
    <n v="8.9599999999999999E-2"/>
    <n v="0"/>
    <n v="1"/>
    <n v="1"/>
  </r>
  <r>
    <n v="120"/>
    <x v="5"/>
    <x v="0"/>
    <x v="0"/>
    <n v="5"/>
    <x v="0"/>
    <x v="5"/>
    <x v="1"/>
    <n v="5.74"/>
    <n v="0.14000000000000001"/>
    <n v="0.18179999999999999"/>
    <n v="0.69"/>
    <n v="8.9599999999999999E-2"/>
    <n v="0"/>
    <n v="4"/>
    <n v="4"/>
  </r>
  <r>
    <n v="121"/>
    <x v="5"/>
    <x v="0"/>
    <x v="0"/>
    <n v="6"/>
    <x v="0"/>
    <x v="5"/>
    <x v="1"/>
    <n v="5.74"/>
    <n v="0.14000000000000001"/>
    <n v="0.16669999999999999"/>
    <n v="0.63"/>
    <n v="0.1045"/>
    <n v="0"/>
    <n v="36"/>
    <n v="36"/>
  </r>
  <r>
    <n v="122"/>
    <x v="5"/>
    <x v="0"/>
    <x v="0"/>
    <n v="7"/>
    <x v="0"/>
    <x v="5"/>
    <x v="1"/>
    <n v="6.5600000000000005"/>
    <n v="0.16"/>
    <n v="0.2273"/>
    <n v="0.59"/>
    <n v="0"/>
    <n v="0"/>
    <n v="95"/>
    <n v="95"/>
  </r>
  <r>
    <n v="123"/>
    <x v="5"/>
    <x v="0"/>
    <x v="0"/>
    <n v="8"/>
    <x v="0"/>
    <x v="5"/>
    <x v="0"/>
    <n v="6.5600000000000005"/>
    <n v="0.16"/>
    <n v="0.2273"/>
    <n v="0.59"/>
    <n v="0"/>
    <n v="3"/>
    <n v="216"/>
    <n v="219"/>
  </r>
  <r>
    <n v="124"/>
    <x v="5"/>
    <x v="0"/>
    <x v="0"/>
    <n v="9"/>
    <x v="0"/>
    <x v="5"/>
    <x v="1"/>
    <n v="7.38"/>
    <n v="0.18"/>
    <n v="0.2424"/>
    <n v="0.51"/>
    <n v="0"/>
    <n v="6"/>
    <n v="116"/>
    <n v="122"/>
  </r>
  <r>
    <n v="125"/>
    <x v="5"/>
    <x v="0"/>
    <x v="0"/>
    <n v="10"/>
    <x v="0"/>
    <x v="5"/>
    <x v="0"/>
    <n v="8.2000000000000011"/>
    <n v="0.2"/>
    <n v="0.2576"/>
    <n v="0.47"/>
    <n v="0"/>
    <n v="3"/>
    <n v="42"/>
    <n v="45"/>
  </r>
  <r>
    <n v="126"/>
    <x v="5"/>
    <x v="0"/>
    <x v="0"/>
    <n v="11"/>
    <x v="0"/>
    <x v="5"/>
    <x v="0"/>
    <n v="9.02"/>
    <n v="0.22"/>
    <n v="0.2576"/>
    <n v="0.44"/>
    <n v="8.9599999999999999E-2"/>
    <n v="2"/>
    <n v="57"/>
    <n v="59"/>
  </r>
  <r>
    <n v="127"/>
    <x v="5"/>
    <x v="0"/>
    <x v="0"/>
    <n v="12"/>
    <x v="0"/>
    <x v="5"/>
    <x v="0"/>
    <n v="10.66"/>
    <n v="0.26"/>
    <n v="0.28789999999999999"/>
    <n v="0.35"/>
    <n v="0"/>
    <n v="6"/>
    <n v="78"/>
    <n v="84"/>
  </r>
  <r>
    <n v="128"/>
    <x v="5"/>
    <x v="0"/>
    <x v="0"/>
    <n v="13"/>
    <x v="0"/>
    <x v="5"/>
    <x v="0"/>
    <n v="10.66"/>
    <n v="0.26"/>
    <n v="0.2727"/>
    <n v="0.35"/>
    <n v="0.1045"/>
    <n v="12"/>
    <n v="55"/>
    <n v="67"/>
  </r>
  <r>
    <n v="129"/>
    <x v="5"/>
    <x v="0"/>
    <x v="0"/>
    <n v="14"/>
    <x v="0"/>
    <x v="5"/>
    <x v="0"/>
    <n v="11.48"/>
    <n v="0.28000000000000003"/>
    <n v="0.2727"/>
    <n v="0.36"/>
    <n v="0.16420000000000001"/>
    <n v="11"/>
    <n v="59"/>
    <n v="70"/>
  </r>
  <r>
    <n v="130"/>
    <x v="5"/>
    <x v="0"/>
    <x v="0"/>
    <n v="15"/>
    <x v="0"/>
    <x v="5"/>
    <x v="0"/>
    <n v="11.48"/>
    <n v="0.28000000000000003"/>
    <n v="0.2727"/>
    <n v="0.36"/>
    <n v="0"/>
    <n v="8"/>
    <n v="54"/>
    <n v="62"/>
  </r>
  <r>
    <n v="131"/>
    <x v="5"/>
    <x v="0"/>
    <x v="0"/>
    <n v="16"/>
    <x v="0"/>
    <x v="5"/>
    <x v="0"/>
    <n v="10.66"/>
    <n v="0.26"/>
    <n v="0.2576"/>
    <n v="0.38"/>
    <n v="0.16420000000000001"/>
    <n v="12"/>
    <n v="74"/>
    <n v="86"/>
  </r>
  <r>
    <n v="132"/>
    <x v="5"/>
    <x v="0"/>
    <x v="0"/>
    <n v="17"/>
    <x v="0"/>
    <x v="5"/>
    <x v="0"/>
    <n v="9.02"/>
    <n v="0.22"/>
    <n v="0.2273"/>
    <n v="0.51"/>
    <n v="0.16420000000000001"/>
    <n v="9"/>
    <n v="163"/>
    <n v="172"/>
  </r>
  <r>
    <n v="133"/>
    <x v="5"/>
    <x v="0"/>
    <x v="0"/>
    <n v="18"/>
    <x v="0"/>
    <x v="5"/>
    <x v="0"/>
    <n v="9.02"/>
    <n v="0.22"/>
    <n v="0.2273"/>
    <n v="0.51"/>
    <n v="0.1343"/>
    <n v="5"/>
    <n v="158"/>
    <n v="163"/>
  </r>
  <r>
    <n v="134"/>
    <x v="5"/>
    <x v="0"/>
    <x v="0"/>
    <n v="19"/>
    <x v="0"/>
    <x v="5"/>
    <x v="0"/>
    <n v="9.02"/>
    <n v="0.22"/>
    <n v="0.2576"/>
    <n v="0.55000000000000004"/>
    <n v="8.9599999999999999E-2"/>
    <n v="3"/>
    <n v="109"/>
    <n v="112"/>
  </r>
  <r>
    <n v="135"/>
    <x v="5"/>
    <x v="0"/>
    <x v="0"/>
    <n v="20"/>
    <x v="0"/>
    <x v="5"/>
    <x v="0"/>
    <n v="8.2000000000000011"/>
    <n v="0.2"/>
    <n v="0.21210000000000001"/>
    <n v="0.51"/>
    <n v="0.16420000000000001"/>
    <n v="3"/>
    <n v="66"/>
    <n v="69"/>
  </r>
  <r>
    <n v="136"/>
    <x v="5"/>
    <x v="0"/>
    <x v="0"/>
    <n v="21"/>
    <x v="0"/>
    <x v="5"/>
    <x v="1"/>
    <n v="9.02"/>
    <n v="0.22"/>
    <n v="0.21210000000000001"/>
    <n v="0.55000000000000004"/>
    <n v="0.22389999999999999"/>
    <n v="0"/>
    <n v="48"/>
    <n v="48"/>
  </r>
  <r>
    <n v="137"/>
    <x v="5"/>
    <x v="0"/>
    <x v="0"/>
    <n v="22"/>
    <x v="0"/>
    <x v="5"/>
    <x v="1"/>
    <n v="9.02"/>
    <n v="0.22"/>
    <n v="0.21210000000000001"/>
    <n v="0.51"/>
    <n v="0.28360000000000002"/>
    <n v="1"/>
    <n v="51"/>
    <n v="52"/>
  </r>
  <r>
    <n v="138"/>
    <x v="5"/>
    <x v="0"/>
    <x v="0"/>
    <n v="23"/>
    <x v="0"/>
    <x v="5"/>
    <x v="1"/>
    <n v="8.2000000000000011"/>
    <n v="0.2"/>
    <n v="0.19700000000000001"/>
    <n v="0.59"/>
    <n v="0.19400000000000001"/>
    <n v="4"/>
    <n v="19"/>
    <n v="23"/>
  </r>
  <r>
    <n v="139"/>
    <x v="6"/>
    <x v="0"/>
    <x v="0"/>
    <n v="0"/>
    <x v="0"/>
    <x v="6"/>
    <x v="1"/>
    <n v="8.2000000000000011"/>
    <n v="0.2"/>
    <n v="0.19700000000000001"/>
    <n v="0.64"/>
    <n v="0.19400000000000001"/>
    <n v="4"/>
    <n v="13"/>
    <n v="17"/>
  </r>
  <r>
    <n v="140"/>
    <x v="6"/>
    <x v="0"/>
    <x v="0"/>
    <n v="1"/>
    <x v="0"/>
    <x v="6"/>
    <x v="1"/>
    <n v="8.2000000000000011"/>
    <n v="0.2"/>
    <n v="0.19700000000000001"/>
    <n v="0.69"/>
    <n v="0.22389999999999999"/>
    <n v="2"/>
    <n v="5"/>
    <n v="7"/>
  </r>
  <r>
    <n v="141"/>
    <x v="6"/>
    <x v="0"/>
    <x v="0"/>
    <n v="2"/>
    <x v="0"/>
    <x v="6"/>
    <x v="1"/>
    <n v="8.2000000000000011"/>
    <n v="0.2"/>
    <n v="0.19700000000000001"/>
    <n v="0.69"/>
    <n v="0.22389999999999999"/>
    <n v="0"/>
    <n v="1"/>
    <n v="1"/>
  </r>
  <r>
    <n v="142"/>
    <x v="6"/>
    <x v="0"/>
    <x v="0"/>
    <n v="4"/>
    <x v="0"/>
    <x v="6"/>
    <x v="1"/>
    <n v="8.2000000000000011"/>
    <n v="0.2"/>
    <n v="0.21210000000000001"/>
    <n v="0.69"/>
    <n v="0.1343"/>
    <n v="0"/>
    <n v="1"/>
    <n v="1"/>
  </r>
  <r>
    <n v="143"/>
    <x v="6"/>
    <x v="0"/>
    <x v="0"/>
    <n v="5"/>
    <x v="0"/>
    <x v="6"/>
    <x v="2"/>
    <n v="9.02"/>
    <n v="0.22"/>
    <n v="0.2727"/>
    <n v="0.55000000000000004"/>
    <n v="0"/>
    <n v="0"/>
    <n v="5"/>
    <n v="5"/>
  </r>
  <r>
    <n v="144"/>
    <x v="6"/>
    <x v="0"/>
    <x v="0"/>
    <n v="6"/>
    <x v="0"/>
    <x v="6"/>
    <x v="1"/>
    <n v="8.2000000000000011"/>
    <n v="0.2"/>
    <n v="0.2576"/>
    <n v="0.69"/>
    <n v="0"/>
    <n v="8"/>
    <n v="26"/>
    <n v="34"/>
  </r>
  <r>
    <n v="145"/>
    <x v="6"/>
    <x v="0"/>
    <x v="0"/>
    <n v="7"/>
    <x v="0"/>
    <x v="6"/>
    <x v="0"/>
    <n v="8.2000000000000011"/>
    <n v="0.2"/>
    <n v="0.21210000000000001"/>
    <n v="0.69"/>
    <n v="0.1343"/>
    <n v="8"/>
    <n v="76"/>
    <n v="84"/>
  </r>
  <r>
    <n v="146"/>
    <x v="6"/>
    <x v="0"/>
    <x v="0"/>
    <n v="8"/>
    <x v="0"/>
    <x v="6"/>
    <x v="0"/>
    <n v="8.2000000000000011"/>
    <n v="0.2"/>
    <n v="0.19700000000000001"/>
    <n v="0.51"/>
    <n v="0.25369999999999998"/>
    <n v="20"/>
    <n v="190"/>
    <n v="210"/>
  </r>
  <r>
    <n v="147"/>
    <x v="6"/>
    <x v="0"/>
    <x v="0"/>
    <n v="9"/>
    <x v="0"/>
    <x v="6"/>
    <x v="0"/>
    <n v="8.2000000000000011"/>
    <n v="0.2"/>
    <n v="0.18179999999999999"/>
    <n v="0.47"/>
    <n v="0.29849999999999999"/>
    <n v="9"/>
    <n v="125"/>
    <n v="134"/>
  </r>
  <r>
    <n v="148"/>
    <x v="6"/>
    <x v="0"/>
    <x v="0"/>
    <n v="10"/>
    <x v="0"/>
    <x v="6"/>
    <x v="0"/>
    <n v="9.02"/>
    <n v="0.22"/>
    <n v="0.19700000000000001"/>
    <n v="0.37"/>
    <n v="0.32840000000000003"/>
    <n v="16"/>
    <n v="47"/>
    <n v="63"/>
  </r>
  <r>
    <n v="149"/>
    <x v="6"/>
    <x v="0"/>
    <x v="0"/>
    <n v="11"/>
    <x v="0"/>
    <x v="6"/>
    <x v="1"/>
    <n v="8.2000000000000011"/>
    <n v="0.2"/>
    <n v="0.19700000000000001"/>
    <n v="0.4"/>
    <n v="0.22389999999999999"/>
    <n v="19"/>
    <n v="48"/>
    <n v="67"/>
  </r>
  <r>
    <n v="150"/>
    <x v="6"/>
    <x v="0"/>
    <x v="0"/>
    <n v="12"/>
    <x v="0"/>
    <x v="6"/>
    <x v="1"/>
    <n v="8.2000000000000011"/>
    <n v="0.2"/>
    <n v="0.19700000000000001"/>
    <n v="0.37"/>
    <n v="0.25369999999999998"/>
    <n v="9"/>
    <n v="50"/>
    <n v="59"/>
  </r>
  <r>
    <n v="151"/>
    <x v="6"/>
    <x v="0"/>
    <x v="0"/>
    <n v="13"/>
    <x v="0"/>
    <x v="6"/>
    <x v="1"/>
    <n v="8.2000000000000011"/>
    <n v="0.2"/>
    <n v="0.18179999999999999"/>
    <n v="0.37"/>
    <n v="0.28360000000000002"/>
    <n v="9"/>
    <n v="64"/>
    <n v="73"/>
  </r>
  <r>
    <n v="152"/>
    <x v="6"/>
    <x v="0"/>
    <x v="0"/>
    <n v="14"/>
    <x v="0"/>
    <x v="6"/>
    <x v="1"/>
    <n v="8.2000000000000011"/>
    <n v="0.2"/>
    <n v="0.19700000000000001"/>
    <n v="0.4"/>
    <n v="0.25369999999999998"/>
    <n v="7"/>
    <n v="43"/>
    <n v="50"/>
  </r>
  <r>
    <n v="153"/>
    <x v="6"/>
    <x v="0"/>
    <x v="0"/>
    <n v="15"/>
    <x v="0"/>
    <x v="6"/>
    <x v="1"/>
    <n v="8.2000000000000011"/>
    <n v="0.2"/>
    <n v="0.21210000000000001"/>
    <n v="0.37"/>
    <n v="0.16420000000000001"/>
    <n v="9"/>
    <n v="63"/>
    <n v="72"/>
  </r>
  <r>
    <n v="154"/>
    <x v="6"/>
    <x v="0"/>
    <x v="0"/>
    <n v="16"/>
    <x v="0"/>
    <x v="6"/>
    <x v="1"/>
    <n v="8.2000000000000011"/>
    <n v="0.2"/>
    <n v="0.21210000000000001"/>
    <n v="0.37"/>
    <n v="0.16420000000000001"/>
    <n v="5"/>
    <n v="82"/>
    <n v="87"/>
  </r>
  <r>
    <n v="155"/>
    <x v="6"/>
    <x v="0"/>
    <x v="0"/>
    <n v="17"/>
    <x v="0"/>
    <x v="6"/>
    <x v="1"/>
    <n v="8.2000000000000011"/>
    <n v="0.2"/>
    <n v="0.2576"/>
    <n v="0.37"/>
    <n v="0"/>
    <n v="9"/>
    <n v="178"/>
    <n v="187"/>
  </r>
  <r>
    <n v="156"/>
    <x v="6"/>
    <x v="0"/>
    <x v="0"/>
    <n v="18"/>
    <x v="0"/>
    <x v="6"/>
    <x v="0"/>
    <n v="8.2000000000000011"/>
    <n v="0.2"/>
    <n v="0.2273"/>
    <n v="0.4"/>
    <n v="8.9599999999999999E-2"/>
    <n v="7"/>
    <n v="116"/>
    <n v="123"/>
  </r>
  <r>
    <n v="157"/>
    <x v="6"/>
    <x v="0"/>
    <x v="0"/>
    <n v="19"/>
    <x v="0"/>
    <x v="6"/>
    <x v="0"/>
    <n v="6.5600000000000005"/>
    <n v="0.16"/>
    <n v="0.19700000000000001"/>
    <n v="0.55000000000000004"/>
    <n v="8.9599999999999999E-2"/>
    <n v="3"/>
    <n v="92"/>
    <n v="95"/>
  </r>
  <r>
    <n v="158"/>
    <x v="6"/>
    <x v="0"/>
    <x v="0"/>
    <n v="20"/>
    <x v="0"/>
    <x v="6"/>
    <x v="0"/>
    <n v="7.38"/>
    <n v="0.18"/>
    <n v="0.21210000000000001"/>
    <n v="0.47"/>
    <n v="0.1045"/>
    <n v="1"/>
    <n v="50"/>
    <n v="51"/>
  </r>
  <r>
    <n v="159"/>
    <x v="6"/>
    <x v="0"/>
    <x v="0"/>
    <n v="21"/>
    <x v="0"/>
    <x v="6"/>
    <x v="0"/>
    <n v="7.38"/>
    <n v="0.18"/>
    <n v="0.19700000000000001"/>
    <n v="0.47"/>
    <n v="0.1343"/>
    <n v="0"/>
    <n v="39"/>
    <n v="39"/>
  </r>
  <r>
    <n v="160"/>
    <x v="6"/>
    <x v="0"/>
    <x v="0"/>
    <n v="22"/>
    <x v="0"/>
    <x v="6"/>
    <x v="1"/>
    <n v="7.38"/>
    <n v="0.18"/>
    <n v="0.19700000000000001"/>
    <n v="0.43"/>
    <n v="0.16420000000000001"/>
    <n v="2"/>
    <n v="34"/>
    <n v="36"/>
  </r>
  <r>
    <n v="161"/>
    <x v="6"/>
    <x v="0"/>
    <x v="0"/>
    <n v="23"/>
    <x v="0"/>
    <x v="6"/>
    <x v="1"/>
    <n v="7.38"/>
    <n v="0.18"/>
    <n v="0.19700000000000001"/>
    <n v="0.51"/>
    <n v="0.16420000000000001"/>
    <n v="1"/>
    <n v="14"/>
    <n v="15"/>
  </r>
  <r>
    <n v="162"/>
    <x v="7"/>
    <x v="0"/>
    <x v="0"/>
    <n v="0"/>
    <x v="0"/>
    <x v="0"/>
    <x v="1"/>
    <n v="7.38"/>
    <n v="0.18"/>
    <n v="0.19700000000000001"/>
    <n v="0.51"/>
    <n v="0.16420000000000001"/>
    <n v="1"/>
    <n v="24"/>
    <n v="25"/>
  </r>
  <r>
    <n v="163"/>
    <x v="7"/>
    <x v="0"/>
    <x v="0"/>
    <n v="1"/>
    <x v="0"/>
    <x v="0"/>
    <x v="1"/>
    <n v="7.38"/>
    <n v="0.18"/>
    <n v="0.21210000000000001"/>
    <n v="0.55000000000000004"/>
    <n v="8.9599999999999999E-2"/>
    <n v="1"/>
    <n v="15"/>
    <n v="16"/>
  </r>
  <r>
    <n v="164"/>
    <x v="7"/>
    <x v="0"/>
    <x v="0"/>
    <n v="2"/>
    <x v="0"/>
    <x v="0"/>
    <x v="1"/>
    <n v="7.38"/>
    <n v="0.18"/>
    <n v="0.2424"/>
    <n v="0.55000000000000004"/>
    <n v="0"/>
    <n v="3"/>
    <n v="13"/>
    <n v="16"/>
  </r>
  <r>
    <n v="165"/>
    <x v="7"/>
    <x v="0"/>
    <x v="0"/>
    <n v="3"/>
    <x v="0"/>
    <x v="0"/>
    <x v="2"/>
    <n v="7.38"/>
    <n v="0.18"/>
    <n v="0.19700000000000001"/>
    <n v="0.55000000000000004"/>
    <n v="0.16420000000000001"/>
    <n v="0"/>
    <n v="7"/>
    <n v="7"/>
  </r>
  <r>
    <n v="166"/>
    <x v="7"/>
    <x v="0"/>
    <x v="0"/>
    <n v="4"/>
    <x v="0"/>
    <x v="0"/>
    <x v="2"/>
    <n v="7.38"/>
    <n v="0.18"/>
    <n v="0.19700000000000001"/>
    <n v="0.55000000000000004"/>
    <n v="0.16420000000000001"/>
    <n v="0"/>
    <n v="1"/>
    <n v="1"/>
  </r>
  <r>
    <n v="167"/>
    <x v="7"/>
    <x v="0"/>
    <x v="0"/>
    <n v="5"/>
    <x v="0"/>
    <x v="0"/>
    <x v="1"/>
    <n v="6.5600000000000005"/>
    <n v="0.16"/>
    <n v="0.16669999999999999"/>
    <n v="0.74"/>
    <n v="0.16420000000000001"/>
    <n v="0"/>
    <n v="5"/>
    <n v="5"/>
  </r>
  <r>
    <n v="168"/>
    <x v="7"/>
    <x v="0"/>
    <x v="0"/>
    <n v="6"/>
    <x v="0"/>
    <x v="0"/>
    <x v="1"/>
    <n v="6.5600000000000005"/>
    <n v="0.16"/>
    <n v="0.16669999999999999"/>
    <n v="0.74"/>
    <n v="0.16420000000000001"/>
    <n v="0"/>
    <n v="2"/>
    <n v="2"/>
  </r>
  <r>
    <n v="169"/>
    <x v="7"/>
    <x v="0"/>
    <x v="0"/>
    <n v="7"/>
    <x v="0"/>
    <x v="0"/>
    <x v="1"/>
    <n v="6.5600000000000005"/>
    <n v="0.16"/>
    <n v="0.18179999999999999"/>
    <n v="0.74"/>
    <n v="0.1045"/>
    <n v="1"/>
    <n v="8"/>
    <n v="9"/>
  </r>
  <r>
    <n v="170"/>
    <x v="7"/>
    <x v="0"/>
    <x v="0"/>
    <n v="8"/>
    <x v="0"/>
    <x v="0"/>
    <x v="2"/>
    <n v="6.5600000000000005"/>
    <n v="0.16"/>
    <n v="0.18179999999999999"/>
    <n v="0.93"/>
    <n v="0.1045"/>
    <n v="0"/>
    <n v="15"/>
    <n v="15"/>
  </r>
  <r>
    <n v="171"/>
    <x v="7"/>
    <x v="0"/>
    <x v="0"/>
    <n v="9"/>
    <x v="0"/>
    <x v="0"/>
    <x v="2"/>
    <n v="6.5600000000000005"/>
    <n v="0.16"/>
    <n v="0.18179999999999999"/>
    <n v="0.93"/>
    <n v="0.1045"/>
    <n v="0"/>
    <n v="20"/>
    <n v="20"/>
  </r>
  <r>
    <n v="172"/>
    <x v="7"/>
    <x v="0"/>
    <x v="0"/>
    <n v="10"/>
    <x v="0"/>
    <x v="0"/>
    <x v="1"/>
    <n v="7.38"/>
    <n v="0.18"/>
    <n v="0.19700000000000001"/>
    <n v="0.8"/>
    <n v="0.16420000000000001"/>
    <n v="5"/>
    <n v="56"/>
    <n v="61"/>
  </r>
  <r>
    <n v="173"/>
    <x v="7"/>
    <x v="0"/>
    <x v="0"/>
    <n v="11"/>
    <x v="0"/>
    <x v="0"/>
    <x v="1"/>
    <n v="8.2000000000000011"/>
    <n v="0.2"/>
    <n v="0.18179999999999999"/>
    <n v="0.69"/>
    <n v="0.3881"/>
    <n v="2"/>
    <n v="60"/>
    <n v="62"/>
  </r>
  <r>
    <n v="174"/>
    <x v="7"/>
    <x v="0"/>
    <x v="0"/>
    <n v="12"/>
    <x v="0"/>
    <x v="0"/>
    <x v="1"/>
    <n v="8.2000000000000011"/>
    <n v="0.2"/>
    <n v="0.18179999999999999"/>
    <n v="0.59"/>
    <n v="0.35820000000000002"/>
    <n v="8"/>
    <n v="90"/>
    <n v="98"/>
  </r>
  <r>
    <n v="175"/>
    <x v="7"/>
    <x v="0"/>
    <x v="0"/>
    <n v="13"/>
    <x v="0"/>
    <x v="0"/>
    <x v="0"/>
    <n v="8.2000000000000011"/>
    <n v="0.2"/>
    <n v="0.18179999999999999"/>
    <n v="0.44"/>
    <n v="0.32840000000000003"/>
    <n v="7"/>
    <n v="95"/>
    <n v="102"/>
  </r>
  <r>
    <n v="176"/>
    <x v="7"/>
    <x v="0"/>
    <x v="0"/>
    <n v="14"/>
    <x v="0"/>
    <x v="0"/>
    <x v="0"/>
    <n v="8.2000000000000011"/>
    <n v="0.2"/>
    <n v="0.16669999999999999"/>
    <n v="0.32"/>
    <n v="0.49249999999999999"/>
    <n v="12"/>
    <n v="83"/>
    <n v="95"/>
  </r>
  <r>
    <n v="177"/>
    <x v="7"/>
    <x v="0"/>
    <x v="0"/>
    <n v="15"/>
    <x v="0"/>
    <x v="0"/>
    <x v="0"/>
    <n v="8.2000000000000011"/>
    <n v="0.2"/>
    <n v="0.16669999999999999"/>
    <n v="0.32"/>
    <n v="0.44779999999999998"/>
    <n v="5"/>
    <n v="69"/>
    <n v="74"/>
  </r>
  <r>
    <n v="178"/>
    <x v="7"/>
    <x v="0"/>
    <x v="0"/>
    <n v="16"/>
    <x v="0"/>
    <x v="0"/>
    <x v="0"/>
    <n v="7.38"/>
    <n v="0.18"/>
    <n v="0.13639999999999999"/>
    <n v="0.28999999999999998"/>
    <n v="0.44779999999999998"/>
    <n v="8"/>
    <n v="68"/>
    <n v="76"/>
  </r>
  <r>
    <n v="179"/>
    <x v="7"/>
    <x v="0"/>
    <x v="0"/>
    <n v="17"/>
    <x v="0"/>
    <x v="0"/>
    <x v="0"/>
    <n v="6.5600000000000005"/>
    <n v="0.16"/>
    <n v="0.1212"/>
    <n v="0.37"/>
    <n v="0.55220000000000002"/>
    <n v="5"/>
    <n v="64"/>
    <n v="69"/>
  </r>
  <r>
    <n v="180"/>
    <x v="7"/>
    <x v="0"/>
    <x v="0"/>
    <n v="18"/>
    <x v="0"/>
    <x v="0"/>
    <x v="0"/>
    <n v="5.74"/>
    <n v="0.14000000000000001"/>
    <n v="0.1212"/>
    <n v="0.39"/>
    <n v="0.29849999999999999"/>
    <n v="3"/>
    <n v="52"/>
    <n v="55"/>
  </r>
  <r>
    <n v="181"/>
    <x v="7"/>
    <x v="0"/>
    <x v="0"/>
    <n v="19"/>
    <x v="0"/>
    <x v="0"/>
    <x v="0"/>
    <n v="5.74"/>
    <n v="0.14000000000000001"/>
    <n v="0.1212"/>
    <n v="0.36"/>
    <n v="0.25369999999999998"/>
    <n v="4"/>
    <n v="26"/>
    <n v="30"/>
  </r>
  <r>
    <n v="182"/>
    <x v="7"/>
    <x v="0"/>
    <x v="0"/>
    <n v="20"/>
    <x v="0"/>
    <x v="0"/>
    <x v="0"/>
    <n v="4.92"/>
    <n v="0.12"/>
    <n v="0.1212"/>
    <n v="0.36"/>
    <n v="0.25369999999999998"/>
    <n v="0"/>
    <n v="28"/>
    <n v="28"/>
  </r>
  <r>
    <n v="183"/>
    <x v="7"/>
    <x v="0"/>
    <x v="0"/>
    <n v="21"/>
    <x v="0"/>
    <x v="0"/>
    <x v="0"/>
    <n v="4.92"/>
    <n v="0.12"/>
    <n v="0.1061"/>
    <n v="0.39"/>
    <n v="0.35820000000000002"/>
    <n v="2"/>
    <n v="35"/>
    <n v="37"/>
  </r>
  <r>
    <n v="184"/>
    <x v="7"/>
    <x v="0"/>
    <x v="0"/>
    <n v="22"/>
    <x v="0"/>
    <x v="0"/>
    <x v="0"/>
    <n v="4.92"/>
    <n v="0.12"/>
    <n v="0.1061"/>
    <n v="0.36"/>
    <n v="0.3881"/>
    <n v="1"/>
    <n v="33"/>
    <n v="34"/>
  </r>
  <r>
    <n v="185"/>
    <x v="7"/>
    <x v="0"/>
    <x v="0"/>
    <n v="23"/>
    <x v="0"/>
    <x v="0"/>
    <x v="0"/>
    <n v="4.1000000000000005"/>
    <n v="0.1"/>
    <n v="6.0600000000000001E-2"/>
    <n v="0.39"/>
    <n v="0.44779999999999998"/>
    <n v="0"/>
    <n v="22"/>
    <n v="22"/>
  </r>
  <r>
    <n v="186"/>
    <x v="8"/>
    <x v="0"/>
    <x v="0"/>
    <n v="0"/>
    <x v="0"/>
    <x v="1"/>
    <x v="0"/>
    <n v="4.1000000000000005"/>
    <n v="0.1"/>
    <n v="7.5800000000000006E-2"/>
    <n v="0.42"/>
    <n v="0.3881"/>
    <n v="1"/>
    <n v="24"/>
    <n v="25"/>
  </r>
  <r>
    <n v="187"/>
    <x v="8"/>
    <x v="0"/>
    <x v="0"/>
    <n v="1"/>
    <x v="0"/>
    <x v="1"/>
    <x v="0"/>
    <n v="4.1000000000000005"/>
    <n v="0.1"/>
    <n v="6.0600000000000001E-2"/>
    <n v="0.42"/>
    <n v="0.4627"/>
    <n v="0"/>
    <n v="12"/>
    <n v="12"/>
  </r>
  <r>
    <n v="188"/>
    <x v="8"/>
    <x v="0"/>
    <x v="0"/>
    <n v="2"/>
    <x v="0"/>
    <x v="1"/>
    <x v="0"/>
    <n v="4.1000000000000005"/>
    <n v="0.1"/>
    <n v="6.0600000000000001E-2"/>
    <n v="0.46"/>
    <n v="0.4627"/>
    <n v="0"/>
    <n v="11"/>
    <n v="11"/>
  </r>
  <r>
    <n v="189"/>
    <x v="8"/>
    <x v="0"/>
    <x v="0"/>
    <n v="3"/>
    <x v="0"/>
    <x v="1"/>
    <x v="0"/>
    <n v="4.1000000000000005"/>
    <n v="0.1"/>
    <n v="7.5800000000000006E-2"/>
    <n v="0.46"/>
    <n v="0.41789999999999999"/>
    <n v="0"/>
    <n v="4"/>
    <n v="4"/>
  </r>
  <r>
    <n v="190"/>
    <x v="8"/>
    <x v="0"/>
    <x v="0"/>
    <n v="4"/>
    <x v="0"/>
    <x v="1"/>
    <x v="0"/>
    <n v="3.2800000000000002"/>
    <n v="0.08"/>
    <n v="9.0899999999999995E-2"/>
    <n v="0.53"/>
    <n v="0.19400000000000001"/>
    <n v="0"/>
    <n v="1"/>
    <n v="1"/>
  </r>
  <r>
    <n v="191"/>
    <x v="8"/>
    <x v="0"/>
    <x v="0"/>
    <n v="5"/>
    <x v="0"/>
    <x v="1"/>
    <x v="0"/>
    <n v="3.2800000000000002"/>
    <n v="0.08"/>
    <n v="9.0899999999999995E-2"/>
    <n v="0.53"/>
    <n v="0.19400000000000001"/>
    <n v="0"/>
    <n v="1"/>
    <n v="1"/>
  </r>
  <r>
    <n v="192"/>
    <x v="8"/>
    <x v="0"/>
    <x v="0"/>
    <n v="6"/>
    <x v="0"/>
    <x v="1"/>
    <x v="0"/>
    <n v="4.1000000000000005"/>
    <n v="0.1"/>
    <n v="9.0899999999999995E-2"/>
    <n v="0.49"/>
    <n v="0.28360000000000002"/>
    <n v="0"/>
    <n v="1"/>
    <n v="1"/>
  </r>
  <r>
    <n v="193"/>
    <x v="8"/>
    <x v="0"/>
    <x v="0"/>
    <n v="7"/>
    <x v="0"/>
    <x v="1"/>
    <x v="0"/>
    <n v="3.2800000000000002"/>
    <n v="0.08"/>
    <n v="9.0899999999999995E-2"/>
    <n v="0.53"/>
    <n v="0.19400000000000001"/>
    <n v="1"/>
    <n v="5"/>
    <n v="6"/>
  </r>
  <r>
    <n v="194"/>
    <x v="8"/>
    <x v="0"/>
    <x v="0"/>
    <n v="8"/>
    <x v="0"/>
    <x v="1"/>
    <x v="0"/>
    <n v="4.1000000000000005"/>
    <n v="0.1"/>
    <n v="9.0899999999999995E-2"/>
    <n v="0.49"/>
    <n v="0.28360000000000002"/>
    <n v="0"/>
    <n v="10"/>
    <n v="10"/>
  </r>
  <r>
    <n v="195"/>
    <x v="8"/>
    <x v="0"/>
    <x v="0"/>
    <n v="9"/>
    <x v="0"/>
    <x v="1"/>
    <x v="0"/>
    <n v="4.92"/>
    <n v="0.12"/>
    <n v="7.5800000000000006E-2"/>
    <n v="0.46"/>
    <n v="0.52239999999999998"/>
    <n v="0"/>
    <n v="19"/>
    <n v="19"/>
  </r>
  <r>
    <n v="196"/>
    <x v="8"/>
    <x v="0"/>
    <x v="0"/>
    <n v="10"/>
    <x v="0"/>
    <x v="1"/>
    <x v="0"/>
    <n v="5.74"/>
    <n v="0.14000000000000001"/>
    <n v="0.1061"/>
    <n v="0.43"/>
    <n v="0.3881"/>
    <n v="0"/>
    <n v="49"/>
    <n v="49"/>
  </r>
  <r>
    <n v="197"/>
    <x v="8"/>
    <x v="0"/>
    <x v="0"/>
    <n v="11"/>
    <x v="0"/>
    <x v="1"/>
    <x v="0"/>
    <n v="6.5600000000000005"/>
    <n v="0.16"/>
    <n v="0.1212"/>
    <n v="0.4"/>
    <n v="0.52239999999999998"/>
    <n v="2"/>
    <n v="47"/>
    <n v="49"/>
  </r>
  <r>
    <n v="198"/>
    <x v="8"/>
    <x v="0"/>
    <x v="0"/>
    <n v="12"/>
    <x v="0"/>
    <x v="1"/>
    <x v="0"/>
    <n v="7.38"/>
    <n v="0.18"/>
    <n v="0.13639999999999999"/>
    <n v="0.37"/>
    <n v="0.44779999999999998"/>
    <n v="4"/>
    <n v="79"/>
    <n v="83"/>
  </r>
  <r>
    <n v="199"/>
    <x v="8"/>
    <x v="0"/>
    <x v="0"/>
    <n v="13"/>
    <x v="0"/>
    <x v="1"/>
    <x v="0"/>
    <n v="8.2000000000000011"/>
    <n v="0.2"/>
    <n v="0.16669999999999999"/>
    <n v="0.34"/>
    <n v="0.44779999999999998"/>
    <n v="6"/>
    <n v="69"/>
    <n v="75"/>
  </r>
  <r>
    <n v="200"/>
    <x v="8"/>
    <x v="0"/>
    <x v="0"/>
    <n v="14"/>
    <x v="0"/>
    <x v="1"/>
    <x v="0"/>
    <n v="9.02"/>
    <n v="0.22"/>
    <n v="0.18179999999999999"/>
    <n v="0.32"/>
    <n v="0.4627"/>
    <n v="8"/>
    <n v="64"/>
    <n v="72"/>
  </r>
  <r>
    <n v="201"/>
    <x v="8"/>
    <x v="0"/>
    <x v="0"/>
    <n v="15"/>
    <x v="0"/>
    <x v="1"/>
    <x v="0"/>
    <n v="9.02"/>
    <n v="0.22"/>
    <n v="0.19700000000000001"/>
    <n v="0.35"/>
    <n v="0.35820000000000002"/>
    <n v="5"/>
    <n v="77"/>
    <n v="82"/>
  </r>
  <r>
    <n v="202"/>
    <x v="8"/>
    <x v="0"/>
    <x v="0"/>
    <n v="16"/>
    <x v="0"/>
    <x v="1"/>
    <x v="0"/>
    <n v="8.2000000000000011"/>
    <n v="0.2"/>
    <n v="0.16669999999999999"/>
    <n v="0.34"/>
    <n v="0.44779999999999998"/>
    <n v="13"/>
    <n v="79"/>
    <n v="92"/>
  </r>
  <r>
    <n v="203"/>
    <x v="8"/>
    <x v="0"/>
    <x v="0"/>
    <n v="17"/>
    <x v="0"/>
    <x v="1"/>
    <x v="0"/>
    <n v="7.38"/>
    <n v="0.18"/>
    <n v="0.1515"/>
    <n v="0.37"/>
    <n v="0.3881"/>
    <n v="3"/>
    <n v="59"/>
    <n v="62"/>
  </r>
  <r>
    <n v="204"/>
    <x v="8"/>
    <x v="0"/>
    <x v="0"/>
    <n v="18"/>
    <x v="0"/>
    <x v="1"/>
    <x v="0"/>
    <n v="6.5600000000000005"/>
    <n v="0.16"/>
    <n v="0.13639999999999999"/>
    <n v="0.4"/>
    <n v="0.32840000000000003"/>
    <n v="4"/>
    <n v="44"/>
    <n v="48"/>
  </r>
  <r>
    <n v="205"/>
    <x v="8"/>
    <x v="0"/>
    <x v="0"/>
    <n v="19"/>
    <x v="0"/>
    <x v="1"/>
    <x v="0"/>
    <n v="6.5600000000000005"/>
    <n v="0.16"/>
    <n v="0.13639999999999999"/>
    <n v="0.43"/>
    <n v="0.32840000000000003"/>
    <n v="1"/>
    <n v="40"/>
    <n v="41"/>
  </r>
  <r>
    <n v="206"/>
    <x v="8"/>
    <x v="0"/>
    <x v="0"/>
    <n v="20"/>
    <x v="0"/>
    <x v="1"/>
    <x v="0"/>
    <n v="5.74"/>
    <n v="0.14000000000000001"/>
    <n v="0.1212"/>
    <n v="0.46"/>
    <n v="0.25369999999999998"/>
    <n v="0"/>
    <n v="38"/>
    <n v="38"/>
  </r>
  <r>
    <n v="207"/>
    <x v="8"/>
    <x v="0"/>
    <x v="0"/>
    <n v="21"/>
    <x v="0"/>
    <x v="1"/>
    <x v="0"/>
    <n v="5.74"/>
    <n v="0.14000000000000001"/>
    <n v="0.1061"/>
    <n v="0.46"/>
    <n v="0.41789999999999999"/>
    <n v="1"/>
    <n v="19"/>
    <n v="20"/>
  </r>
  <r>
    <n v="208"/>
    <x v="8"/>
    <x v="0"/>
    <x v="0"/>
    <n v="22"/>
    <x v="0"/>
    <x v="1"/>
    <x v="0"/>
    <n v="5.74"/>
    <n v="0.14000000000000001"/>
    <n v="0.1212"/>
    <n v="0.46"/>
    <n v="0.29849999999999999"/>
    <n v="5"/>
    <n v="10"/>
    <n v="15"/>
  </r>
  <r>
    <n v="209"/>
    <x v="8"/>
    <x v="0"/>
    <x v="0"/>
    <n v="23"/>
    <x v="0"/>
    <x v="1"/>
    <x v="0"/>
    <n v="4.92"/>
    <n v="0.12"/>
    <n v="0.13639999999999999"/>
    <n v="0.5"/>
    <n v="0.19400000000000001"/>
    <n v="0"/>
    <n v="6"/>
    <n v="6"/>
  </r>
  <r>
    <n v="210"/>
    <x v="9"/>
    <x v="0"/>
    <x v="0"/>
    <n v="0"/>
    <x v="0"/>
    <x v="2"/>
    <x v="0"/>
    <n v="4.92"/>
    <n v="0.12"/>
    <n v="0.1212"/>
    <n v="0.5"/>
    <n v="0.28360000000000002"/>
    <n v="2"/>
    <n v="3"/>
    <n v="5"/>
  </r>
  <r>
    <n v="211"/>
    <x v="9"/>
    <x v="0"/>
    <x v="0"/>
    <n v="1"/>
    <x v="0"/>
    <x v="2"/>
    <x v="0"/>
    <n v="4.92"/>
    <n v="0.12"/>
    <n v="0.1212"/>
    <n v="0.5"/>
    <n v="0.28360000000000002"/>
    <n v="1"/>
    <n v="0"/>
    <n v="1"/>
  </r>
  <r>
    <n v="212"/>
    <x v="9"/>
    <x v="0"/>
    <x v="0"/>
    <n v="2"/>
    <x v="0"/>
    <x v="2"/>
    <x v="0"/>
    <n v="4.92"/>
    <n v="0.12"/>
    <n v="0.1212"/>
    <n v="0.5"/>
    <n v="0.22389999999999999"/>
    <n v="0"/>
    <n v="3"/>
    <n v="3"/>
  </r>
  <r>
    <n v="213"/>
    <x v="9"/>
    <x v="0"/>
    <x v="0"/>
    <n v="3"/>
    <x v="0"/>
    <x v="2"/>
    <x v="0"/>
    <n v="4.92"/>
    <n v="0.12"/>
    <n v="0.1212"/>
    <n v="0.5"/>
    <n v="0.22389999999999999"/>
    <n v="0"/>
    <n v="1"/>
    <n v="1"/>
  </r>
  <r>
    <n v="214"/>
    <x v="9"/>
    <x v="0"/>
    <x v="0"/>
    <n v="4"/>
    <x v="0"/>
    <x v="2"/>
    <x v="0"/>
    <n v="4.1000000000000005"/>
    <n v="0.1"/>
    <n v="0.1212"/>
    <n v="0.54"/>
    <n v="0.1343"/>
    <n v="1"/>
    <n v="2"/>
    <n v="3"/>
  </r>
  <r>
    <n v="215"/>
    <x v="9"/>
    <x v="0"/>
    <x v="0"/>
    <n v="5"/>
    <x v="0"/>
    <x v="2"/>
    <x v="0"/>
    <n v="4.1000000000000005"/>
    <n v="0.1"/>
    <n v="0.1061"/>
    <n v="0.54"/>
    <n v="0.25369999999999998"/>
    <n v="0"/>
    <n v="3"/>
    <n v="3"/>
  </r>
  <r>
    <n v="216"/>
    <x v="9"/>
    <x v="0"/>
    <x v="0"/>
    <n v="6"/>
    <x v="0"/>
    <x v="2"/>
    <x v="0"/>
    <n v="4.92"/>
    <n v="0.12"/>
    <n v="0.1212"/>
    <n v="0.5"/>
    <n v="0.28360000000000002"/>
    <n v="0"/>
    <n v="31"/>
    <n v="31"/>
  </r>
  <r>
    <n v="217"/>
    <x v="9"/>
    <x v="0"/>
    <x v="0"/>
    <n v="7"/>
    <x v="0"/>
    <x v="2"/>
    <x v="0"/>
    <n v="4.92"/>
    <n v="0.12"/>
    <n v="0.1212"/>
    <n v="0.5"/>
    <n v="0.22389999999999999"/>
    <n v="2"/>
    <n v="75"/>
    <n v="77"/>
  </r>
  <r>
    <n v="218"/>
    <x v="9"/>
    <x v="0"/>
    <x v="0"/>
    <n v="8"/>
    <x v="0"/>
    <x v="2"/>
    <x v="1"/>
    <n v="4.92"/>
    <n v="0.12"/>
    <n v="0.1212"/>
    <n v="0.5"/>
    <n v="0.28360000000000002"/>
    <n v="4"/>
    <n v="184"/>
    <n v="188"/>
  </r>
  <r>
    <n v="219"/>
    <x v="9"/>
    <x v="0"/>
    <x v="0"/>
    <n v="9"/>
    <x v="0"/>
    <x v="2"/>
    <x v="1"/>
    <n v="5.74"/>
    <n v="0.14000000000000001"/>
    <n v="0.1212"/>
    <n v="0.5"/>
    <n v="0.25369999999999998"/>
    <n v="2"/>
    <n v="92"/>
    <n v="94"/>
  </r>
  <r>
    <n v="220"/>
    <x v="9"/>
    <x v="0"/>
    <x v="0"/>
    <n v="10"/>
    <x v="0"/>
    <x v="2"/>
    <x v="1"/>
    <n v="5.74"/>
    <n v="0.14000000000000001"/>
    <n v="0.1212"/>
    <n v="0.5"/>
    <n v="0.29849999999999999"/>
    <n v="0"/>
    <n v="31"/>
    <n v="31"/>
  </r>
  <r>
    <n v="221"/>
    <x v="9"/>
    <x v="0"/>
    <x v="0"/>
    <n v="11"/>
    <x v="0"/>
    <x v="2"/>
    <x v="1"/>
    <n v="6.5600000000000005"/>
    <n v="0.16"/>
    <n v="0.13639999999999999"/>
    <n v="0.47"/>
    <n v="0.28360000000000002"/>
    <n v="2"/>
    <n v="28"/>
    <n v="30"/>
  </r>
  <r>
    <n v="222"/>
    <x v="9"/>
    <x v="0"/>
    <x v="0"/>
    <n v="12"/>
    <x v="0"/>
    <x v="2"/>
    <x v="1"/>
    <n v="8.2000000000000011"/>
    <n v="0.2"/>
    <n v="0.18179999999999999"/>
    <n v="0.4"/>
    <n v="0.28360000000000002"/>
    <n v="5"/>
    <n v="47"/>
    <n v="52"/>
  </r>
  <r>
    <n v="223"/>
    <x v="9"/>
    <x v="0"/>
    <x v="0"/>
    <n v="13"/>
    <x v="0"/>
    <x v="2"/>
    <x v="1"/>
    <n v="8.2000000000000011"/>
    <n v="0.2"/>
    <n v="0.18179999999999999"/>
    <n v="0.4"/>
    <n v="0.28360000000000002"/>
    <n v="4"/>
    <n v="50"/>
    <n v="54"/>
  </r>
  <r>
    <n v="224"/>
    <x v="9"/>
    <x v="0"/>
    <x v="0"/>
    <n v="14"/>
    <x v="0"/>
    <x v="2"/>
    <x v="1"/>
    <n v="8.2000000000000011"/>
    <n v="0.2"/>
    <n v="0.19700000000000001"/>
    <n v="0.4"/>
    <n v="0.22389999999999999"/>
    <n v="0"/>
    <n v="47"/>
    <n v="47"/>
  </r>
  <r>
    <n v="225"/>
    <x v="9"/>
    <x v="0"/>
    <x v="0"/>
    <n v="15"/>
    <x v="0"/>
    <x v="2"/>
    <x v="1"/>
    <n v="8.2000000000000011"/>
    <n v="0.2"/>
    <n v="0.19700000000000001"/>
    <n v="0.4"/>
    <n v="0.22389999999999999"/>
    <n v="2"/>
    <n v="43"/>
    <n v="45"/>
  </r>
  <r>
    <n v="226"/>
    <x v="9"/>
    <x v="0"/>
    <x v="0"/>
    <n v="16"/>
    <x v="0"/>
    <x v="2"/>
    <x v="0"/>
    <n v="8.2000000000000011"/>
    <n v="0.2"/>
    <n v="0.21210000000000001"/>
    <n v="0.4"/>
    <n v="0.1343"/>
    <n v="4"/>
    <n v="70"/>
    <n v="74"/>
  </r>
  <r>
    <n v="227"/>
    <x v="9"/>
    <x v="0"/>
    <x v="0"/>
    <n v="17"/>
    <x v="0"/>
    <x v="2"/>
    <x v="0"/>
    <n v="8.2000000000000011"/>
    <n v="0.2"/>
    <n v="0.2273"/>
    <n v="0.4"/>
    <n v="0.1045"/>
    <n v="4"/>
    <n v="174"/>
    <n v="178"/>
  </r>
  <r>
    <n v="228"/>
    <x v="9"/>
    <x v="0"/>
    <x v="0"/>
    <n v="18"/>
    <x v="0"/>
    <x v="2"/>
    <x v="0"/>
    <n v="8.2000000000000011"/>
    <n v="0.2"/>
    <n v="0.19700000000000001"/>
    <n v="0.4"/>
    <n v="0.22389999999999999"/>
    <n v="1"/>
    <n v="154"/>
    <n v="155"/>
  </r>
  <r>
    <n v="229"/>
    <x v="9"/>
    <x v="0"/>
    <x v="0"/>
    <n v="19"/>
    <x v="0"/>
    <x v="2"/>
    <x v="0"/>
    <n v="6.5600000000000005"/>
    <n v="0.16"/>
    <n v="0.16669999999999999"/>
    <n v="0.47"/>
    <n v="0.16420000000000001"/>
    <n v="3"/>
    <n v="92"/>
    <n v="95"/>
  </r>
  <r>
    <n v="230"/>
    <x v="9"/>
    <x v="0"/>
    <x v="0"/>
    <n v="20"/>
    <x v="0"/>
    <x v="2"/>
    <x v="0"/>
    <n v="6.5600000000000005"/>
    <n v="0.16"/>
    <n v="0.16669999999999999"/>
    <n v="0.5"/>
    <n v="0.16420000000000001"/>
    <n v="1"/>
    <n v="73"/>
    <n v="74"/>
  </r>
  <r>
    <n v="231"/>
    <x v="9"/>
    <x v="0"/>
    <x v="0"/>
    <n v="21"/>
    <x v="0"/>
    <x v="2"/>
    <x v="0"/>
    <n v="5.74"/>
    <n v="0.14000000000000001"/>
    <n v="0.13639999999999999"/>
    <n v="0.59"/>
    <n v="0.19400000000000001"/>
    <n v="1"/>
    <n v="37"/>
    <n v="38"/>
  </r>
  <r>
    <n v="232"/>
    <x v="9"/>
    <x v="0"/>
    <x v="0"/>
    <n v="22"/>
    <x v="0"/>
    <x v="2"/>
    <x v="0"/>
    <n v="5.74"/>
    <n v="0.14000000000000001"/>
    <n v="0.1515"/>
    <n v="0.59"/>
    <n v="0.16420000000000001"/>
    <n v="2"/>
    <n v="22"/>
    <n v="24"/>
  </r>
  <r>
    <n v="233"/>
    <x v="9"/>
    <x v="0"/>
    <x v="0"/>
    <n v="23"/>
    <x v="0"/>
    <x v="2"/>
    <x v="0"/>
    <n v="5.74"/>
    <n v="0.14000000000000001"/>
    <n v="0.1515"/>
    <n v="0.59"/>
    <n v="0.16420000000000001"/>
    <n v="0"/>
    <n v="18"/>
    <n v="18"/>
  </r>
  <r>
    <n v="234"/>
    <x v="10"/>
    <x v="0"/>
    <x v="0"/>
    <n v="0"/>
    <x v="0"/>
    <x v="3"/>
    <x v="0"/>
    <n v="5.74"/>
    <n v="0.14000000000000001"/>
    <n v="0.16669999999999999"/>
    <n v="0.59"/>
    <n v="0.1045"/>
    <n v="2"/>
    <n v="10"/>
    <n v="12"/>
  </r>
  <r>
    <n v="235"/>
    <x v="10"/>
    <x v="0"/>
    <x v="0"/>
    <n v="1"/>
    <x v="0"/>
    <x v="3"/>
    <x v="0"/>
    <n v="5.74"/>
    <n v="0.14000000000000001"/>
    <n v="0.1515"/>
    <n v="0.59"/>
    <n v="0.16420000000000001"/>
    <n v="0"/>
    <n v="3"/>
    <n v="3"/>
  </r>
  <r>
    <n v="236"/>
    <x v="10"/>
    <x v="0"/>
    <x v="0"/>
    <n v="2"/>
    <x v="0"/>
    <x v="3"/>
    <x v="1"/>
    <n v="6.5600000000000005"/>
    <n v="0.16"/>
    <n v="0.1515"/>
    <n v="0.55000000000000004"/>
    <n v="0.19400000000000001"/>
    <n v="0"/>
    <n v="3"/>
    <n v="3"/>
  </r>
  <r>
    <n v="237"/>
    <x v="10"/>
    <x v="0"/>
    <x v="0"/>
    <n v="5"/>
    <x v="0"/>
    <x v="3"/>
    <x v="1"/>
    <n v="6.5600000000000005"/>
    <n v="0.16"/>
    <n v="0.18179999999999999"/>
    <n v="0.55000000000000004"/>
    <n v="0.1343"/>
    <n v="0"/>
    <n v="6"/>
    <n v="6"/>
  </r>
  <r>
    <n v="238"/>
    <x v="10"/>
    <x v="0"/>
    <x v="0"/>
    <n v="6"/>
    <x v="0"/>
    <x v="3"/>
    <x v="1"/>
    <n v="6.5600000000000005"/>
    <n v="0.16"/>
    <n v="0.18179999999999999"/>
    <n v="0.55000000000000004"/>
    <n v="0.1343"/>
    <n v="0"/>
    <n v="27"/>
    <n v="27"/>
  </r>
  <r>
    <n v="239"/>
    <x v="10"/>
    <x v="0"/>
    <x v="0"/>
    <n v="7"/>
    <x v="0"/>
    <x v="3"/>
    <x v="1"/>
    <n v="6.5600000000000005"/>
    <n v="0.16"/>
    <n v="0.2273"/>
    <n v="0.55000000000000004"/>
    <n v="0"/>
    <n v="2"/>
    <n v="97"/>
    <n v="99"/>
  </r>
  <r>
    <n v="240"/>
    <x v="10"/>
    <x v="0"/>
    <x v="0"/>
    <n v="8"/>
    <x v="0"/>
    <x v="3"/>
    <x v="1"/>
    <n v="7.38"/>
    <n v="0.18"/>
    <n v="0.21210000000000001"/>
    <n v="0.51"/>
    <n v="8.9599999999999999E-2"/>
    <n v="3"/>
    <n v="214"/>
    <n v="217"/>
  </r>
  <r>
    <n v="241"/>
    <x v="10"/>
    <x v="0"/>
    <x v="0"/>
    <n v="9"/>
    <x v="0"/>
    <x v="3"/>
    <x v="1"/>
    <n v="7.38"/>
    <n v="0.18"/>
    <n v="0.19700000000000001"/>
    <n v="0.51"/>
    <n v="0.16420000000000001"/>
    <n v="3"/>
    <n v="127"/>
    <n v="130"/>
  </r>
  <r>
    <n v="242"/>
    <x v="10"/>
    <x v="0"/>
    <x v="0"/>
    <n v="10"/>
    <x v="0"/>
    <x v="3"/>
    <x v="1"/>
    <n v="8.2000000000000011"/>
    <n v="0.2"/>
    <n v="0.21210000000000001"/>
    <n v="0.51"/>
    <n v="0.16420000000000001"/>
    <n v="3"/>
    <n v="51"/>
    <n v="54"/>
  </r>
  <r>
    <n v="243"/>
    <x v="10"/>
    <x v="0"/>
    <x v="0"/>
    <n v="11"/>
    <x v="0"/>
    <x v="3"/>
    <x v="1"/>
    <n v="8.2000000000000011"/>
    <n v="0.2"/>
    <n v="0.21210000000000001"/>
    <n v="0.47"/>
    <n v="0.1343"/>
    <n v="4"/>
    <n v="31"/>
    <n v="35"/>
  </r>
  <r>
    <n v="244"/>
    <x v="10"/>
    <x v="0"/>
    <x v="0"/>
    <n v="12"/>
    <x v="0"/>
    <x v="3"/>
    <x v="1"/>
    <n v="8.2000000000000011"/>
    <n v="0.2"/>
    <n v="0.2273"/>
    <n v="0.51"/>
    <n v="0.1045"/>
    <n v="2"/>
    <n v="55"/>
    <n v="57"/>
  </r>
  <r>
    <n v="245"/>
    <x v="10"/>
    <x v="0"/>
    <x v="0"/>
    <n v="13"/>
    <x v="0"/>
    <x v="3"/>
    <x v="1"/>
    <n v="8.2000000000000011"/>
    <n v="0.2"/>
    <n v="0.2273"/>
    <n v="0.59"/>
    <n v="8.9599999999999999E-2"/>
    <n v="6"/>
    <n v="46"/>
    <n v="52"/>
  </r>
  <r>
    <n v="246"/>
    <x v="10"/>
    <x v="0"/>
    <x v="0"/>
    <n v="14"/>
    <x v="0"/>
    <x v="3"/>
    <x v="1"/>
    <n v="8.2000000000000011"/>
    <n v="0.2"/>
    <n v="0.2273"/>
    <n v="0.59"/>
    <n v="8.9599999999999999E-2"/>
    <n v="3"/>
    <n v="60"/>
    <n v="63"/>
  </r>
  <r>
    <n v="247"/>
    <x v="10"/>
    <x v="0"/>
    <x v="0"/>
    <n v="15"/>
    <x v="0"/>
    <x v="3"/>
    <x v="1"/>
    <n v="6.5600000000000005"/>
    <n v="0.16"/>
    <n v="0.19700000000000001"/>
    <n v="0.8"/>
    <n v="8.9599999999999999E-2"/>
    <n v="2"/>
    <n v="45"/>
    <n v="47"/>
  </r>
  <r>
    <n v="248"/>
    <x v="10"/>
    <x v="0"/>
    <x v="0"/>
    <n v="16"/>
    <x v="0"/>
    <x v="3"/>
    <x v="1"/>
    <n v="6.5600000000000005"/>
    <n v="0.16"/>
    <n v="0.1515"/>
    <n v="0.86"/>
    <n v="0.22389999999999999"/>
    <n v="4"/>
    <n v="72"/>
    <n v="76"/>
  </r>
  <r>
    <n v="249"/>
    <x v="10"/>
    <x v="0"/>
    <x v="0"/>
    <n v="17"/>
    <x v="0"/>
    <x v="3"/>
    <x v="1"/>
    <n v="6.5600000000000005"/>
    <n v="0.16"/>
    <n v="0.1515"/>
    <n v="0.86"/>
    <n v="0.22389999999999999"/>
    <n v="6"/>
    <n v="130"/>
    <n v="136"/>
  </r>
  <r>
    <n v="250"/>
    <x v="10"/>
    <x v="0"/>
    <x v="0"/>
    <n v="18"/>
    <x v="0"/>
    <x v="3"/>
    <x v="2"/>
    <n v="6.5600000000000005"/>
    <n v="0.16"/>
    <n v="0.18179999999999999"/>
    <n v="0.93"/>
    <n v="0.1045"/>
    <n v="1"/>
    <n v="94"/>
    <n v="95"/>
  </r>
  <r>
    <n v="251"/>
    <x v="10"/>
    <x v="0"/>
    <x v="0"/>
    <n v="19"/>
    <x v="0"/>
    <x v="3"/>
    <x v="2"/>
    <n v="6.5600000000000005"/>
    <n v="0.16"/>
    <n v="0.2273"/>
    <n v="0.93"/>
    <n v="0"/>
    <n v="0"/>
    <n v="51"/>
    <n v="51"/>
  </r>
  <r>
    <n v="252"/>
    <x v="10"/>
    <x v="0"/>
    <x v="0"/>
    <n v="20"/>
    <x v="0"/>
    <x v="3"/>
    <x v="2"/>
    <n v="6.5600000000000005"/>
    <n v="0.16"/>
    <n v="0.1515"/>
    <n v="0.93"/>
    <n v="0.19400000000000001"/>
    <n v="0"/>
    <n v="32"/>
    <n v="32"/>
  </r>
  <r>
    <n v="253"/>
    <x v="10"/>
    <x v="0"/>
    <x v="0"/>
    <n v="21"/>
    <x v="0"/>
    <x v="3"/>
    <x v="2"/>
    <n v="6.5600000000000005"/>
    <n v="0.16"/>
    <n v="0.19700000000000001"/>
    <n v="0.86"/>
    <n v="8.9599999999999999E-2"/>
    <n v="0"/>
    <n v="20"/>
    <n v="20"/>
  </r>
  <r>
    <n v="254"/>
    <x v="10"/>
    <x v="0"/>
    <x v="0"/>
    <n v="22"/>
    <x v="0"/>
    <x v="3"/>
    <x v="2"/>
    <n v="6.5600000000000005"/>
    <n v="0.16"/>
    <n v="0.18179999999999999"/>
    <n v="0.93"/>
    <n v="0.1045"/>
    <n v="1"/>
    <n v="28"/>
    <n v="29"/>
  </r>
  <r>
    <n v="255"/>
    <x v="10"/>
    <x v="0"/>
    <x v="0"/>
    <n v="23"/>
    <x v="0"/>
    <x v="3"/>
    <x v="2"/>
    <n v="6.5600000000000005"/>
    <n v="0.16"/>
    <n v="0.19700000000000001"/>
    <n v="0.93"/>
    <n v="8.9599999999999999E-2"/>
    <n v="1"/>
    <n v="18"/>
    <n v="19"/>
  </r>
  <r>
    <n v="256"/>
    <x v="11"/>
    <x v="0"/>
    <x v="0"/>
    <n v="0"/>
    <x v="0"/>
    <x v="4"/>
    <x v="1"/>
    <n v="6.5600000000000005"/>
    <n v="0.16"/>
    <n v="0.19700000000000001"/>
    <n v="0.86"/>
    <n v="8.9599999999999999E-2"/>
    <n v="0"/>
    <n v="7"/>
    <n v="7"/>
  </r>
  <r>
    <n v="257"/>
    <x v="11"/>
    <x v="0"/>
    <x v="0"/>
    <n v="1"/>
    <x v="0"/>
    <x v="4"/>
    <x v="1"/>
    <n v="6.5600000000000005"/>
    <n v="0.16"/>
    <n v="0.18179999999999999"/>
    <n v="0.86"/>
    <n v="0.1045"/>
    <n v="0"/>
    <n v="6"/>
    <n v="6"/>
  </r>
  <r>
    <n v="258"/>
    <x v="11"/>
    <x v="0"/>
    <x v="0"/>
    <n v="2"/>
    <x v="0"/>
    <x v="4"/>
    <x v="0"/>
    <n v="5.74"/>
    <n v="0.14000000000000001"/>
    <n v="0.1515"/>
    <n v="0.86"/>
    <n v="0.1343"/>
    <n v="0"/>
    <n v="1"/>
    <n v="1"/>
  </r>
  <r>
    <n v="259"/>
    <x v="11"/>
    <x v="0"/>
    <x v="0"/>
    <n v="5"/>
    <x v="0"/>
    <x v="4"/>
    <x v="0"/>
    <n v="5.74"/>
    <n v="0.14000000000000001"/>
    <n v="0.1515"/>
    <n v="0.86"/>
    <n v="0.16420000000000001"/>
    <n v="0"/>
    <n v="5"/>
    <n v="5"/>
  </r>
  <r>
    <n v="260"/>
    <x v="11"/>
    <x v="0"/>
    <x v="0"/>
    <n v="6"/>
    <x v="0"/>
    <x v="4"/>
    <x v="0"/>
    <n v="4.92"/>
    <n v="0.12"/>
    <n v="0.1515"/>
    <n v="0.93"/>
    <n v="0.1343"/>
    <n v="0"/>
    <n v="16"/>
    <n v="16"/>
  </r>
  <r>
    <n v="261"/>
    <x v="11"/>
    <x v="0"/>
    <x v="0"/>
    <n v="7"/>
    <x v="0"/>
    <x v="4"/>
    <x v="0"/>
    <n v="5.74"/>
    <n v="0.14000000000000001"/>
    <n v="0.1515"/>
    <n v="0.69"/>
    <n v="0.1343"/>
    <n v="0"/>
    <n v="54"/>
    <n v="54"/>
  </r>
  <r>
    <n v="262"/>
    <x v="11"/>
    <x v="0"/>
    <x v="0"/>
    <n v="8"/>
    <x v="0"/>
    <x v="4"/>
    <x v="0"/>
    <n v="6.5600000000000005"/>
    <n v="0.16"/>
    <n v="0.16669999999999999"/>
    <n v="0.59"/>
    <n v="0.16420000000000001"/>
    <n v="3"/>
    <n v="125"/>
    <n v="128"/>
  </r>
  <r>
    <n v="263"/>
    <x v="11"/>
    <x v="0"/>
    <x v="0"/>
    <n v="9"/>
    <x v="0"/>
    <x v="4"/>
    <x v="0"/>
    <n v="6.5600000000000005"/>
    <n v="0.16"/>
    <n v="0.13639999999999999"/>
    <n v="0.59"/>
    <n v="0.32840000000000003"/>
    <n v="3"/>
    <n v="78"/>
    <n v="81"/>
  </r>
  <r>
    <n v="264"/>
    <x v="11"/>
    <x v="0"/>
    <x v="0"/>
    <n v="10"/>
    <x v="0"/>
    <x v="4"/>
    <x v="0"/>
    <n v="7.38"/>
    <n v="0.18"/>
    <n v="0.18179999999999999"/>
    <n v="0.55000000000000004"/>
    <n v="0.22389999999999999"/>
    <n v="0"/>
    <n v="39"/>
    <n v="39"/>
  </r>
  <r>
    <n v="265"/>
    <x v="11"/>
    <x v="0"/>
    <x v="0"/>
    <n v="11"/>
    <x v="0"/>
    <x v="4"/>
    <x v="0"/>
    <n v="8.2000000000000011"/>
    <n v="0.2"/>
    <n v="0.18179999999999999"/>
    <n v="0.51"/>
    <n v="0.3881"/>
    <n v="3"/>
    <n v="32"/>
    <n v="35"/>
  </r>
  <r>
    <n v="266"/>
    <x v="11"/>
    <x v="0"/>
    <x v="0"/>
    <n v="12"/>
    <x v="0"/>
    <x v="4"/>
    <x v="0"/>
    <n v="8.2000000000000011"/>
    <n v="0.2"/>
    <n v="0.1515"/>
    <n v="0.47"/>
    <n v="0.58209999999999995"/>
    <n v="3"/>
    <n v="52"/>
    <n v="55"/>
  </r>
  <r>
    <n v="267"/>
    <x v="11"/>
    <x v="0"/>
    <x v="0"/>
    <n v="13"/>
    <x v="0"/>
    <x v="4"/>
    <x v="0"/>
    <n v="9.02"/>
    <n v="0.22"/>
    <n v="0.19700000000000001"/>
    <n v="0.44"/>
    <n v="0.35820000000000002"/>
    <n v="0"/>
    <n v="49"/>
    <n v="49"/>
  </r>
  <r>
    <n v="268"/>
    <x v="11"/>
    <x v="0"/>
    <x v="0"/>
    <n v="14"/>
    <x v="0"/>
    <x v="4"/>
    <x v="0"/>
    <n v="8.2000000000000011"/>
    <n v="0.2"/>
    <n v="0.18179999999999999"/>
    <n v="0.47"/>
    <n v="0.32840000000000003"/>
    <n v="0"/>
    <n v="44"/>
    <n v="44"/>
  </r>
  <r>
    <n v="269"/>
    <x v="11"/>
    <x v="0"/>
    <x v="0"/>
    <n v="15"/>
    <x v="0"/>
    <x v="4"/>
    <x v="0"/>
    <n v="8.2000000000000011"/>
    <n v="0.2"/>
    <n v="0.16669999999999999"/>
    <n v="0.47"/>
    <n v="0.41789999999999999"/>
    <n v="1"/>
    <n v="48"/>
    <n v="49"/>
  </r>
  <r>
    <n v="270"/>
    <x v="11"/>
    <x v="0"/>
    <x v="0"/>
    <n v="16"/>
    <x v="0"/>
    <x v="4"/>
    <x v="0"/>
    <n v="9.02"/>
    <n v="0.22"/>
    <n v="0.19700000000000001"/>
    <n v="0.44"/>
    <n v="0.32840000000000003"/>
    <n v="5"/>
    <n v="63"/>
    <n v="68"/>
  </r>
  <r>
    <n v="271"/>
    <x v="11"/>
    <x v="0"/>
    <x v="0"/>
    <n v="17"/>
    <x v="0"/>
    <x v="4"/>
    <x v="0"/>
    <n v="8.2000000000000011"/>
    <n v="0.2"/>
    <n v="0.18179999999999999"/>
    <n v="0.47"/>
    <n v="0.35820000000000002"/>
    <n v="0"/>
    <n v="139"/>
    <n v="139"/>
  </r>
  <r>
    <n v="272"/>
    <x v="11"/>
    <x v="0"/>
    <x v="0"/>
    <n v="18"/>
    <x v="0"/>
    <x v="4"/>
    <x v="0"/>
    <n v="8.2000000000000011"/>
    <n v="0.2"/>
    <n v="0.1515"/>
    <n v="0.47"/>
    <n v="0.52239999999999998"/>
    <n v="2"/>
    <n v="135"/>
    <n v="137"/>
  </r>
  <r>
    <n v="273"/>
    <x v="11"/>
    <x v="0"/>
    <x v="0"/>
    <n v="19"/>
    <x v="0"/>
    <x v="4"/>
    <x v="0"/>
    <n v="7.38"/>
    <n v="0.18"/>
    <n v="0.1515"/>
    <n v="0.47"/>
    <n v="0.41789999999999999"/>
    <n v="1"/>
    <n v="82"/>
    <n v="83"/>
  </r>
  <r>
    <n v="274"/>
    <x v="11"/>
    <x v="0"/>
    <x v="0"/>
    <n v="20"/>
    <x v="0"/>
    <x v="4"/>
    <x v="0"/>
    <n v="6.5600000000000005"/>
    <n v="0.16"/>
    <n v="0.13639999999999999"/>
    <n v="0.5"/>
    <n v="0.32840000000000003"/>
    <n v="2"/>
    <n v="54"/>
    <n v="56"/>
  </r>
  <r>
    <n v="275"/>
    <x v="11"/>
    <x v="0"/>
    <x v="0"/>
    <n v="21"/>
    <x v="0"/>
    <x v="4"/>
    <x v="0"/>
    <n v="6.5600000000000005"/>
    <n v="0.16"/>
    <n v="0.13639999999999999"/>
    <n v="0.55000000000000004"/>
    <n v="0.32840000000000003"/>
    <n v="0"/>
    <n v="57"/>
    <n v="57"/>
  </r>
  <r>
    <n v="276"/>
    <x v="11"/>
    <x v="0"/>
    <x v="0"/>
    <n v="22"/>
    <x v="0"/>
    <x v="4"/>
    <x v="0"/>
    <n v="6.5600000000000005"/>
    <n v="0.16"/>
    <n v="0.1212"/>
    <n v="0.55000000000000004"/>
    <n v="0.44779999999999998"/>
    <n v="1"/>
    <n v="32"/>
    <n v="33"/>
  </r>
  <r>
    <n v="277"/>
    <x v="11"/>
    <x v="0"/>
    <x v="0"/>
    <n v="23"/>
    <x v="0"/>
    <x v="4"/>
    <x v="0"/>
    <n v="5.74"/>
    <n v="0.14000000000000001"/>
    <n v="0.1061"/>
    <n v="0.59"/>
    <n v="0.41789999999999999"/>
    <n v="1"/>
    <n v="19"/>
    <n v="20"/>
  </r>
  <r>
    <n v="278"/>
    <x v="12"/>
    <x v="0"/>
    <x v="0"/>
    <n v="0"/>
    <x v="0"/>
    <x v="5"/>
    <x v="0"/>
    <n v="5.74"/>
    <n v="0.14000000000000001"/>
    <n v="0.1212"/>
    <n v="0.59"/>
    <n v="0.28360000000000002"/>
    <n v="1"/>
    <n v="6"/>
    <n v="7"/>
  </r>
  <r>
    <n v="279"/>
    <x v="12"/>
    <x v="0"/>
    <x v="0"/>
    <n v="1"/>
    <x v="0"/>
    <x v="5"/>
    <x v="0"/>
    <n v="5.74"/>
    <n v="0.14000000000000001"/>
    <n v="0.1212"/>
    <n v="0.5"/>
    <n v="0.28360000000000002"/>
    <n v="0"/>
    <n v="2"/>
    <n v="2"/>
  </r>
  <r>
    <n v="280"/>
    <x v="12"/>
    <x v="0"/>
    <x v="0"/>
    <n v="2"/>
    <x v="0"/>
    <x v="5"/>
    <x v="0"/>
    <n v="5.74"/>
    <n v="0.14000000000000001"/>
    <n v="0.1212"/>
    <n v="0.5"/>
    <n v="0.35820000000000002"/>
    <n v="0"/>
    <n v="2"/>
    <n v="2"/>
  </r>
  <r>
    <n v="281"/>
    <x v="12"/>
    <x v="0"/>
    <x v="0"/>
    <n v="3"/>
    <x v="0"/>
    <x v="5"/>
    <x v="0"/>
    <n v="5.74"/>
    <n v="0.14000000000000001"/>
    <n v="0.1212"/>
    <n v="0.5"/>
    <n v="0.32840000000000003"/>
    <n v="0"/>
    <n v="3"/>
    <n v="3"/>
  </r>
  <r>
    <n v="282"/>
    <x v="12"/>
    <x v="0"/>
    <x v="0"/>
    <n v="4"/>
    <x v="0"/>
    <x v="5"/>
    <x v="0"/>
    <n v="5.74"/>
    <n v="0.14000000000000001"/>
    <n v="0.1212"/>
    <n v="0.5"/>
    <n v="0.25369999999999998"/>
    <n v="0"/>
    <n v="4"/>
    <n v="4"/>
  </r>
  <r>
    <n v="283"/>
    <x v="12"/>
    <x v="0"/>
    <x v="0"/>
    <n v="5"/>
    <x v="0"/>
    <x v="5"/>
    <x v="0"/>
    <n v="5.74"/>
    <n v="0.14000000000000001"/>
    <n v="0.1212"/>
    <n v="0.5"/>
    <n v="0.29849999999999999"/>
    <n v="0"/>
    <n v="3"/>
    <n v="3"/>
  </r>
  <r>
    <n v="284"/>
    <x v="12"/>
    <x v="0"/>
    <x v="0"/>
    <n v="6"/>
    <x v="0"/>
    <x v="5"/>
    <x v="0"/>
    <n v="4.92"/>
    <n v="0.12"/>
    <n v="0.1515"/>
    <n v="0.54"/>
    <n v="0.1343"/>
    <n v="0"/>
    <n v="28"/>
    <n v="28"/>
  </r>
  <r>
    <n v="285"/>
    <x v="12"/>
    <x v="0"/>
    <x v="0"/>
    <n v="7"/>
    <x v="0"/>
    <x v="5"/>
    <x v="0"/>
    <n v="4.92"/>
    <n v="0.12"/>
    <n v="0.1515"/>
    <n v="0.54"/>
    <n v="0.1343"/>
    <n v="0"/>
    <n v="72"/>
    <n v="72"/>
  </r>
  <r>
    <n v="286"/>
    <x v="12"/>
    <x v="0"/>
    <x v="0"/>
    <n v="8"/>
    <x v="0"/>
    <x v="5"/>
    <x v="0"/>
    <n v="5.74"/>
    <n v="0.14000000000000001"/>
    <n v="0.13639999999999999"/>
    <n v="0.5"/>
    <n v="0.19400000000000001"/>
    <n v="5"/>
    <n v="197"/>
    <n v="202"/>
  </r>
  <r>
    <n v="287"/>
    <x v="12"/>
    <x v="0"/>
    <x v="0"/>
    <n v="9"/>
    <x v="0"/>
    <x v="5"/>
    <x v="0"/>
    <n v="5.74"/>
    <n v="0.14000000000000001"/>
    <n v="0.1212"/>
    <n v="0.5"/>
    <n v="0.32840000000000003"/>
    <n v="2"/>
    <n v="137"/>
    <n v="139"/>
  </r>
  <r>
    <n v="288"/>
    <x v="12"/>
    <x v="0"/>
    <x v="0"/>
    <n v="10"/>
    <x v="0"/>
    <x v="5"/>
    <x v="1"/>
    <n v="6.5600000000000005"/>
    <n v="0.16"/>
    <n v="0.13639999999999999"/>
    <n v="0.5"/>
    <n v="0.35820000000000002"/>
    <n v="2"/>
    <n v="36"/>
    <n v="38"/>
  </r>
  <r>
    <n v="289"/>
    <x v="12"/>
    <x v="0"/>
    <x v="0"/>
    <n v="11"/>
    <x v="0"/>
    <x v="5"/>
    <x v="1"/>
    <n v="8.2000000000000011"/>
    <n v="0.2"/>
    <n v="0.16669999999999999"/>
    <n v="0.44"/>
    <n v="0.44779999999999998"/>
    <n v="4"/>
    <n v="33"/>
    <n v="37"/>
  </r>
  <r>
    <n v="290"/>
    <x v="12"/>
    <x v="0"/>
    <x v="0"/>
    <n v="12"/>
    <x v="0"/>
    <x v="5"/>
    <x v="0"/>
    <n v="8.2000000000000011"/>
    <n v="0.2"/>
    <n v="0.16669999999999999"/>
    <n v="0.44"/>
    <n v="0.41789999999999999"/>
    <n v="3"/>
    <n v="49"/>
    <n v="52"/>
  </r>
  <r>
    <n v="291"/>
    <x v="12"/>
    <x v="0"/>
    <x v="0"/>
    <n v="13"/>
    <x v="0"/>
    <x v="5"/>
    <x v="0"/>
    <n v="9.02"/>
    <n v="0.22"/>
    <n v="0.19700000000000001"/>
    <n v="0.41"/>
    <n v="0.44779999999999998"/>
    <n v="2"/>
    <n v="81"/>
    <n v="83"/>
  </r>
  <r>
    <n v="292"/>
    <x v="12"/>
    <x v="0"/>
    <x v="0"/>
    <n v="14"/>
    <x v="0"/>
    <x v="5"/>
    <x v="0"/>
    <n v="9.02"/>
    <n v="0.22"/>
    <n v="0.19700000000000001"/>
    <n v="0.41"/>
    <n v="0.3881"/>
    <n v="3"/>
    <n v="39"/>
    <n v="42"/>
  </r>
  <r>
    <n v="293"/>
    <x v="12"/>
    <x v="0"/>
    <x v="0"/>
    <n v="15"/>
    <x v="0"/>
    <x v="5"/>
    <x v="0"/>
    <n v="9.84"/>
    <n v="0.24"/>
    <n v="0.21210000000000001"/>
    <n v="0.38"/>
    <n v="0.29849999999999999"/>
    <n v="5"/>
    <n v="55"/>
    <n v="60"/>
  </r>
  <r>
    <n v="294"/>
    <x v="12"/>
    <x v="0"/>
    <x v="0"/>
    <n v="16"/>
    <x v="0"/>
    <x v="5"/>
    <x v="0"/>
    <n v="9.84"/>
    <n v="0.24"/>
    <n v="0.21210000000000001"/>
    <n v="0.38"/>
    <n v="0.35820000000000002"/>
    <n v="2"/>
    <n v="76"/>
    <n v="78"/>
  </r>
  <r>
    <n v="295"/>
    <x v="12"/>
    <x v="0"/>
    <x v="0"/>
    <n v="17"/>
    <x v="0"/>
    <x v="5"/>
    <x v="0"/>
    <n v="8.2000000000000011"/>
    <n v="0.2"/>
    <n v="0.18179999999999999"/>
    <n v="0.4"/>
    <n v="0.28360000000000002"/>
    <n v="4"/>
    <n v="158"/>
    <n v="162"/>
  </r>
  <r>
    <n v="296"/>
    <x v="12"/>
    <x v="0"/>
    <x v="0"/>
    <n v="18"/>
    <x v="0"/>
    <x v="5"/>
    <x v="0"/>
    <n v="8.2000000000000011"/>
    <n v="0.2"/>
    <n v="0.18179999999999999"/>
    <n v="0.4"/>
    <n v="0.32840000000000003"/>
    <n v="3"/>
    <n v="141"/>
    <n v="144"/>
  </r>
  <r>
    <n v="297"/>
    <x v="12"/>
    <x v="0"/>
    <x v="0"/>
    <n v="19"/>
    <x v="0"/>
    <x v="5"/>
    <x v="0"/>
    <n v="6.5600000000000005"/>
    <n v="0.16"/>
    <n v="0.1515"/>
    <n v="0.47"/>
    <n v="0.25369999999999998"/>
    <n v="1"/>
    <n v="98"/>
    <n v="99"/>
  </r>
  <r>
    <n v="298"/>
    <x v="12"/>
    <x v="0"/>
    <x v="0"/>
    <n v="20"/>
    <x v="0"/>
    <x v="5"/>
    <x v="0"/>
    <n v="6.5600000000000005"/>
    <n v="0.16"/>
    <n v="0.1515"/>
    <n v="0.47"/>
    <n v="0.22389999999999999"/>
    <n v="0"/>
    <n v="64"/>
    <n v="64"/>
  </r>
  <r>
    <n v="299"/>
    <x v="12"/>
    <x v="0"/>
    <x v="0"/>
    <n v="21"/>
    <x v="0"/>
    <x v="5"/>
    <x v="0"/>
    <n v="5.74"/>
    <n v="0.14000000000000001"/>
    <n v="0.1212"/>
    <n v="0.46"/>
    <n v="0.29849999999999999"/>
    <n v="0"/>
    <n v="40"/>
    <n v="40"/>
  </r>
  <r>
    <n v="300"/>
    <x v="12"/>
    <x v="0"/>
    <x v="0"/>
    <n v="22"/>
    <x v="0"/>
    <x v="5"/>
    <x v="0"/>
    <n v="5.74"/>
    <n v="0.14000000000000001"/>
    <n v="0.1212"/>
    <n v="0.46"/>
    <n v="0.32840000000000003"/>
    <n v="0"/>
    <n v="30"/>
    <n v="30"/>
  </r>
  <r>
    <n v="301"/>
    <x v="12"/>
    <x v="0"/>
    <x v="0"/>
    <n v="23"/>
    <x v="0"/>
    <x v="5"/>
    <x v="0"/>
    <n v="4.92"/>
    <n v="0.12"/>
    <n v="0.13639999999999999"/>
    <n v="0.5"/>
    <n v="0.19400000000000001"/>
    <n v="1"/>
    <n v="14"/>
    <n v="15"/>
  </r>
  <r>
    <n v="302"/>
    <x v="13"/>
    <x v="0"/>
    <x v="0"/>
    <n v="0"/>
    <x v="0"/>
    <x v="6"/>
    <x v="0"/>
    <n v="4.92"/>
    <n v="0.12"/>
    <n v="0.13639999999999999"/>
    <n v="0.5"/>
    <n v="0.19400000000000001"/>
    <n v="0"/>
    <n v="14"/>
    <n v="14"/>
  </r>
  <r>
    <n v="303"/>
    <x v="13"/>
    <x v="0"/>
    <x v="0"/>
    <n v="1"/>
    <x v="0"/>
    <x v="6"/>
    <x v="0"/>
    <n v="4.1000000000000005"/>
    <n v="0.1"/>
    <n v="0.1212"/>
    <n v="0.54"/>
    <n v="0.16420000000000001"/>
    <n v="0"/>
    <n v="5"/>
    <n v="5"/>
  </r>
  <r>
    <n v="304"/>
    <x v="13"/>
    <x v="0"/>
    <x v="0"/>
    <n v="2"/>
    <x v="0"/>
    <x v="6"/>
    <x v="0"/>
    <n v="4.1000000000000005"/>
    <n v="0.1"/>
    <n v="0.1212"/>
    <n v="0.54"/>
    <n v="0.1343"/>
    <n v="0"/>
    <n v="1"/>
    <n v="1"/>
  </r>
  <r>
    <n v="305"/>
    <x v="13"/>
    <x v="0"/>
    <x v="0"/>
    <n v="3"/>
    <x v="0"/>
    <x v="6"/>
    <x v="0"/>
    <n v="4.1000000000000005"/>
    <n v="0.1"/>
    <n v="0.13639999999999999"/>
    <n v="0.54"/>
    <n v="0.1045"/>
    <n v="0"/>
    <n v="1"/>
    <n v="1"/>
  </r>
  <r>
    <n v="306"/>
    <x v="13"/>
    <x v="0"/>
    <x v="0"/>
    <n v="5"/>
    <x v="0"/>
    <x v="6"/>
    <x v="0"/>
    <n v="4.1000000000000005"/>
    <n v="0.1"/>
    <n v="0.13639999999999999"/>
    <n v="0.54"/>
    <n v="8.9599999999999999E-2"/>
    <n v="0"/>
    <n v="8"/>
    <n v="8"/>
  </r>
  <r>
    <n v="307"/>
    <x v="13"/>
    <x v="0"/>
    <x v="0"/>
    <n v="6"/>
    <x v="0"/>
    <x v="6"/>
    <x v="0"/>
    <n v="4.1000000000000005"/>
    <n v="0.1"/>
    <n v="0.18179999999999999"/>
    <n v="0.54"/>
    <n v="0"/>
    <n v="0"/>
    <n v="17"/>
    <n v="17"/>
  </r>
  <r>
    <n v="308"/>
    <x v="13"/>
    <x v="0"/>
    <x v="0"/>
    <n v="7"/>
    <x v="0"/>
    <x v="6"/>
    <x v="0"/>
    <n v="4.1000000000000005"/>
    <n v="0.1"/>
    <n v="0.1212"/>
    <n v="0.74"/>
    <n v="0.16420000000000001"/>
    <n v="0"/>
    <n v="70"/>
    <n v="70"/>
  </r>
  <r>
    <n v="309"/>
    <x v="13"/>
    <x v="0"/>
    <x v="0"/>
    <n v="8"/>
    <x v="0"/>
    <x v="6"/>
    <x v="0"/>
    <n v="4.92"/>
    <n v="0.12"/>
    <n v="0.16669999999999999"/>
    <n v="0.68"/>
    <n v="0"/>
    <n v="2"/>
    <n v="156"/>
    <n v="158"/>
  </r>
  <r>
    <n v="310"/>
    <x v="13"/>
    <x v="0"/>
    <x v="0"/>
    <n v="9"/>
    <x v="0"/>
    <x v="6"/>
    <x v="0"/>
    <n v="5.74"/>
    <n v="0.14000000000000001"/>
    <n v="0.1515"/>
    <n v="0.69"/>
    <n v="0.1343"/>
    <n v="0"/>
    <n v="117"/>
    <n v="117"/>
  </r>
  <r>
    <n v="311"/>
    <x v="13"/>
    <x v="0"/>
    <x v="0"/>
    <n v="10"/>
    <x v="0"/>
    <x v="6"/>
    <x v="0"/>
    <n v="7.38"/>
    <n v="0.18"/>
    <n v="0.18179999999999999"/>
    <n v="0.55000000000000004"/>
    <n v="0.19400000000000001"/>
    <n v="4"/>
    <n v="40"/>
    <n v="44"/>
  </r>
  <r>
    <n v="312"/>
    <x v="13"/>
    <x v="0"/>
    <x v="0"/>
    <n v="11"/>
    <x v="0"/>
    <x v="6"/>
    <x v="0"/>
    <n v="7.38"/>
    <n v="0.18"/>
    <n v="0.16669999999999999"/>
    <n v="0.51"/>
    <n v="0.28360000000000002"/>
    <n v="6"/>
    <n v="47"/>
    <n v="53"/>
  </r>
  <r>
    <n v="313"/>
    <x v="13"/>
    <x v="0"/>
    <x v="0"/>
    <n v="12"/>
    <x v="0"/>
    <x v="6"/>
    <x v="0"/>
    <n v="8.2000000000000011"/>
    <n v="0.2"/>
    <n v="0.19700000000000001"/>
    <n v="0.44"/>
    <n v="0.25369999999999998"/>
    <n v="2"/>
    <n v="59"/>
    <n v="61"/>
  </r>
  <r>
    <n v="314"/>
    <x v="13"/>
    <x v="0"/>
    <x v="0"/>
    <n v="13"/>
    <x v="0"/>
    <x v="6"/>
    <x v="0"/>
    <n v="9.02"/>
    <n v="0.22"/>
    <n v="0.19700000000000001"/>
    <n v="0.37"/>
    <n v="0.3881"/>
    <n v="4"/>
    <n v="73"/>
    <n v="77"/>
  </r>
  <r>
    <n v="315"/>
    <x v="13"/>
    <x v="0"/>
    <x v="0"/>
    <n v="14"/>
    <x v="0"/>
    <x v="6"/>
    <x v="0"/>
    <n v="9.02"/>
    <n v="0.22"/>
    <n v="0.21210000000000001"/>
    <n v="0.41"/>
    <n v="0.28360000000000002"/>
    <n v="5"/>
    <n v="59"/>
    <n v="64"/>
  </r>
  <r>
    <n v="316"/>
    <x v="13"/>
    <x v="0"/>
    <x v="0"/>
    <n v="15"/>
    <x v="0"/>
    <x v="6"/>
    <x v="0"/>
    <n v="9.84"/>
    <n v="0.24"/>
    <n v="0.2424"/>
    <n v="0.38"/>
    <n v="0.16420000000000001"/>
    <n v="9"/>
    <n v="59"/>
    <n v="68"/>
  </r>
  <r>
    <n v="317"/>
    <x v="13"/>
    <x v="0"/>
    <x v="0"/>
    <n v="16"/>
    <x v="0"/>
    <x v="6"/>
    <x v="0"/>
    <n v="9.02"/>
    <n v="0.22"/>
    <n v="0.2424"/>
    <n v="0.41"/>
    <n v="0.1045"/>
    <n v="3"/>
    <n v="87"/>
    <n v="90"/>
  </r>
  <r>
    <n v="318"/>
    <x v="13"/>
    <x v="0"/>
    <x v="0"/>
    <n v="17"/>
    <x v="0"/>
    <x v="6"/>
    <x v="0"/>
    <n v="9.02"/>
    <n v="0.22"/>
    <n v="0.2273"/>
    <n v="0.41"/>
    <n v="0.16420000000000001"/>
    <n v="4"/>
    <n v="155"/>
    <n v="159"/>
  </r>
  <r>
    <n v="319"/>
    <x v="13"/>
    <x v="0"/>
    <x v="0"/>
    <n v="18"/>
    <x v="0"/>
    <x v="6"/>
    <x v="0"/>
    <n v="8.2000000000000011"/>
    <n v="0.2"/>
    <n v="0.2576"/>
    <n v="0.47"/>
    <n v="0"/>
    <n v="5"/>
    <n v="134"/>
    <n v="139"/>
  </r>
  <r>
    <n v="320"/>
    <x v="13"/>
    <x v="0"/>
    <x v="0"/>
    <n v="19"/>
    <x v="0"/>
    <x v="6"/>
    <x v="0"/>
    <n v="6.5600000000000005"/>
    <n v="0.16"/>
    <n v="0.19700000000000001"/>
    <n v="0.59"/>
    <n v="8.9599999999999999E-2"/>
    <n v="3"/>
    <n v="89"/>
    <n v="92"/>
  </r>
  <r>
    <n v="321"/>
    <x v="13"/>
    <x v="0"/>
    <x v="0"/>
    <n v="20"/>
    <x v="0"/>
    <x v="6"/>
    <x v="0"/>
    <n v="7.38"/>
    <n v="0.18"/>
    <n v="0.2424"/>
    <n v="0.59"/>
    <n v="0"/>
    <n v="0"/>
    <n v="68"/>
    <n v="68"/>
  </r>
  <r>
    <n v="322"/>
    <x v="13"/>
    <x v="0"/>
    <x v="0"/>
    <n v="21"/>
    <x v="0"/>
    <x v="6"/>
    <x v="0"/>
    <n v="6.5600000000000005"/>
    <n v="0.16"/>
    <n v="0.2273"/>
    <n v="0.69"/>
    <n v="0"/>
    <n v="4"/>
    <n v="48"/>
    <n v="52"/>
  </r>
  <r>
    <n v="323"/>
    <x v="13"/>
    <x v="0"/>
    <x v="0"/>
    <n v="22"/>
    <x v="0"/>
    <x v="6"/>
    <x v="1"/>
    <n v="6.5600000000000005"/>
    <n v="0.16"/>
    <n v="0.2273"/>
    <n v="0.69"/>
    <n v="0"/>
    <n v="2"/>
    <n v="34"/>
    <n v="36"/>
  </r>
  <r>
    <n v="324"/>
    <x v="13"/>
    <x v="0"/>
    <x v="0"/>
    <n v="23"/>
    <x v="0"/>
    <x v="6"/>
    <x v="1"/>
    <n v="7.38"/>
    <n v="0.18"/>
    <n v="0.2424"/>
    <n v="0.55000000000000004"/>
    <n v="0"/>
    <n v="1"/>
    <n v="26"/>
    <n v="27"/>
  </r>
  <r>
    <n v="325"/>
    <x v="14"/>
    <x v="0"/>
    <x v="0"/>
    <n v="0"/>
    <x v="0"/>
    <x v="0"/>
    <x v="0"/>
    <n v="7.38"/>
    <n v="0.18"/>
    <n v="0.2424"/>
    <n v="0.55000000000000004"/>
    <n v="0"/>
    <n v="3"/>
    <n v="25"/>
    <n v="28"/>
  </r>
  <r>
    <n v="326"/>
    <x v="14"/>
    <x v="0"/>
    <x v="0"/>
    <n v="1"/>
    <x v="0"/>
    <x v="0"/>
    <x v="1"/>
    <n v="6.5600000000000005"/>
    <n v="0.16"/>
    <n v="0.19700000000000001"/>
    <n v="0.59"/>
    <n v="8.9599999999999999E-2"/>
    <n v="2"/>
    <n v="18"/>
    <n v="20"/>
  </r>
  <r>
    <n v="327"/>
    <x v="14"/>
    <x v="0"/>
    <x v="0"/>
    <n v="2"/>
    <x v="0"/>
    <x v="0"/>
    <x v="1"/>
    <n v="6.5600000000000005"/>
    <n v="0.16"/>
    <n v="0.19700000000000001"/>
    <n v="0.59"/>
    <n v="8.9599999999999999E-2"/>
    <n v="0"/>
    <n v="12"/>
    <n v="12"/>
  </r>
  <r>
    <n v="328"/>
    <x v="14"/>
    <x v="0"/>
    <x v="0"/>
    <n v="3"/>
    <x v="0"/>
    <x v="0"/>
    <x v="1"/>
    <n v="6.5600000000000005"/>
    <n v="0.16"/>
    <n v="0.2273"/>
    <n v="0.59"/>
    <n v="0"/>
    <n v="1"/>
    <n v="7"/>
    <n v="8"/>
  </r>
  <r>
    <n v="329"/>
    <x v="14"/>
    <x v="0"/>
    <x v="0"/>
    <n v="4"/>
    <x v="0"/>
    <x v="0"/>
    <x v="1"/>
    <n v="6.5600000000000005"/>
    <n v="0.16"/>
    <n v="0.2273"/>
    <n v="0.59"/>
    <n v="0"/>
    <n v="0"/>
    <n v="5"/>
    <n v="5"/>
  </r>
  <r>
    <n v="330"/>
    <x v="14"/>
    <x v="0"/>
    <x v="0"/>
    <n v="5"/>
    <x v="0"/>
    <x v="0"/>
    <x v="0"/>
    <n v="6.5600000000000005"/>
    <n v="0.16"/>
    <n v="0.2273"/>
    <n v="0.59"/>
    <n v="0"/>
    <n v="0"/>
    <n v="1"/>
    <n v="1"/>
  </r>
  <r>
    <n v="331"/>
    <x v="14"/>
    <x v="0"/>
    <x v="0"/>
    <n v="6"/>
    <x v="0"/>
    <x v="0"/>
    <x v="0"/>
    <n v="5.74"/>
    <n v="0.14000000000000001"/>
    <n v="0.16669999999999999"/>
    <n v="0.63"/>
    <n v="0.1045"/>
    <n v="1"/>
    <n v="2"/>
    <n v="3"/>
  </r>
  <r>
    <n v="332"/>
    <x v="14"/>
    <x v="0"/>
    <x v="0"/>
    <n v="7"/>
    <x v="0"/>
    <x v="0"/>
    <x v="0"/>
    <n v="5.74"/>
    <n v="0.14000000000000001"/>
    <n v="0.21210000000000001"/>
    <n v="0.63"/>
    <n v="0"/>
    <n v="1"/>
    <n v="9"/>
    <n v="10"/>
  </r>
  <r>
    <n v="333"/>
    <x v="14"/>
    <x v="0"/>
    <x v="0"/>
    <n v="8"/>
    <x v="0"/>
    <x v="0"/>
    <x v="0"/>
    <n v="5.74"/>
    <n v="0.14000000000000001"/>
    <n v="0.1515"/>
    <n v="0.63"/>
    <n v="0.1343"/>
    <n v="1"/>
    <n v="22"/>
    <n v="23"/>
  </r>
  <r>
    <n v="334"/>
    <x v="14"/>
    <x v="0"/>
    <x v="0"/>
    <n v="9"/>
    <x v="0"/>
    <x v="0"/>
    <x v="0"/>
    <n v="6.5600000000000005"/>
    <n v="0.16"/>
    <n v="0.18179999999999999"/>
    <n v="0.64"/>
    <n v="0.1343"/>
    <n v="2"/>
    <n v="31"/>
    <n v="33"/>
  </r>
  <r>
    <n v="335"/>
    <x v="14"/>
    <x v="0"/>
    <x v="0"/>
    <n v="10"/>
    <x v="0"/>
    <x v="0"/>
    <x v="0"/>
    <n v="7.38"/>
    <n v="0.18"/>
    <n v="0.19700000000000001"/>
    <n v="0.59"/>
    <n v="0.16420000000000001"/>
    <n v="2"/>
    <n v="57"/>
    <n v="59"/>
  </r>
  <r>
    <n v="336"/>
    <x v="14"/>
    <x v="0"/>
    <x v="0"/>
    <n v="11"/>
    <x v="0"/>
    <x v="0"/>
    <x v="0"/>
    <n v="8.2000000000000011"/>
    <n v="0.2"/>
    <n v="0.19700000000000001"/>
    <n v="0.55000000000000004"/>
    <n v="0.22389999999999999"/>
    <n v="18"/>
    <n v="54"/>
    <n v="72"/>
  </r>
  <r>
    <n v="337"/>
    <x v="14"/>
    <x v="0"/>
    <x v="0"/>
    <n v="12"/>
    <x v="0"/>
    <x v="0"/>
    <x v="0"/>
    <n v="9.84"/>
    <n v="0.24"/>
    <n v="0.2273"/>
    <n v="0.48"/>
    <n v="0.22389999999999999"/>
    <n v="15"/>
    <n v="74"/>
    <n v="89"/>
  </r>
  <r>
    <n v="338"/>
    <x v="14"/>
    <x v="0"/>
    <x v="0"/>
    <n v="13"/>
    <x v="0"/>
    <x v="0"/>
    <x v="0"/>
    <n v="11.48"/>
    <n v="0.28000000000000003"/>
    <n v="0.2576"/>
    <n v="0.38"/>
    <n v="0.29849999999999999"/>
    <n v="21"/>
    <n v="80"/>
    <n v="101"/>
  </r>
  <r>
    <n v="339"/>
    <x v="14"/>
    <x v="0"/>
    <x v="0"/>
    <n v="14"/>
    <x v="0"/>
    <x v="0"/>
    <x v="0"/>
    <n v="12.299999999999999"/>
    <n v="0.3"/>
    <n v="0.28789999999999999"/>
    <n v="0.39"/>
    <n v="0.28360000000000002"/>
    <n v="26"/>
    <n v="92"/>
    <n v="118"/>
  </r>
  <r>
    <n v="340"/>
    <x v="14"/>
    <x v="0"/>
    <x v="0"/>
    <n v="15"/>
    <x v="0"/>
    <x v="0"/>
    <x v="1"/>
    <n v="13.120000000000001"/>
    <n v="0.32"/>
    <n v="0.31819999999999998"/>
    <n v="0.36"/>
    <n v="0.19400000000000001"/>
    <n v="21"/>
    <n v="108"/>
    <n v="129"/>
  </r>
  <r>
    <n v="341"/>
    <x v="14"/>
    <x v="0"/>
    <x v="0"/>
    <n v="16"/>
    <x v="0"/>
    <x v="0"/>
    <x v="1"/>
    <n v="13.940000000000001"/>
    <n v="0.34"/>
    <n v="0.33329999999999999"/>
    <n v="0.34"/>
    <n v="0.19400000000000001"/>
    <n v="33"/>
    <n v="95"/>
    <n v="128"/>
  </r>
  <r>
    <n v="342"/>
    <x v="14"/>
    <x v="0"/>
    <x v="0"/>
    <n v="17"/>
    <x v="0"/>
    <x v="0"/>
    <x v="1"/>
    <n v="13.120000000000001"/>
    <n v="0.32"/>
    <n v="0.30299999999999999"/>
    <n v="0.36"/>
    <n v="0.28360000000000002"/>
    <n v="29"/>
    <n v="54"/>
    <n v="83"/>
  </r>
  <r>
    <n v="343"/>
    <x v="14"/>
    <x v="0"/>
    <x v="0"/>
    <n v="18"/>
    <x v="0"/>
    <x v="0"/>
    <x v="1"/>
    <n v="12.299999999999999"/>
    <n v="0.3"/>
    <n v="0.28789999999999999"/>
    <n v="0.45"/>
    <n v="0.25369999999999998"/>
    <n v="15"/>
    <n v="69"/>
    <n v="84"/>
  </r>
  <r>
    <n v="344"/>
    <x v="14"/>
    <x v="0"/>
    <x v="0"/>
    <n v="19"/>
    <x v="0"/>
    <x v="0"/>
    <x v="1"/>
    <n v="13.120000000000001"/>
    <n v="0.32"/>
    <n v="0.30299999999999999"/>
    <n v="0.39"/>
    <n v="0.25369999999999998"/>
    <n v="14"/>
    <n v="60"/>
    <n v="74"/>
  </r>
  <r>
    <n v="345"/>
    <x v="14"/>
    <x v="0"/>
    <x v="0"/>
    <n v="20"/>
    <x v="0"/>
    <x v="0"/>
    <x v="1"/>
    <n v="13.120000000000001"/>
    <n v="0.32"/>
    <n v="0.30299999999999999"/>
    <n v="0.39"/>
    <n v="0.25369999999999998"/>
    <n v="6"/>
    <n v="35"/>
    <n v="41"/>
  </r>
  <r>
    <n v="346"/>
    <x v="14"/>
    <x v="0"/>
    <x v="0"/>
    <n v="21"/>
    <x v="0"/>
    <x v="0"/>
    <x v="1"/>
    <n v="13.120000000000001"/>
    <n v="0.32"/>
    <n v="0.30299999999999999"/>
    <n v="0.39"/>
    <n v="0.22389999999999999"/>
    <n v="6"/>
    <n v="51"/>
    <n v="57"/>
  </r>
  <r>
    <n v="347"/>
    <x v="14"/>
    <x v="0"/>
    <x v="0"/>
    <n v="22"/>
    <x v="0"/>
    <x v="0"/>
    <x v="1"/>
    <n v="12.299999999999999"/>
    <n v="0.3"/>
    <n v="0.31819999999999998"/>
    <n v="0.42"/>
    <n v="0.1045"/>
    <n v="0"/>
    <n v="26"/>
    <n v="26"/>
  </r>
  <r>
    <n v="348"/>
    <x v="14"/>
    <x v="0"/>
    <x v="0"/>
    <n v="23"/>
    <x v="0"/>
    <x v="0"/>
    <x v="0"/>
    <n v="12.299999999999999"/>
    <n v="0.3"/>
    <n v="0.28789999999999999"/>
    <n v="0.45"/>
    <n v="0.28360000000000002"/>
    <n v="5"/>
    <n v="39"/>
    <n v="44"/>
  </r>
  <r>
    <n v="349"/>
    <x v="15"/>
    <x v="0"/>
    <x v="0"/>
    <n v="0"/>
    <x v="0"/>
    <x v="1"/>
    <x v="0"/>
    <n v="10.66"/>
    <n v="0.26"/>
    <n v="0.30299999999999999"/>
    <n v="0.56000000000000005"/>
    <n v="0"/>
    <n v="6"/>
    <n v="33"/>
    <n v="39"/>
  </r>
  <r>
    <n v="350"/>
    <x v="15"/>
    <x v="0"/>
    <x v="0"/>
    <n v="1"/>
    <x v="0"/>
    <x v="1"/>
    <x v="0"/>
    <n v="10.66"/>
    <n v="0.26"/>
    <n v="0.2727"/>
    <n v="0.56000000000000005"/>
    <n v="0.1343"/>
    <n v="4"/>
    <n v="19"/>
    <n v="23"/>
  </r>
  <r>
    <n v="351"/>
    <x v="15"/>
    <x v="0"/>
    <x v="0"/>
    <n v="2"/>
    <x v="0"/>
    <x v="1"/>
    <x v="0"/>
    <n v="10.66"/>
    <n v="0.26"/>
    <n v="0.28789999999999999"/>
    <n v="0.56000000000000005"/>
    <n v="8.9599999999999999E-2"/>
    <n v="3"/>
    <n v="13"/>
    <n v="16"/>
  </r>
  <r>
    <n v="352"/>
    <x v="15"/>
    <x v="0"/>
    <x v="0"/>
    <n v="3"/>
    <x v="0"/>
    <x v="1"/>
    <x v="0"/>
    <n v="9.02"/>
    <n v="0.22"/>
    <n v="0.2727"/>
    <n v="0.69"/>
    <n v="0"/>
    <n v="9"/>
    <n v="6"/>
    <n v="15"/>
  </r>
  <r>
    <n v="353"/>
    <x v="15"/>
    <x v="0"/>
    <x v="0"/>
    <n v="4"/>
    <x v="0"/>
    <x v="1"/>
    <x v="0"/>
    <n v="10.66"/>
    <n v="0.26"/>
    <n v="0.2576"/>
    <n v="0.56000000000000005"/>
    <n v="0.16420000000000001"/>
    <n v="0"/>
    <n v="1"/>
    <n v="1"/>
  </r>
  <r>
    <n v="354"/>
    <x v="15"/>
    <x v="0"/>
    <x v="0"/>
    <n v="5"/>
    <x v="0"/>
    <x v="1"/>
    <x v="1"/>
    <n v="10.66"/>
    <n v="0.26"/>
    <n v="0.2576"/>
    <n v="0.56000000000000005"/>
    <n v="0.16420000000000001"/>
    <n v="1"/>
    <n v="1"/>
    <n v="2"/>
  </r>
  <r>
    <n v="355"/>
    <x v="15"/>
    <x v="0"/>
    <x v="0"/>
    <n v="6"/>
    <x v="0"/>
    <x v="1"/>
    <x v="1"/>
    <n v="10.66"/>
    <n v="0.26"/>
    <n v="0.2576"/>
    <n v="0.56000000000000005"/>
    <n v="0.16420000000000001"/>
    <n v="0"/>
    <n v="1"/>
    <n v="1"/>
  </r>
  <r>
    <n v="356"/>
    <x v="15"/>
    <x v="0"/>
    <x v="0"/>
    <n v="7"/>
    <x v="0"/>
    <x v="1"/>
    <x v="1"/>
    <n v="9.84"/>
    <n v="0.24"/>
    <n v="0.21210000000000001"/>
    <n v="0.56000000000000005"/>
    <n v="0.29849999999999999"/>
    <n v="0"/>
    <n v="3"/>
    <n v="3"/>
  </r>
  <r>
    <n v="357"/>
    <x v="15"/>
    <x v="0"/>
    <x v="0"/>
    <n v="8"/>
    <x v="0"/>
    <x v="1"/>
    <x v="0"/>
    <n v="9.02"/>
    <n v="0.22"/>
    <n v="0.21210000000000001"/>
    <n v="0.55000000000000004"/>
    <n v="0.28360000000000002"/>
    <n v="0"/>
    <n v="18"/>
    <n v="18"/>
  </r>
  <r>
    <n v="358"/>
    <x v="15"/>
    <x v="0"/>
    <x v="0"/>
    <n v="9"/>
    <x v="0"/>
    <x v="1"/>
    <x v="0"/>
    <n v="9.02"/>
    <n v="0.22"/>
    <n v="0.21210000000000001"/>
    <n v="0.51"/>
    <n v="0.25369999999999998"/>
    <n v="3"/>
    <n v="29"/>
    <n v="32"/>
  </r>
  <r>
    <n v="359"/>
    <x v="15"/>
    <x v="0"/>
    <x v="0"/>
    <n v="10"/>
    <x v="0"/>
    <x v="1"/>
    <x v="0"/>
    <n v="9.02"/>
    <n v="0.22"/>
    <n v="0.21210000000000001"/>
    <n v="0.51"/>
    <n v="0.28360000000000002"/>
    <n v="8"/>
    <n v="71"/>
    <n v="79"/>
  </r>
  <r>
    <n v="360"/>
    <x v="15"/>
    <x v="0"/>
    <x v="0"/>
    <n v="11"/>
    <x v="0"/>
    <x v="1"/>
    <x v="0"/>
    <n v="9.84"/>
    <n v="0.24"/>
    <n v="0.2273"/>
    <n v="0.44"/>
    <n v="0.25369999999999998"/>
    <n v="23"/>
    <n v="70"/>
    <n v="93"/>
  </r>
  <r>
    <n v="361"/>
    <x v="15"/>
    <x v="0"/>
    <x v="0"/>
    <n v="12"/>
    <x v="0"/>
    <x v="1"/>
    <x v="0"/>
    <n v="9.84"/>
    <n v="0.24"/>
    <n v="0.21210000000000001"/>
    <n v="0.41"/>
    <n v="0.28360000000000002"/>
    <n v="29"/>
    <n v="75"/>
    <n v="104"/>
  </r>
  <r>
    <n v="362"/>
    <x v="15"/>
    <x v="0"/>
    <x v="0"/>
    <n v="13"/>
    <x v="0"/>
    <x v="1"/>
    <x v="0"/>
    <n v="10.66"/>
    <n v="0.26"/>
    <n v="0.2273"/>
    <n v="0.35"/>
    <n v="0.29849999999999999"/>
    <n v="23"/>
    <n v="95"/>
    <n v="118"/>
  </r>
  <r>
    <n v="363"/>
    <x v="15"/>
    <x v="0"/>
    <x v="0"/>
    <n v="14"/>
    <x v="0"/>
    <x v="1"/>
    <x v="0"/>
    <n v="11.48"/>
    <n v="0.28000000000000003"/>
    <n v="0.2727"/>
    <n v="0.36"/>
    <n v="0.25369999999999998"/>
    <n v="22"/>
    <n v="69"/>
    <n v="91"/>
  </r>
  <r>
    <n v="364"/>
    <x v="15"/>
    <x v="0"/>
    <x v="0"/>
    <n v="15"/>
    <x v="0"/>
    <x v="1"/>
    <x v="0"/>
    <n v="10.66"/>
    <n v="0.26"/>
    <n v="0.2424"/>
    <n v="0.38"/>
    <n v="0.25369999999999998"/>
    <n v="35"/>
    <n v="78"/>
    <n v="113"/>
  </r>
  <r>
    <n v="365"/>
    <x v="15"/>
    <x v="0"/>
    <x v="0"/>
    <n v="16"/>
    <x v="0"/>
    <x v="1"/>
    <x v="0"/>
    <n v="9.84"/>
    <n v="0.24"/>
    <n v="0.2273"/>
    <n v="0.38"/>
    <n v="0.22389999999999999"/>
    <n v="22"/>
    <n v="77"/>
    <n v="99"/>
  </r>
  <r>
    <n v="366"/>
    <x v="15"/>
    <x v="0"/>
    <x v="0"/>
    <n v="17"/>
    <x v="0"/>
    <x v="1"/>
    <x v="0"/>
    <n v="9.02"/>
    <n v="0.22"/>
    <n v="0.21210000000000001"/>
    <n v="0.37"/>
    <n v="0.25369999999999998"/>
    <n v="23"/>
    <n v="82"/>
    <n v="105"/>
  </r>
  <r>
    <n v="367"/>
    <x v="15"/>
    <x v="0"/>
    <x v="0"/>
    <n v="18"/>
    <x v="0"/>
    <x v="1"/>
    <x v="0"/>
    <n v="8.2000000000000011"/>
    <n v="0.2"/>
    <n v="0.21210000000000001"/>
    <n v="0.4"/>
    <n v="0.16420000000000001"/>
    <n v="11"/>
    <n v="56"/>
    <n v="67"/>
  </r>
  <r>
    <n v="368"/>
    <x v="15"/>
    <x v="0"/>
    <x v="0"/>
    <n v="19"/>
    <x v="0"/>
    <x v="1"/>
    <x v="0"/>
    <n v="7.38"/>
    <n v="0.18"/>
    <n v="0.19700000000000001"/>
    <n v="0.47"/>
    <n v="0.1343"/>
    <n v="14"/>
    <n v="47"/>
    <n v="61"/>
  </r>
  <r>
    <n v="369"/>
    <x v="15"/>
    <x v="0"/>
    <x v="0"/>
    <n v="20"/>
    <x v="0"/>
    <x v="1"/>
    <x v="0"/>
    <n v="7.38"/>
    <n v="0.18"/>
    <n v="0.19700000000000001"/>
    <n v="0.47"/>
    <n v="0.16420000000000001"/>
    <n v="7"/>
    <n v="50"/>
    <n v="57"/>
  </r>
  <r>
    <n v="370"/>
    <x v="15"/>
    <x v="0"/>
    <x v="0"/>
    <n v="21"/>
    <x v="0"/>
    <x v="1"/>
    <x v="0"/>
    <n v="7.38"/>
    <n v="0.18"/>
    <n v="0.19700000000000001"/>
    <n v="0.51"/>
    <n v="0.16420000000000001"/>
    <n v="6"/>
    <n v="22"/>
    <n v="28"/>
  </r>
  <r>
    <n v="371"/>
    <x v="15"/>
    <x v="0"/>
    <x v="0"/>
    <n v="22"/>
    <x v="0"/>
    <x v="1"/>
    <x v="1"/>
    <n v="8.2000000000000011"/>
    <n v="0.2"/>
    <n v="0.21210000000000001"/>
    <n v="0.49"/>
    <n v="0.1343"/>
    <n v="2"/>
    <n v="19"/>
    <n v="21"/>
  </r>
  <r>
    <n v="372"/>
    <x v="15"/>
    <x v="0"/>
    <x v="0"/>
    <n v="23"/>
    <x v="0"/>
    <x v="1"/>
    <x v="1"/>
    <n v="8.2000000000000011"/>
    <n v="0.2"/>
    <n v="0.2273"/>
    <n v="0.4"/>
    <n v="0.1045"/>
    <n v="0"/>
    <n v="18"/>
    <n v="18"/>
  </r>
  <r>
    <n v="373"/>
    <x v="16"/>
    <x v="0"/>
    <x v="0"/>
    <n v="0"/>
    <x v="1"/>
    <x v="2"/>
    <x v="1"/>
    <n v="8.2000000000000011"/>
    <n v="0.2"/>
    <n v="0.19700000000000001"/>
    <n v="0.47"/>
    <n v="0.22389999999999999"/>
    <n v="1"/>
    <n v="16"/>
    <n v="17"/>
  </r>
  <r>
    <n v="374"/>
    <x v="16"/>
    <x v="0"/>
    <x v="0"/>
    <n v="1"/>
    <x v="1"/>
    <x v="2"/>
    <x v="1"/>
    <n v="8.2000000000000011"/>
    <n v="0.2"/>
    <n v="0.19700000000000001"/>
    <n v="0.44"/>
    <n v="0.19400000000000001"/>
    <n v="1"/>
    <n v="15"/>
    <n v="16"/>
  </r>
  <r>
    <n v="375"/>
    <x v="16"/>
    <x v="0"/>
    <x v="0"/>
    <n v="2"/>
    <x v="1"/>
    <x v="2"/>
    <x v="1"/>
    <n v="7.38"/>
    <n v="0.18"/>
    <n v="0.16669999999999999"/>
    <n v="0.43"/>
    <n v="0.25369999999999998"/>
    <n v="0"/>
    <n v="8"/>
    <n v="8"/>
  </r>
  <r>
    <n v="376"/>
    <x v="16"/>
    <x v="0"/>
    <x v="0"/>
    <n v="3"/>
    <x v="1"/>
    <x v="2"/>
    <x v="1"/>
    <n v="7.38"/>
    <n v="0.18"/>
    <n v="0.18179999999999999"/>
    <n v="0.43"/>
    <n v="0.19400000000000001"/>
    <n v="0"/>
    <n v="2"/>
    <n v="2"/>
  </r>
  <r>
    <n v="377"/>
    <x v="16"/>
    <x v="0"/>
    <x v="0"/>
    <n v="4"/>
    <x v="1"/>
    <x v="2"/>
    <x v="1"/>
    <n v="7.38"/>
    <n v="0.18"/>
    <n v="0.19700000000000001"/>
    <n v="0.43"/>
    <n v="0.1343"/>
    <n v="1"/>
    <n v="2"/>
    <n v="3"/>
  </r>
  <r>
    <n v="378"/>
    <x v="16"/>
    <x v="0"/>
    <x v="0"/>
    <n v="5"/>
    <x v="1"/>
    <x v="2"/>
    <x v="1"/>
    <n v="7.38"/>
    <n v="0.18"/>
    <n v="0.19700000000000001"/>
    <n v="0.43"/>
    <n v="0.16420000000000001"/>
    <n v="0"/>
    <n v="1"/>
    <n v="1"/>
  </r>
  <r>
    <n v="379"/>
    <x v="16"/>
    <x v="0"/>
    <x v="0"/>
    <n v="6"/>
    <x v="1"/>
    <x v="2"/>
    <x v="1"/>
    <n v="7.38"/>
    <n v="0.18"/>
    <n v="0.18179999999999999"/>
    <n v="0.43"/>
    <n v="0.19400000000000001"/>
    <n v="0"/>
    <n v="5"/>
    <n v="5"/>
  </r>
  <r>
    <n v="380"/>
    <x v="16"/>
    <x v="0"/>
    <x v="0"/>
    <n v="7"/>
    <x v="1"/>
    <x v="2"/>
    <x v="1"/>
    <n v="6.5600000000000005"/>
    <n v="0.16"/>
    <n v="0.18179999999999999"/>
    <n v="0.5"/>
    <n v="0.1343"/>
    <n v="4"/>
    <n v="9"/>
    <n v="13"/>
  </r>
  <r>
    <n v="381"/>
    <x v="16"/>
    <x v="0"/>
    <x v="0"/>
    <n v="8"/>
    <x v="1"/>
    <x v="2"/>
    <x v="1"/>
    <n v="6.5600000000000005"/>
    <n v="0.16"/>
    <n v="0.1515"/>
    <n v="0.47"/>
    <n v="0.22389999999999999"/>
    <n v="3"/>
    <n v="30"/>
    <n v="33"/>
  </r>
  <r>
    <n v="382"/>
    <x v="16"/>
    <x v="0"/>
    <x v="0"/>
    <n v="9"/>
    <x v="1"/>
    <x v="2"/>
    <x v="1"/>
    <n v="6.5600000000000005"/>
    <n v="0.16"/>
    <n v="0.1515"/>
    <n v="0.47"/>
    <n v="0.22389999999999999"/>
    <n v="8"/>
    <n v="39"/>
    <n v="47"/>
  </r>
  <r>
    <n v="383"/>
    <x v="16"/>
    <x v="0"/>
    <x v="0"/>
    <n v="10"/>
    <x v="1"/>
    <x v="2"/>
    <x v="1"/>
    <n v="6.5600000000000005"/>
    <n v="0.16"/>
    <n v="0.1515"/>
    <n v="0.5"/>
    <n v="0.25369999999999998"/>
    <n v="7"/>
    <n v="50"/>
    <n v="57"/>
  </r>
  <r>
    <n v="384"/>
    <x v="16"/>
    <x v="0"/>
    <x v="0"/>
    <n v="11"/>
    <x v="1"/>
    <x v="2"/>
    <x v="1"/>
    <n v="6.5600000000000005"/>
    <n v="0.16"/>
    <n v="0.1515"/>
    <n v="0.55000000000000004"/>
    <n v="0.19400000000000001"/>
    <n v="9"/>
    <n v="55"/>
    <n v="64"/>
  </r>
  <r>
    <n v="385"/>
    <x v="16"/>
    <x v="0"/>
    <x v="0"/>
    <n v="12"/>
    <x v="1"/>
    <x v="2"/>
    <x v="1"/>
    <n v="7.38"/>
    <n v="0.18"/>
    <n v="0.19700000000000001"/>
    <n v="0.47"/>
    <n v="0.1343"/>
    <n v="10"/>
    <n v="70"/>
    <n v="80"/>
  </r>
  <r>
    <n v="386"/>
    <x v="16"/>
    <x v="0"/>
    <x v="0"/>
    <n v="13"/>
    <x v="1"/>
    <x v="2"/>
    <x v="1"/>
    <n v="7.38"/>
    <n v="0.18"/>
    <n v="0.19700000000000001"/>
    <n v="0.47"/>
    <n v="0.1343"/>
    <n v="13"/>
    <n v="80"/>
    <n v="93"/>
  </r>
  <r>
    <n v="387"/>
    <x v="16"/>
    <x v="0"/>
    <x v="0"/>
    <n v="14"/>
    <x v="1"/>
    <x v="2"/>
    <x v="1"/>
    <n v="7.38"/>
    <n v="0.18"/>
    <n v="0.21210000000000001"/>
    <n v="0.43"/>
    <n v="0.1045"/>
    <n v="12"/>
    <n v="74"/>
    <n v="86"/>
  </r>
  <r>
    <n v="388"/>
    <x v="16"/>
    <x v="0"/>
    <x v="0"/>
    <n v="15"/>
    <x v="1"/>
    <x v="2"/>
    <x v="1"/>
    <n v="8.2000000000000011"/>
    <n v="0.2"/>
    <n v="0.21210000000000001"/>
    <n v="0.47"/>
    <n v="0.16420000000000001"/>
    <n v="21"/>
    <n v="72"/>
    <n v="93"/>
  </r>
  <r>
    <n v="389"/>
    <x v="16"/>
    <x v="0"/>
    <x v="0"/>
    <n v="16"/>
    <x v="1"/>
    <x v="2"/>
    <x v="1"/>
    <n v="8.2000000000000011"/>
    <n v="0.2"/>
    <n v="0.21210000000000001"/>
    <n v="0.47"/>
    <n v="0.16420000000000001"/>
    <n v="6"/>
    <n v="76"/>
    <n v="82"/>
  </r>
  <r>
    <n v="390"/>
    <x v="16"/>
    <x v="0"/>
    <x v="0"/>
    <n v="17"/>
    <x v="1"/>
    <x v="2"/>
    <x v="0"/>
    <n v="8.2000000000000011"/>
    <n v="0.2"/>
    <n v="0.19700000000000001"/>
    <n v="0.51"/>
    <n v="0.19400000000000001"/>
    <n v="4"/>
    <n v="67"/>
    <n v="71"/>
  </r>
  <r>
    <n v="391"/>
    <x v="16"/>
    <x v="0"/>
    <x v="0"/>
    <n v="18"/>
    <x v="1"/>
    <x v="2"/>
    <x v="1"/>
    <n v="7.38"/>
    <n v="0.18"/>
    <n v="0.16669999999999999"/>
    <n v="0.55000000000000004"/>
    <n v="0.25369999999999998"/>
    <n v="7"/>
    <n v="85"/>
    <n v="92"/>
  </r>
  <r>
    <n v="392"/>
    <x v="16"/>
    <x v="0"/>
    <x v="0"/>
    <n v="19"/>
    <x v="1"/>
    <x v="2"/>
    <x v="2"/>
    <n v="7.38"/>
    <n v="0.18"/>
    <n v="0.18179999999999999"/>
    <n v="0.59"/>
    <n v="0.19400000000000001"/>
    <n v="2"/>
    <n v="58"/>
    <n v="60"/>
  </r>
  <r>
    <n v="393"/>
    <x v="16"/>
    <x v="0"/>
    <x v="0"/>
    <n v="20"/>
    <x v="1"/>
    <x v="2"/>
    <x v="2"/>
    <n v="6.5600000000000005"/>
    <n v="0.16"/>
    <n v="0.1515"/>
    <n v="0.8"/>
    <n v="0.19400000000000001"/>
    <n v="4"/>
    <n v="29"/>
    <n v="33"/>
  </r>
  <r>
    <n v="394"/>
    <x v="16"/>
    <x v="0"/>
    <x v="0"/>
    <n v="21"/>
    <x v="1"/>
    <x v="2"/>
    <x v="2"/>
    <n v="6.5600000000000005"/>
    <n v="0.16"/>
    <n v="0.1515"/>
    <n v="0.8"/>
    <n v="0.19400000000000001"/>
    <n v="3"/>
    <n v="24"/>
    <n v="27"/>
  </r>
  <r>
    <n v="395"/>
    <x v="16"/>
    <x v="0"/>
    <x v="0"/>
    <n v="22"/>
    <x v="1"/>
    <x v="2"/>
    <x v="2"/>
    <n v="5.74"/>
    <n v="0.14000000000000001"/>
    <n v="0.1212"/>
    <n v="0.93"/>
    <n v="0.25369999999999998"/>
    <n v="0"/>
    <n v="13"/>
    <n v="13"/>
  </r>
  <r>
    <n v="396"/>
    <x v="16"/>
    <x v="0"/>
    <x v="0"/>
    <n v="23"/>
    <x v="1"/>
    <x v="2"/>
    <x v="2"/>
    <n v="6.5600000000000005"/>
    <n v="0.16"/>
    <n v="0.13639999999999999"/>
    <n v="0.86"/>
    <n v="0.28360000000000002"/>
    <n v="1"/>
    <n v="3"/>
    <n v="4"/>
  </r>
  <r>
    <n v="397"/>
    <x v="17"/>
    <x v="0"/>
    <x v="0"/>
    <n v="12"/>
    <x v="0"/>
    <x v="3"/>
    <x v="1"/>
    <n v="8.2000000000000011"/>
    <n v="0.2"/>
    <n v="0.18179999999999999"/>
    <n v="0.86"/>
    <n v="0.32840000000000003"/>
    <n v="0"/>
    <n v="3"/>
    <n v="3"/>
  </r>
  <r>
    <n v="398"/>
    <x v="17"/>
    <x v="0"/>
    <x v="0"/>
    <n v="13"/>
    <x v="0"/>
    <x v="3"/>
    <x v="1"/>
    <n v="8.2000000000000011"/>
    <n v="0.2"/>
    <n v="0.19700000000000001"/>
    <n v="0.86"/>
    <n v="0.22389999999999999"/>
    <n v="0"/>
    <n v="22"/>
    <n v="22"/>
  </r>
  <r>
    <n v="399"/>
    <x v="17"/>
    <x v="0"/>
    <x v="0"/>
    <n v="14"/>
    <x v="0"/>
    <x v="3"/>
    <x v="1"/>
    <n v="9.02"/>
    <n v="0.22"/>
    <n v="0.2273"/>
    <n v="0.8"/>
    <n v="0.16420000000000001"/>
    <n v="2"/>
    <n v="26"/>
    <n v="28"/>
  </r>
  <r>
    <n v="400"/>
    <x v="17"/>
    <x v="0"/>
    <x v="0"/>
    <n v="15"/>
    <x v="0"/>
    <x v="3"/>
    <x v="1"/>
    <n v="9.02"/>
    <n v="0.22"/>
    <n v="0.2273"/>
    <n v="0.87"/>
    <n v="0.16420000000000001"/>
    <n v="3"/>
    <n v="32"/>
    <n v="35"/>
  </r>
  <r>
    <n v="401"/>
    <x v="17"/>
    <x v="0"/>
    <x v="0"/>
    <n v="16"/>
    <x v="0"/>
    <x v="3"/>
    <x v="1"/>
    <n v="9.02"/>
    <n v="0.22"/>
    <n v="0.2273"/>
    <n v="0.87"/>
    <n v="0.19400000000000001"/>
    <n v="0"/>
    <n v="61"/>
    <n v="61"/>
  </r>
  <r>
    <n v="402"/>
    <x v="17"/>
    <x v="0"/>
    <x v="0"/>
    <n v="17"/>
    <x v="0"/>
    <x v="3"/>
    <x v="1"/>
    <n v="9.02"/>
    <n v="0.22"/>
    <n v="0.2273"/>
    <n v="0.82"/>
    <n v="0.19400000000000001"/>
    <n v="1"/>
    <n v="124"/>
    <n v="125"/>
  </r>
  <r>
    <n v="403"/>
    <x v="17"/>
    <x v="0"/>
    <x v="0"/>
    <n v="18"/>
    <x v="0"/>
    <x v="3"/>
    <x v="1"/>
    <n v="9.02"/>
    <n v="0.22"/>
    <n v="0.2273"/>
    <n v="0.8"/>
    <n v="0.16420000000000001"/>
    <n v="1"/>
    <n v="132"/>
    <n v="133"/>
  </r>
  <r>
    <n v="404"/>
    <x v="17"/>
    <x v="0"/>
    <x v="0"/>
    <n v="19"/>
    <x v="0"/>
    <x v="3"/>
    <x v="1"/>
    <n v="9.02"/>
    <n v="0.22"/>
    <n v="0.2273"/>
    <n v="0.8"/>
    <n v="0.1343"/>
    <n v="1"/>
    <n v="98"/>
    <n v="99"/>
  </r>
  <r>
    <n v="405"/>
    <x v="17"/>
    <x v="0"/>
    <x v="0"/>
    <n v="20"/>
    <x v="0"/>
    <x v="3"/>
    <x v="1"/>
    <n v="9.02"/>
    <n v="0.22"/>
    <n v="0.2727"/>
    <n v="0.87"/>
    <n v="0"/>
    <n v="0"/>
    <n v="83"/>
    <n v="83"/>
  </r>
  <r>
    <n v="406"/>
    <x v="17"/>
    <x v="0"/>
    <x v="0"/>
    <n v="21"/>
    <x v="0"/>
    <x v="3"/>
    <x v="1"/>
    <n v="9.02"/>
    <n v="0.22"/>
    <n v="0.2424"/>
    <n v="0.93"/>
    <n v="0.1045"/>
    <n v="0"/>
    <n v="41"/>
    <n v="41"/>
  </r>
  <r>
    <n v="407"/>
    <x v="17"/>
    <x v="0"/>
    <x v="0"/>
    <n v="22"/>
    <x v="0"/>
    <x v="3"/>
    <x v="1"/>
    <n v="9.02"/>
    <n v="0.22"/>
    <n v="0.2576"/>
    <n v="0.93"/>
    <n v="8.9599999999999999E-2"/>
    <n v="0"/>
    <n v="33"/>
    <n v="33"/>
  </r>
  <r>
    <n v="408"/>
    <x v="17"/>
    <x v="0"/>
    <x v="0"/>
    <n v="23"/>
    <x v="0"/>
    <x v="3"/>
    <x v="1"/>
    <n v="9.02"/>
    <n v="0.22"/>
    <n v="0.2727"/>
    <n v="0.93"/>
    <n v="0"/>
    <n v="1"/>
    <n v="19"/>
    <n v="20"/>
  </r>
  <r>
    <n v="409"/>
    <x v="18"/>
    <x v="0"/>
    <x v="0"/>
    <n v="0"/>
    <x v="0"/>
    <x v="4"/>
    <x v="1"/>
    <n v="9.02"/>
    <n v="0.22"/>
    <n v="0.2727"/>
    <n v="0.93"/>
    <n v="0"/>
    <n v="0"/>
    <n v="3"/>
    <n v="3"/>
  </r>
  <r>
    <n v="410"/>
    <x v="18"/>
    <x v="0"/>
    <x v="0"/>
    <n v="1"/>
    <x v="0"/>
    <x v="4"/>
    <x v="2"/>
    <n v="9.02"/>
    <n v="0.22"/>
    <n v="0.2273"/>
    <n v="0.93"/>
    <n v="0.1343"/>
    <n v="1"/>
    <n v="6"/>
    <n v="7"/>
  </r>
  <r>
    <n v="411"/>
    <x v="18"/>
    <x v="0"/>
    <x v="0"/>
    <n v="2"/>
    <x v="0"/>
    <x v="4"/>
    <x v="2"/>
    <n v="9.02"/>
    <n v="0.22"/>
    <n v="0.2273"/>
    <n v="0.93"/>
    <n v="0.1343"/>
    <n v="0"/>
    <n v="3"/>
    <n v="3"/>
  </r>
  <r>
    <n v="412"/>
    <x v="18"/>
    <x v="0"/>
    <x v="0"/>
    <n v="4"/>
    <x v="0"/>
    <x v="4"/>
    <x v="2"/>
    <n v="9.02"/>
    <n v="0.22"/>
    <n v="0.2273"/>
    <n v="0.93"/>
    <n v="0.1343"/>
    <n v="1"/>
    <n v="1"/>
    <n v="2"/>
  </r>
  <r>
    <n v="413"/>
    <x v="18"/>
    <x v="0"/>
    <x v="0"/>
    <n v="5"/>
    <x v="0"/>
    <x v="4"/>
    <x v="1"/>
    <n v="9.02"/>
    <n v="0.22"/>
    <n v="0.2576"/>
    <n v="0.93"/>
    <n v="8.9599999999999999E-2"/>
    <n v="0"/>
    <n v="7"/>
    <n v="7"/>
  </r>
  <r>
    <n v="414"/>
    <x v="18"/>
    <x v="0"/>
    <x v="0"/>
    <n v="6"/>
    <x v="0"/>
    <x v="4"/>
    <x v="1"/>
    <n v="9.02"/>
    <n v="0.22"/>
    <n v="0.2576"/>
    <n v="0.93"/>
    <n v="8.9599999999999999E-2"/>
    <n v="0"/>
    <n v="32"/>
    <n v="32"/>
  </r>
  <r>
    <n v="415"/>
    <x v="18"/>
    <x v="0"/>
    <x v="0"/>
    <n v="7"/>
    <x v="0"/>
    <x v="4"/>
    <x v="1"/>
    <n v="9.84"/>
    <n v="0.24"/>
    <n v="0.2576"/>
    <n v="0.92"/>
    <n v="0.1045"/>
    <n v="1"/>
    <n v="89"/>
    <n v="90"/>
  </r>
  <r>
    <n v="416"/>
    <x v="18"/>
    <x v="0"/>
    <x v="0"/>
    <n v="8"/>
    <x v="0"/>
    <x v="4"/>
    <x v="1"/>
    <n v="9.84"/>
    <n v="0.24"/>
    <n v="0.2576"/>
    <n v="0.93"/>
    <n v="0.1045"/>
    <n v="1"/>
    <n v="196"/>
    <n v="197"/>
  </r>
  <r>
    <n v="417"/>
    <x v="18"/>
    <x v="0"/>
    <x v="0"/>
    <n v="9"/>
    <x v="0"/>
    <x v="4"/>
    <x v="1"/>
    <n v="9.84"/>
    <n v="0.24"/>
    <n v="0.2576"/>
    <n v="0.93"/>
    <n v="0.1045"/>
    <n v="2"/>
    <n v="107"/>
    <n v="109"/>
  </r>
  <r>
    <n v="418"/>
    <x v="18"/>
    <x v="0"/>
    <x v="0"/>
    <n v="10"/>
    <x v="0"/>
    <x v="4"/>
    <x v="1"/>
    <n v="10.66"/>
    <n v="0.26"/>
    <n v="0.2727"/>
    <n v="0.93"/>
    <n v="0.1343"/>
    <n v="1"/>
    <n v="46"/>
    <n v="47"/>
  </r>
  <r>
    <n v="419"/>
    <x v="18"/>
    <x v="0"/>
    <x v="0"/>
    <n v="11"/>
    <x v="0"/>
    <x v="4"/>
    <x v="1"/>
    <n v="11.48"/>
    <n v="0.28000000000000003"/>
    <n v="0.30299999999999999"/>
    <n v="0.87"/>
    <n v="8.9599999999999999E-2"/>
    <n v="5"/>
    <n v="47"/>
    <n v="52"/>
  </r>
  <r>
    <n v="420"/>
    <x v="18"/>
    <x v="0"/>
    <x v="0"/>
    <n v="12"/>
    <x v="0"/>
    <x v="4"/>
    <x v="1"/>
    <n v="12.299999999999999"/>
    <n v="0.3"/>
    <n v="0.31819999999999998"/>
    <n v="0.81"/>
    <n v="8.9599999999999999E-2"/>
    <n v="5"/>
    <n v="65"/>
    <n v="70"/>
  </r>
  <r>
    <n v="421"/>
    <x v="18"/>
    <x v="0"/>
    <x v="0"/>
    <n v="13"/>
    <x v="0"/>
    <x v="4"/>
    <x v="0"/>
    <n v="16.400000000000002"/>
    <n v="0.4"/>
    <n v="0.40910000000000002"/>
    <n v="0.62"/>
    <n v="0.28360000000000002"/>
    <n v="11"/>
    <n v="67"/>
    <n v="78"/>
  </r>
  <r>
    <n v="422"/>
    <x v="18"/>
    <x v="0"/>
    <x v="0"/>
    <n v="14"/>
    <x v="0"/>
    <x v="4"/>
    <x v="0"/>
    <n v="16.400000000000002"/>
    <n v="0.4"/>
    <n v="0.40910000000000002"/>
    <n v="0.57999999999999996"/>
    <n v="0.25369999999999998"/>
    <n v="7"/>
    <n v="68"/>
    <n v="75"/>
  </r>
  <r>
    <n v="423"/>
    <x v="18"/>
    <x v="0"/>
    <x v="0"/>
    <n v="15"/>
    <x v="0"/>
    <x v="4"/>
    <x v="0"/>
    <n v="16.400000000000002"/>
    <n v="0.4"/>
    <n v="0.40910000000000002"/>
    <n v="0.54"/>
    <n v="0.28360000000000002"/>
    <n v="4"/>
    <n v="78"/>
    <n v="82"/>
  </r>
  <r>
    <n v="424"/>
    <x v="18"/>
    <x v="0"/>
    <x v="0"/>
    <n v="16"/>
    <x v="0"/>
    <x v="4"/>
    <x v="0"/>
    <n v="15.58"/>
    <n v="0.38"/>
    <n v="0.39389999999999997"/>
    <n v="0.57999999999999996"/>
    <n v="0.3881"/>
    <n v="10"/>
    <n v="94"/>
    <n v="104"/>
  </r>
  <r>
    <n v="425"/>
    <x v="18"/>
    <x v="0"/>
    <x v="0"/>
    <n v="17"/>
    <x v="0"/>
    <x v="4"/>
    <x v="0"/>
    <n v="14.76"/>
    <n v="0.36"/>
    <n v="0.33329999999999999"/>
    <n v="0.56999999999999995"/>
    <n v="0.32840000000000003"/>
    <n v="7"/>
    <n v="190"/>
    <n v="197"/>
  </r>
  <r>
    <n v="426"/>
    <x v="18"/>
    <x v="0"/>
    <x v="0"/>
    <n v="18"/>
    <x v="0"/>
    <x v="4"/>
    <x v="0"/>
    <n v="13.940000000000001"/>
    <n v="0.34"/>
    <n v="0.31819999999999998"/>
    <n v="0.61"/>
    <n v="0.28360000000000002"/>
    <n v="5"/>
    <n v="156"/>
    <n v="161"/>
  </r>
  <r>
    <n v="427"/>
    <x v="18"/>
    <x v="0"/>
    <x v="0"/>
    <n v="19"/>
    <x v="0"/>
    <x v="4"/>
    <x v="0"/>
    <n v="13.120000000000001"/>
    <n v="0.32"/>
    <n v="0.28789999999999999"/>
    <n v="0.56999999999999995"/>
    <n v="0.41789999999999999"/>
    <n v="4"/>
    <n v="108"/>
    <n v="112"/>
  </r>
  <r>
    <n v="428"/>
    <x v="18"/>
    <x v="0"/>
    <x v="0"/>
    <n v="20"/>
    <x v="0"/>
    <x v="4"/>
    <x v="0"/>
    <n v="13.120000000000001"/>
    <n v="0.32"/>
    <n v="0.30299999999999999"/>
    <n v="0.49"/>
    <n v="0.29849999999999999"/>
    <n v="2"/>
    <n v="74"/>
    <n v="76"/>
  </r>
  <r>
    <n v="429"/>
    <x v="18"/>
    <x v="0"/>
    <x v="0"/>
    <n v="21"/>
    <x v="0"/>
    <x v="4"/>
    <x v="0"/>
    <n v="13.120000000000001"/>
    <n v="0.32"/>
    <n v="0.28789999999999999"/>
    <n v="0.49"/>
    <n v="0.41789999999999999"/>
    <n v="4"/>
    <n v="55"/>
    <n v="59"/>
  </r>
  <r>
    <n v="430"/>
    <x v="18"/>
    <x v="0"/>
    <x v="0"/>
    <n v="22"/>
    <x v="0"/>
    <x v="4"/>
    <x v="0"/>
    <n v="12.299999999999999"/>
    <n v="0.3"/>
    <n v="0.30299999999999999"/>
    <n v="0.52"/>
    <n v="0.16420000000000001"/>
    <n v="6"/>
    <n v="53"/>
    <n v="59"/>
  </r>
  <r>
    <n v="431"/>
    <x v="18"/>
    <x v="0"/>
    <x v="0"/>
    <n v="23"/>
    <x v="0"/>
    <x v="4"/>
    <x v="0"/>
    <n v="12.299999999999999"/>
    <n v="0.3"/>
    <n v="0.2727"/>
    <n v="0.52"/>
    <n v="0.4627"/>
    <n v="1"/>
    <n v="27"/>
    <n v="28"/>
  </r>
  <r>
    <n v="432"/>
    <x v="19"/>
    <x v="0"/>
    <x v="0"/>
    <n v="0"/>
    <x v="0"/>
    <x v="5"/>
    <x v="0"/>
    <n v="10.66"/>
    <n v="0.26"/>
    <n v="0.2273"/>
    <n v="0.56000000000000005"/>
    <n v="0.3881"/>
    <n v="5"/>
    <n v="8"/>
    <n v="13"/>
  </r>
  <r>
    <n v="433"/>
    <x v="19"/>
    <x v="0"/>
    <x v="0"/>
    <n v="1"/>
    <x v="0"/>
    <x v="5"/>
    <x v="0"/>
    <n v="10.66"/>
    <n v="0.26"/>
    <n v="0.2727"/>
    <n v="0.56000000000000005"/>
    <n v="0"/>
    <n v="2"/>
    <n v="3"/>
    <n v="5"/>
  </r>
  <r>
    <n v="434"/>
    <x v="19"/>
    <x v="0"/>
    <x v="0"/>
    <n v="2"/>
    <x v="0"/>
    <x v="5"/>
    <x v="0"/>
    <n v="10.66"/>
    <n v="0.26"/>
    <n v="0.2727"/>
    <n v="0.56000000000000005"/>
    <n v="0"/>
    <n v="0"/>
    <n v="2"/>
    <n v="2"/>
  </r>
  <r>
    <n v="435"/>
    <x v="19"/>
    <x v="0"/>
    <x v="0"/>
    <n v="3"/>
    <x v="0"/>
    <x v="5"/>
    <x v="0"/>
    <n v="10.66"/>
    <n v="0.26"/>
    <n v="0.2576"/>
    <n v="0.56000000000000005"/>
    <n v="0.16420000000000001"/>
    <n v="0"/>
    <n v="1"/>
    <n v="1"/>
  </r>
  <r>
    <n v="436"/>
    <x v="19"/>
    <x v="0"/>
    <x v="0"/>
    <n v="4"/>
    <x v="0"/>
    <x v="5"/>
    <x v="0"/>
    <n v="10.66"/>
    <n v="0.26"/>
    <n v="0.2576"/>
    <n v="0.56000000000000005"/>
    <n v="0.16420000000000001"/>
    <n v="0"/>
    <n v="1"/>
    <n v="1"/>
  </r>
  <r>
    <n v="437"/>
    <x v="19"/>
    <x v="0"/>
    <x v="0"/>
    <n v="5"/>
    <x v="0"/>
    <x v="5"/>
    <x v="0"/>
    <n v="9.84"/>
    <n v="0.24"/>
    <n v="0.2273"/>
    <n v="0.6"/>
    <n v="0.22389999999999999"/>
    <n v="0"/>
    <n v="6"/>
    <n v="6"/>
  </r>
  <r>
    <n v="438"/>
    <x v="19"/>
    <x v="0"/>
    <x v="0"/>
    <n v="6"/>
    <x v="0"/>
    <x v="5"/>
    <x v="0"/>
    <n v="9.02"/>
    <n v="0.22"/>
    <n v="0.21210000000000001"/>
    <n v="0.6"/>
    <n v="0.22389999999999999"/>
    <n v="0"/>
    <n v="35"/>
    <n v="35"/>
  </r>
  <r>
    <n v="439"/>
    <x v="19"/>
    <x v="0"/>
    <x v="0"/>
    <n v="7"/>
    <x v="0"/>
    <x v="5"/>
    <x v="0"/>
    <n v="9.02"/>
    <n v="0.22"/>
    <n v="0.21210000000000001"/>
    <n v="0.55000000000000004"/>
    <n v="0.22389999999999999"/>
    <n v="1"/>
    <n v="100"/>
    <n v="101"/>
  </r>
  <r>
    <n v="440"/>
    <x v="19"/>
    <x v="0"/>
    <x v="0"/>
    <n v="8"/>
    <x v="0"/>
    <x v="5"/>
    <x v="0"/>
    <n v="9.02"/>
    <n v="0.22"/>
    <n v="0.21210000000000001"/>
    <n v="0.55000000000000004"/>
    <n v="0.28360000000000002"/>
    <n v="2"/>
    <n v="247"/>
    <n v="249"/>
  </r>
  <r>
    <n v="441"/>
    <x v="19"/>
    <x v="0"/>
    <x v="0"/>
    <n v="9"/>
    <x v="0"/>
    <x v="5"/>
    <x v="1"/>
    <n v="9.84"/>
    <n v="0.24"/>
    <n v="0.2273"/>
    <n v="0.52"/>
    <n v="0.22389999999999999"/>
    <n v="3"/>
    <n v="140"/>
    <n v="143"/>
  </r>
  <r>
    <n v="442"/>
    <x v="19"/>
    <x v="0"/>
    <x v="0"/>
    <n v="10"/>
    <x v="0"/>
    <x v="5"/>
    <x v="0"/>
    <n v="10.66"/>
    <n v="0.26"/>
    <n v="0.2273"/>
    <n v="0.48"/>
    <n v="0.29849999999999999"/>
    <n v="1"/>
    <n v="56"/>
    <n v="57"/>
  </r>
  <r>
    <n v="443"/>
    <x v="19"/>
    <x v="0"/>
    <x v="0"/>
    <n v="11"/>
    <x v="0"/>
    <x v="5"/>
    <x v="1"/>
    <n v="11.48"/>
    <n v="0.28000000000000003"/>
    <n v="0.2727"/>
    <n v="0.45"/>
    <n v="0.16420000000000001"/>
    <n v="5"/>
    <n v="63"/>
    <n v="68"/>
  </r>
  <r>
    <n v="444"/>
    <x v="19"/>
    <x v="0"/>
    <x v="0"/>
    <n v="12"/>
    <x v="0"/>
    <x v="5"/>
    <x v="1"/>
    <n v="12.299999999999999"/>
    <n v="0.3"/>
    <n v="0.33329999999999999"/>
    <n v="0.42"/>
    <n v="0"/>
    <n v="7"/>
    <n v="77"/>
    <n v="84"/>
  </r>
  <r>
    <n v="445"/>
    <x v="19"/>
    <x v="0"/>
    <x v="0"/>
    <n v="13"/>
    <x v="0"/>
    <x v="5"/>
    <x v="1"/>
    <n v="11.48"/>
    <n v="0.28000000000000003"/>
    <n v="0.28789999999999999"/>
    <n v="0.45"/>
    <n v="0.1045"/>
    <n v="12"/>
    <n v="86"/>
    <n v="98"/>
  </r>
  <r>
    <n v="446"/>
    <x v="19"/>
    <x v="0"/>
    <x v="0"/>
    <n v="14"/>
    <x v="0"/>
    <x v="5"/>
    <x v="1"/>
    <n v="12.299999999999999"/>
    <n v="0.3"/>
    <n v="0.30299999999999999"/>
    <n v="0.45"/>
    <n v="0.1343"/>
    <n v="6"/>
    <n v="75"/>
    <n v="81"/>
  </r>
  <r>
    <n v="447"/>
    <x v="19"/>
    <x v="0"/>
    <x v="0"/>
    <n v="15"/>
    <x v="0"/>
    <x v="5"/>
    <x v="1"/>
    <n v="13.120000000000001"/>
    <n v="0.32"/>
    <n v="0.31819999999999998"/>
    <n v="0.45"/>
    <n v="0.19400000000000001"/>
    <n v="8"/>
    <n v="62"/>
    <n v="70"/>
  </r>
  <r>
    <n v="448"/>
    <x v="19"/>
    <x v="0"/>
    <x v="0"/>
    <n v="16"/>
    <x v="0"/>
    <x v="5"/>
    <x v="1"/>
    <n v="12.299999999999999"/>
    <n v="0.3"/>
    <n v="0.30299999999999999"/>
    <n v="0.49"/>
    <n v="0.1343"/>
    <n v="8"/>
    <n v="83"/>
    <n v="91"/>
  </r>
  <r>
    <n v="449"/>
    <x v="19"/>
    <x v="0"/>
    <x v="0"/>
    <n v="17"/>
    <x v="0"/>
    <x v="5"/>
    <x v="1"/>
    <n v="12.299999999999999"/>
    <n v="0.3"/>
    <n v="0.31819999999999998"/>
    <n v="0.49"/>
    <n v="0.1045"/>
    <n v="8"/>
    <n v="207"/>
    <n v="215"/>
  </r>
  <r>
    <n v="450"/>
    <x v="19"/>
    <x v="0"/>
    <x v="0"/>
    <n v="18"/>
    <x v="0"/>
    <x v="5"/>
    <x v="1"/>
    <n v="10.66"/>
    <n v="0.26"/>
    <n v="0.2576"/>
    <n v="0.56000000000000005"/>
    <n v="0.19400000000000001"/>
    <n v="1"/>
    <n v="184"/>
    <n v="185"/>
  </r>
  <r>
    <n v="451"/>
    <x v="19"/>
    <x v="0"/>
    <x v="0"/>
    <n v="19"/>
    <x v="0"/>
    <x v="5"/>
    <x v="0"/>
    <n v="10.66"/>
    <n v="0.26"/>
    <n v="0.2273"/>
    <n v="0.56000000000000005"/>
    <n v="0.32840000000000003"/>
    <n v="6"/>
    <n v="146"/>
    <n v="152"/>
  </r>
  <r>
    <n v="452"/>
    <x v="19"/>
    <x v="0"/>
    <x v="0"/>
    <n v="20"/>
    <x v="0"/>
    <x v="5"/>
    <x v="1"/>
    <n v="10.66"/>
    <n v="0.26"/>
    <n v="0.2424"/>
    <n v="0.6"/>
    <n v="0.28360000000000002"/>
    <n v="2"/>
    <n v="124"/>
    <n v="126"/>
  </r>
  <r>
    <n v="453"/>
    <x v="19"/>
    <x v="0"/>
    <x v="0"/>
    <n v="21"/>
    <x v="0"/>
    <x v="5"/>
    <x v="1"/>
    <n v="9.84"/>
    <n v="0.24"/>
    <n v="0.2273"/>
    <n v="0.6"/>
    <n v="0.25369999999999998"/>
    <n v="3"/>
    <n v="54"/>
    <n v="57"/>
  </r>
  <r>
    <n v="454"/>
    <x v="19"/>
    <x v="0"/>
    <x v="0"/>
    <n v="22"/>
    <x v="0"/>
    <x v="5"/>
    <x v="1"/>
    <n v="9.84"/>
    <n v="0.24"/>
    <n v="0.21210000000000001"/>
    <n v="0.65"/>
    <n v="0.28360000000000002"/>
    <n v="0"/>
    <n v="56"/>
    <n v="56"/>
  </r>
  <r>
    <n v="455"/>
    <x v="19"/>
    <x v="0"/>
    <x v="0"/>
    <n v="23"/>
    <x v="0"/>
    <x v="5"/>
    <x v="1"/>
    <n v="9.84"/>
    <n v="0.24"/>
    <n v="0.21210000000000001"/>
    <n v="0.65"/>
    <n v="0.32840000000000003"/>
    <n v="3"/>
    <n v="28"/>
    <n v="31"/>
  </r>
  <r>
    <n v="456"/>
    <x v="20"/>
    <x v="0"/>
    <x v="0"/>
    <n v="0"/>
    <x v="0"/>
    <x v="6"/>
    <x v="1"/>
    <n v="9.84"/>
    <n v="0.24"/>
    <n v="0.2273"/>
    <n v="0.7"/>
    <n v="0.25369999999999998"/>
    <n v="1"/>
    <n v="20"/>
    <n v="21"/>
  </r>
  <r>
    <n v="457"/>
    <x v="20"/>
    <x v="0"/>
    <x v="0"/>
    <n v="1"/>
    <x v="0"/>
    <x v="6"/>
    <x v="1"/>
    <n v="9.84"/>
    <n v="0.24"/>
    <n v="0.2273"/>
    <n v="0.7"/>
    <n v="0.25369999999999998"/>
    <n v="0"/>
    <n v="6"/>
    <n v="6"/>
  </r>
  <r>
    <n v="458"/>
    <x v="20"/>
    <x v="0"/>
    <x v="0"/>
    <n v="2"/>
    <x v="0"/>
    <x v="6"/>
    <x v="2"/>
    <n v="9.84"/>
    <n v="0.24"/>
    <n v="0.2424"/>
    <n v="0.75"/>
    <n v="0.16420000000000001"/>
    <n v="0"/>
    <n v="2"/>
    <n v="2"/>
  </r>
  <r>
    <n v="459"/>
    <x v="20"/>
    <x v="0"/>
    <x v="0"/>
    <n v="3"/>
    <x v="0"/>
    <x v="6"/>
    <x v="2"/>
    <n v="9.02"/>
    <n v="0.22"/>
    <n v="0.21210000000000001"/>
    <n v="0.8"/>
    <n v="0.29849999999999999"/>
    <n v="0"/>
    <n v="1"/>
    <n v="1"/>
  </r>
  <r>
    <n v="460"/>
    <x v="20"/>
    <x v="0"/>
    <x v="0"/>
    <n v="4"/>
    <x v="0"/>
    <x v="6"/>
    <x v="1"/>
    <n v="9.02"/>
    <n v="0.22"/>
    <n v="0.2576"/>
    <n v="0.87"/>
    <n v="8.9599999999999999E-2"/>
    <n v="0"/>
    <n v="1"/>
    <n v="1"/>
  </r>
  <r>
    <n v="461"/>
    <x v="20"/>
    <x v="0"/>
    <x v="0"/>
    <n v="5"/>
    <x v="0"/>
    <x v="6"/>
    <x v="0"/>
    <n v="9.84"/>
    <n v="0.24"/>
    <n v="0.19700000000000001"/>
    <n v="0.6"/>
    <n v="0.41789999999999999"/>
    <n v="1"/>
    <n v="4"/>
    <n v="5"/>
  </r>
  <r>
    <n v="462"/>
    <x v="20"/>
    <x v="0"/>
    <x v="0"/>
    <n v="6"/>
    <x v="0"/>
    <x v="6"/>
    <x v="0"/>
    <n v="9.02"/>
    <n v="0.22"/>
    <n v="0.21210000000000001"/>
    <n v="0.55000000000000004"/>
    <n v="0.25369999999999998"/>
    <n v="0"/>
    <n v="27"/>
    <n v="27"/>
  </r>
  <r>
    <n v="463"/>
    <x v="20"/>
    <x v="0"/>
    <x v="0"/>
    <n v="7"/>
    <x v="0"/>
    <x v="6"/>
    <x v="0"/>
    <n v="8.2000000000000011"/>
    <n v="0.2"/>
    <n v="0.18179999999999999"/>
    <n v="0.51"/>
    <n v="0.28360000000000002"/>
    <n v="2"/>
    <n v="66"/>
    <n v="68"/>
  </r>
  <r>
    <n v="464"/>
    <x v="20"/>
    <x v="0"/>
    <x v="0"/>
    <n v="8"/>
    <x v="0"/>
    <x v="6"/>
    <x v="0"/>
    <n v="8.2000000000000011"/>
    <n v="0.2"/>
    <n v="0.18179999999999999"/>
    <n v="0.47"/>
    <n v="0.32840000000000003"/>
    <n v="7"/>
    <n v="210"/>
    <n v="217"/>
  </r>
  <r>
    <n v="465"/>
    <x v="20"/>
    <x v="0"/>
    <x v="0"/>
    <n v="9"/>
    <x v="0"/>
    <x v="6"/>
    <x v="0"/>
    <n v="8.2000000000000011"/>
    <n v="0.2"/>
    <n v="0.18179999999999999"/>
    <n v="0.51"/>
    <n v="0.35820000000000002"/>
    <n v="7"/>
    <n v="159"/>
    <n v="166"/>
  </r>
  <r>
    <n v="466"/>
    <x v="20"/>
    <x v="0"/>
    <x v="0"/>
    <n v="10"/>
    <x v="0"/>
    <x v="6"/>
    <x v="0"/>
    <n v="8.2000000000000011"/>
    <n v="0.2"/>
    <n v="0.16669999999999999"/>
    <n v="0.47"/>
    <n v="0.4627"/>
    <n v="6"/>
    <n v="57"/>
    <n v="63"/>
  </r>
  <r>
    <n v="467"/>
    <x v="20"/>
    <x v="0"/>
    <x v="0"/>
    <n v="11"/>
    <x v="0"/>
    <x v="6"/>
    <x v="0"/>
    <n v="9.02"/>
    <n v="0.22"/>
    <n v="0.18179999999999999"/>
    <n v="0.41"/>
    <n v="0.4627"/>
    <n v="6"/>
    <n v="53"/>
    <n v="59"/>
  </r>
  <r>
    <n v="468"/>
    <x v="20"/>
    <x v="0"/>
    <x v="0"/>
    <n v="12"/>
    <x v="0"/>
    <x v="6"/>
    <x v="0"/>
    <n v="9.02"/>
    <n v="0.22"/>
    <n v="0.18179999999999999"/>
    <n v="0.27"/>
    <n v="0.58209999999999995"/>
    <n v="11"/>
    <n v="67"/>
    <n v="78"/>
  </r>
  <r>
    <n v="469"/>
    <x v="20"/>
    <x v="0"/>
    <x v="0"/>
    <n v="13"/>
    <x v="0"/>
    <x v="6"/>
    <x v="0"/>
    <n v="8.2000000000000011"/>
    <n v="0.2"/>
    <n v="0.1515"/>
    <n v="0.21"/>
    <n v="0.58209999999999995"/>
    <n v="8"/>
    <n v="65"/>
    <n v="73"/>
  </r>
  <r>
    <n v="470"/>
    <x v="20"/>
    <x v="0"/>
    <x v="0"/>
    <n v="14"/>
    <x v="0"/>
    <x v="6"/>
    <x v="0"/>
    <n v="8.2000000000000011"/>
    <n v="0.2"/>
    <n v="0.1515"/>
    <n v="0.25"/>
    <n v="0.52239999999999998"/>
    <n v="6"/>
    <n v="56"/>
    <n v="62"/>
  </r>
  <r>
    <n v="471"/>
    <x v="20"/>
    <x v="0"/>
    <x v="0"/>
    <n v="15"/>
    <x v="0"/>
    <x v="6"/>
    <x v="0"/>
    <n v="6.5600000000000005"/>
    <n v="0.16"/>
    <n v="0.1212"/>
    <n v="0.26"/>
    <n v="0.44779999999999998"/>
    <n v="4"/>
    <n v="61"/>
    <n v="65"/>
  </r>
  <r>
    <n v="472"/>
    <x v="20"/>
    <x v="0"/>
    <x v="0"/>
    <n v="16"/>
    <x v="0"/>
    <x v="6"/>
    <x v="0"/>
    <n v="6.5600000000000005"/>
    <n v="0.16"/>
    <n v="0.13639999999999999"/>
    <n v="0.26"/>
    <n v="0.35820000000000002"/>
    <n v="0"/>
    <n v="97"/>
    <n v="97"/>
  </r>
  <r>
    <n v="473"/>
    <x v="20"/>
    <x v="0"/>
    <x v="0"/>
    <n v="17"/>
    <x v="0"/>
    <x v="6"/>
    <x v="0"/>
    <n v="5.74"/>
    <n v="0.14000000000000001"/>
    <n v="0.1212"/>
    <n v="0.28000000000000003"/>
    <n v="0.35820000000000002"/>
    <n v="10"/>
    <n v="151"/>
    <n v="161"/>
  </r>
  <r>
    <n v="474"/>
    <x v="20"/>
    <x v="0"/>
    <x v="0"/>
    <n v="18"/>
    <x v="0"/>
    <x v="6"/>
    <x v="0"/>
    <n v="4.92"/>
    <n v="0.12"/>
    <n v="0.1212"/>
    <n v="0.3"/>
    <n v="0.25369999999999998"/>
    <n v="1"/>
    <n v="119"/>
    <n v="120"/>
  </r>
  <r>
    <n v="475"/>
    <x v="20"/>
    <x v="0"/>
    <x v="0"/>
    <n v="19"/>
    <x v="0"/>
    <x v="6"/>
    <x v="0"/>
    <n v="4.92"/>
    <n v="0.12"/>
    <n v="0.1061"/>
    <n v="0.3"/>
    <n v="0.32840000000000003"/>
    <n v="3"/>
    <n v="93"/>
    <n v="96"/>
  </r>
  <r>
    <n v="476"/>
    <x v="20"/>
    <x v="0"/>
    <x v="0"/>
    <n v="20"/>
    <x v="0"/>
    <x v="6"/>
    <x v="0"/>
    <n v="4.1000000000000005"/>
    <n v="0.1"/>
    <n v="7.5800000000000006E-2"/>
    <n v="0.33"/>
    <n v="0.41789999999999999"/>
    <n v="1"/>
    <n v="52"/>
    <n v="53"/>
  </r>
  <r>
    <n v="477"/>
    <x v="20"/>
    <x v="0"/>
    <x v="0"/>
    <n v="21"/>
    <x v="0"/>
    <x v="6"/>
    <x v="0"/>
    <n v="3.2800000000000002"/>
    <n v="0.08"/>
    <n v="7.5800000000000006E-2"/>
    <n v="0.38"/>
    <n v="0.28360000000000002"/>
    <n v="0"/>
    <n v="41"/>
    <n v="41"/>
  </r>
  <r>
    <n v="478"/>
    <x v="20"/>
    <x v="0"/>
    <x v="0"/>
    <n v="22"/>
    <x v="0"/>
    <x v="6"/>
    <x v="0"/>
    <n v="2.46"/>
    <n v="0.06"/>
    <n v="3.0300000000000001E-2"/>
    <n v="0.41"/>
    <n v="0.3881"/>
    <n v="1"/>
    <n v="33"/>
    <n v="34"/>
  </r>
  <r>
    <n v="479"/>
    <x v="20"/>
    <x v="0"/>
    <x v="0"/>
    <n v="23"/>
    <x v="0"/>
    <x v="6"/>
    <x v="0"/>
    <n v="2.46"/>
    <n v="0.06"/>
    <n v="4.5499999999999999E-2"/>
    <n v="0.38"/>
    <n v="0.32840000000000003"/>
    <n v="0"/>
    <n v="27"/>
    <n v="27"/>
  </r>
  <r>
    <n v="480"/>
    <x v="21"/>
    <x v="0"/>
    <x v="0"/>
    <n v="0"/>
    <x v="0"/>
    <x v="0"/>
    <x v="0"/>
    <n v="1.6400000000000001"/>
    <n v="0.04"/>
    <n v="3.0300000000000001E-2"/>
    <n v="0.45"/>
    <n v="0.25369999999999998"/>
    <n v="0"/>
    <n v="13"/>
    <n v="13"/>
  </r>
  <r>
    <n v="481"/>
    <x v="21"/>
    <x v="0"/>
    <x v="0"/>
    <n v="1"/>
    <x v="0"/>
    <x v="0"/>
    <x v="1"/>
    <n v="1.6400000000000001"/>
    <n v="0.04"/>
    <n v="0"/>
    <n v="0.41"/>
    <n v="0.3881"/>
    <n v="3"/>
    <n v="9"/>
    <n v="12"/>
  </r>
  <r>
    <n v="482"/>
    <x v="21"/>
    <x v="0"/>
    <x v="0"/>
    <n v="2"/>
    <x v="0"/>
    <x v="0"/>
    <x v="1"/>
    <n v="1.6400000000000001"/>
    <n v="0.04"/>
    <n v="3.0300000000000001E-2"/>
    <n v="0.41"/>
    <n v="0.25369999999999998"/>
    <n v="0"/>
    <n v="11"/>
    <n v="11"/>
  </r>
  <r>
    <n v="483"/>
    <x v="21"/>
    <x v="0"/>
    <x v="0"/>
    <n v="3"/>
    <x v="0"/>
    <x v="0"/>
    <x v="1"/>
    <n v="1.6400000000000001"/>
    <n v="0.04"/>
    <n v="3.0300000000000001E-2"/>
    <n v="0.41"/>
    <n v="0.28360000000000002"/>
    <n v="1"/>
    <n v="6"/>
    <n v="7"/>
  </r>
  <r>
    <n v="484"/>
    <x v="21"/>
    <x v="0"/>
    <x v="0"/>
    <n v="4"/>
    <x v="0"/>
    <x v="0"/>
    <x v="1"/>
    <n v="0.82000000000000006"/>
    <n v="0.02"/>
    <n v="1.52E-2"/>
    <n v="0.48"/>
    <n v="0.29849999999999999"/>
    <n v="0"/>
    <n v="3"/>
    <n v="3"/>
  </r>
  <r>
    <n v="485"/>
    <x v="21"/>
    <x v="0"/>
    <x v="0"/>
    <n v="6"/>
    <x v="0"/>
    <x v="0"/>
    <x v="1"/>
    <n v="0.82000000000000006"/>
    <n v="0.02"/>
    <n v="3.0300000000000001E-2"/>
    <n v="0.44"/>
    <n v="0.22389999999999999"/>
    <n v="0"/>
    <n v="2"/>
    <n v="2"/>
  </r>
  <r>
    <n v="486"/>
    <x v="21"/>
    <x v="0"/>
    <x v="0"/>
    <n v="7"/>
    <x v="0"/>
    <x v="0"/>
    <x v="0"/>
    <n v="0.82000000000000006"/>
    <n v="0.02"/>
    <n v="1.52E-2"/>
    <n v="0.44"/>
    <n v="0.28360000000000002"/>
    <n v="0"/>
    <n v="8"/>
    <n v="8"/>
  </r>
  <r>
    <n v="487"/>
    <x v="21"/>
    <x v="0"/>
    <x v="0"/>
    <n v="8"/>
    <x v="0"/>
    <x v="0"/>
    <x v="0"/>
    <n v="0.82000000000000006"/>
    <n v="0.02"/>
    <n v="0"/>
    <n v="0.44"/>
    <n v="0.32840000000000003"/>
    <n v="1"/>
    <n v="26"/>
    <n v="27"/>
  </r>
  <r>
    <n v="488"/>
    <x v="21"/>
    <x v="0"/>
    <x v="0"/>
    <n v="9"/>
    <x v="0"/>
    <x v="0"/>
    <x v="0"/>
    <n v="1.6400000000000001"/>
    <n v="0.04"/>
    <n v="3.0300000000000001E-2"/>
    <n v="0.41"/>
    <n v="0.25369999999999998"/>
    <n v="3"/>
    <n v="37"/>
    <n v="40"/>
  </r>
  <r>
    <n v="489"/>
    <x v="21"/>
    <x v="0"/>
    <x v="0"/>
    <n v="10"/>
    <x v="0"/>
    <x v="0"/>
    <x v="1"/>
    <n v="1.6400000000000001"/>
    <n v="0.04"/>
    <n v="6.0600000000000001E-2"/>
    <n v="0.41"/>
    <n v="0.16420000000000001"/>
    <n v="3"/>
    <n v="50"/>
    <n v="53"/>
  </r>
  <r>
    <n v="490"/>
    <x v="21"/>
    <x v="0"/>
    <x v="0"/>
    <n v="11"/>
    <x v="0"/>
    <x v="0"/>
    <x v="1"/>
    <n v="2.46"/>
    <n v="0.06"/>
    <n v="7.5800000000000006E-2"/>
    <n v="0.38"/>
    <n v="0.1343"/>
    <n v="4"/>
    <n v="59"/>
    <n v="63"/>
  </r>
  <r>
    <n v="491"/>
    <x v="21"/>
    <x v="0"/>
    <x v="0"/>
    <n v="12"/>
    <x v="0"/>
    <x v="0"/>
    <x v="1"/>
    <n v="2.46"/>
    <n v="0.06"/>
    <n v="0.1061"/>
    <n v="0.38"/>
    <n v="0.1045"/>
    <n v="10"/>
    <n v="60"/>
    <n v="70"/>
  </r>
  <r>
    <n v="492"/>
    <x v="21"/>
    <x v="0"/>
    <x v="0"/>
    <n v="13"/>
    <x v="0"/>
    <x v="0"/>
    <x v="0"/>
    <n v="3.2800000000000002"/>
    <n v="0.08"/>
    <n v="0.16669999999999999"/>
    <n v="0.35"/>
    <n v="0"/>
    <n v="12"/>
    <n v="72"/>
    <n v="84"/>
  </r>
  <r>
    <n v="493"/>
    <x v="21"/>
    <x v="0"/>
    <x v="0"/>
    <n v="14"/>
    <x v="0"/>
    <x v="0"/>
    <x v="0"/>
    <n v="4.1000000000000005"/>
    <n v="0.1"/>
    <n v="0.13639999999999999"/>
    <n v="0.33"/>
    <n v="0.1045"/>
    <n v="11"/>
    <n v="64"/>
    <n v="75"/>
  </r>
  <r>
    <n v="494"/>
    <x v="21"/>
    <x v="0"/>
    <x v="0"/>
    <n v="15"/>
    <x v="0"/>
    <x v="0"/>
    <x v="0"/>
    <n v="4.92"/>
    <n v="0.12"/>
    <n v="0.1515"/>
    <n v="0.28000000000000003"/>
    <n v="0"/>
    <n v="10"/>
    <n v="93"/>
    <n v="103"/>
  </r>
  <r>
    <n v="495"/>
    <x v="21"/>
    <x v="0"/>
    <x v="0"/>
    <n v="16"/>
    <x v="0"/>
    <x v="0"/>
    <x v="0"/>
    <n v="4.92"/>
    <n v="0.12"/>
    <n v="0.13639999999999999"/>
    <n v="0.28000000000000003"/>
    <n v="0.19400000000000001"/>
    <n v="11"/>
    <n v="72"/>
    <n v="83"/>
  </r>
  <r>
    <n v="496"/>
    <x v="21"/>
    <x v="0"/>
    <x v="0"/>
    <n v="17"/>
    <x v="0"/>
    <x v="0"/>
    <x v="0"/>
    <n v="4.92"/>
    <n v="0.12"/>
    <n v="0.19700000000000001"/>
    <n v="0.28000000000000003"/>
    <n v="0"/>
    <n v="8"/>
    <n v="59"/>
    <n v="67"/>
  </r>
  <r>
    <n v="497"/>
    <x v="21"/>
    <x v="0"/>
    <x v="0"/>
    <n v="18"/>
    <x v="0"/>
    <x v="0"/>
    <x v="0"/>
    <n v="3.2800000000000002"/>
    <n v="0.08"/>
    <n v="9.0899999999999995E-2"/>
    <n v="0.35"/>
    <n v="0.19400000000000001"/>
    <n v="0"/>
    <n v="54"/>
    <n v="54"/>
  </r>
  <r>
    <n v="498"/>
    <x v="21"/>
    <x v="0"/>
    <x v="0"/>
    <n v="19"/>
    <x v="0"/>
    <x v="0"/>
    <x v="0"/>
    <n v="3.2800000000000002"/>
    <n v="0.08"/>
    <n v="0.1061"/>
    <n v="0.35"/>
    <n v="0.1343"/>
    <n v="6"/>
    <n v="53"/>
    <n v="59"/>
  </r>
  <r>
    <n v="499"/>
    <x v="21"/>
    <x v="0"/>
    <x v="0"/>
    <n v="20"/>
    <x v="0"/>
    <x v="0"/>
    <x v="0"/>
    <n v="2.46"/>
    <n v="0.06"/>
    <n v="7.5800000000000006E-2"/>
    <n v="0.45"/>
    <n v="0.16420000000000001"/>
    <n v="1"/>
    <n v="44"/>
    <n v="45"/>
  </r>
  <r>
    <n v="500"/>
    <x v="21"/>
    <x v="0"/>
    <x v="0"/>
    <n v="21"/>
    <x v="0"/>
    <x v="0"/>
    <x v="0"/>
    <n v="2.46"/>
    <n v="0.06"/>
    <n v="0.1061"/>
    <n v="0.41"/>
    <n v="8.9599999999999999E-2"/>
    <n v="0"/>
    <n v="39"/>
    <n v="39"/>
  </r>
  <r>
    <n v="501"/>
    <x v="21"/>
    <x v="0"/>
    <x v="0"/>
    <n v="22"/>
    <x v="0"/>
    <x v="0"/>
    <x v="0"/>
    <n v="2.46"/>
    <n v="0.06"/>
    <n v="0.1515"/>
    <n v="0.49"/>
    <n v="0"/>
    <n v="7"/>
    <n v="23"/>
    <n v="30"/>
  </r>
  <r>
    <n v="502"/>
    <x v="21"/>
    <x v="0"/>
    <x v="0"/>
    <n v="23"/>
    <x v="0"/>
    <x v="0"/>
    <x v="0"/>
    <n v="1.6400000000000001"/>
    <n v="0.04"/>
    <n v="7.5800000000000006E-2"/>
    <n v="0.56999999999999995"/>
    <n v="0.1045"/>
    <n v="2"/>
    <n v="31"/>
    <n v="33"/>
  </r>
  <r>
    <n v="503"/>
    <x v="22"/>
    <x v="0"/>
    <x v="0"/>
    <n v="0"/>
    <x v="0"/>
    <x v="1"/>
    <x v="0"/>
    <n v="1.6400000000000001"/>
    <n v="0.04"/>
    <n v="7.5800000000000006E-2"/>
    <n v="0.56999999999999995"/>
    <n v="0.1045"/>
    <n v="2"/>
    <n v="20"/>
    <n v="22"/>
  </r>
  <r>
    <n v="504"/>
    <x v="22"/>
    <x v="0"/>
    <x v="0"/>
    <n v="1"/>
    <x v="0"/>
    <x v="1"/>
    <x v="0"/>
    <n v="1.6400000000000001"/>
    <n v="0.04"/>
    <n v="7.5800000000000006E-2"/>
    <n v="0.56999999999999995"/>
    <n v="0.1045"/>
    <n v="1"/>
    <n v="12"/>
    <n v="13"/>
  </r>
  <r>
    <n v="505"/>
    <x v="22"/>
    <x v="0"/>
    <x v="0"/>
    <n v="2"/>
    <x v="0"/>
    <x v="1"/>
    <x v="0"/>
    <n v="0.82000000000000006"/>
    <n v="0.02"/>
    <n v="6.0600000000000001E-2"/>
    <n v="0.62"/>
    <n v="0.1343"/>
    <n v="3"/>
    <n v="15"/>
    <n v="18"/>
  </r>
  <r>
    <n v="506"/>
    <x v="22"/>
    <x v="0"/>
    <x v="0"/>
    <n v="3"/>
    <x v="0"/>
    <x v="1"/>
    <x v="0"/>
    <n v="0.82000000000000006"/>
    <n v="0.02"/>
    <n v="6.0600000000000001E-2"/>
    <n v="0.62"/>
    <n v="0.1343"/>
    <n v="1"/>
    <n v="4"/>
    <n v="5"/>
  </r>
  <r>
    <n v="507"/>
    <x v="22"/>
    <x v="0"/>
    <x v="0"/>
    <n v="5"/>
    <x v="0"/>
    <x v="1"/>
    <x v="1"/>
    <n v="1.6400000000000001"/>
    <n v="0.04"/>
    <n v="7.5800000000000006E-2"/>
    <n v="0.56999999999999995"/>
    <n v="0.1045"/>
    <n v="0"/>
    <n v="3"/>
    <n v="3"/>
  </r>
  <r>
    <n v="508"/>
    <x v="22"/>
    <x v="0"/>
    <x v="0"/>
    <n v="6"/>
    <x v="0"/>
    <x v="1"/>
    <x v="1"/>
    <n v="1.6400000000000001"/>
    <n v="0.04"/>
    <n v="7.5800000000000006E-2"/>
    <n v="0.56999999999999995"/>
    <n v="0.1045"/>
    <n v="0"/>
    <n v="1"/>
    <n v="1"/>
  </r>
  <r>
    <n v="509"/>
    <x v="22"/>
    <x v="0"/>
    <x v="0"/>
    <n v="7"/>
    <x v="0"/>
    <x v="1"/>
    <x v="0"/>
    <n v="3.2800000000000002"/>
    <n v="0.08"/>
    <n v="0.1061"/>
    <n v="0.57999999999999996"/>
    <n v="0.16420000000000001"/>
    <n v="1"/>
    <n v="1"/>
    <n v="2"/>
  </r>
  <r>
    <n v="510"/>
    <x v="22"/>
    <x v="0"/>
    <x v="0"/>
    <n v="8"/>
    <x v="0"/>
    <x v="1"/>
    <x v="0"/>
    <n v="2.46"/>
    <n v="0.06"/>
    <n v="7.5800000000000006E-2"/>
    <n v="0.62"/>
    <n v="0.16420000000000001"/>
    <n v="2"/>
    <n v="17"/>
    <n v="19"/>
  </r>
  <r>
    <n v="511"/>
    <x v="22"/>
    <x v="0"/>
    <x v="0"/>
    <n v="9"/>
    <x v="0"/>
    <x v="1"/>
    <x v="0"/>
    <n v="4.1000000000000005"/>
    <n v="0.1"/>
    <n v="7.5800000000000006E-2"/>
    <n v="0.54"/>
    <n v="0.35820000000000002"/>
    <n v="3"/>
    <n v="25"/>
    <n v="28"/>
  </r>
  <r>
    <n v="512"/>
    <x v="22"/>
    <x v="0"/>
    <x v="0"/>
    <n v="10"/>
    <x v="0"/>
    <x v="1"/>
    <x v="0"/>
    <n v="5.74"/>
    <n v="0.14000000000000001"/>
    <n v="0.1061"/>
    <n v="0.46"/>
    <n v="0.3881"/>
    <n v="7"/>
    <n v="51"/>
    <n v="58"/>
  </r>
  <r>
    <n v="513"/>
    <x v="22"/>
    <x v="0"/>
    <x v="0"/>
    <n v="11"/>
    <x v="0"/>
    <x v="1"/>
    <x v="0"/>
    <n v="5.74"/>
    <n v="0.14000000000000001"/>
    <n v="0.13639999999999999"/>
    <n v="0.43"/>
    <n v="0.22389999999999999"/>
    <n v="22"/>
    <n v="77"/>
    <n v="99"/>
  </r>
  <r>
    <n v="514"/>
    <x v="22"/>
    <x v="0"/>
    <x v="0"/>
    <n v="12"/>
    <x v="0"/>
    <x v="1"/>
    <x v="0"/>
    <n v="6.5600000000000005"/>
    <n v="0.16"/>
    <n v="0.1212"/>
    <n v="0.37"/>
    <n v="0.4627"/>
    <n v="24"/>
    <n v="92"/>
    <n v="116"/>
  </r>
  <r>
    <n v="515"/>
    <x v="22"/>
    <x v="0"/>
    <x v="0"/>
    <n v="13"/>
    <x v="0"/>
    <x v="1"/>
    <x v="0"/>
    <n v="5.74"/>
    <n v="0.14000000000000001"/>
    <n v="0.1061"/>
    <n v="0.33"/>
    <n v="0.3881"/>
    <n v="12"/>
    <n v="75"/>
    <n v="87"/>
  </r>
  <r>
    <n v="516"/>
    <x v="22"/>
    <x v="0"/>
    <x v="0"/>
    <n v="14"/>
    <x v="0"/>
    <x v="1"/>
    <x v="0"/>
    <n v="6.5600000000000005"/>
    <n v="0.16"/>
    <n v="0.13639999999999999"/>
    <n v="0.28000000000000003"/>
    <n v="0.35820000000000002"/>
    <n v="17"/>
    <n v="93"/>
    <n v="110"/>
  </r>
  <r>
    <n v="517"/>
    <x v="22"/>
    <x v="0"/>
    <x v="0"/>
    <n v="15"/>
    <x v="0"/>
    <x v="1"/>
    <x v="0"/>
    <n v="6.5600000000000005"/>
    <n v="0.16"/>
    <n v="0.13639999999999999"/>
    <n v="0.28000000000000003"/>
    <n v="0.35820000000000002"/>
    <n v="13"/>
    <n v="64"/>
    <n v="77"/>
  </r>
  <r>
    <n v="518"/>
    <x v="22"/>
    <x v="0"/>
    <x v="0"/>
    <n v="16"/>
    <x v="0"/>
    <x v="1"/>
    <x v="0"/>
    <n v="6.5600000000000005"/>
    <n v="0.16"/>
    <n v="0.13639999999999999"/>
    <n v="0.26"/>
    <n v="0.32840000000000003"/>
    <n v="9"/>
    <n v="56"/>
    <n v="65"/>
  </r>
  <r>
    <n v="519"/>
    <x v="22"/>
    <x v="0"/>
    <x v="0"/>
    <n v="17"/>
    <x v="0"/>
    <x v="1"/>
    <x v="0"/>
    <n v="5.74"/>
    <n v="0.14000000000000001"/>
    <n v="0.1061"/>
    <n v="0.26"/>
    <n v="0.3881"/>
    <n v="5"/>
    <n v="50"/>
    <n v="55"/>
  </r>
  <r>
    <n v="520"/>
    <x v="22"/>
    <x v="0"/>
    <x v="0"/>
    <n v="18"/>
    <x v="0"/>
    <x v="1"/>
    <x v="0"/>
    <n v="4.92"/>
    <n v="0.12"/>
    <n v="0.1212"/>
    <n v="0.3"/>
    <n v="0.25369999999999998"/>
    <n v="5"/>
    <n v="44"/>
    <n v="49"/>
  </r>
  <r>
    <n v="521"/>
    <x v="22"/>
    <x v="0"/>
    <x v="0"/>
    <n v="19"/>
    <x v="0"/>
    <x v="1"/>
    <x v="0"/>
    <n v="4.92"/>
    <n v="0.12"/>
    <n v="0.1212"/>
    <n v="0.3"/>
    <n v="0.28360000000000002"/>
    <n v="5"/>
    <n v="45"/>
    <n v="50"/>
  </r>
  <r>
    <n v="522"/>
    <x v="22"/>
    <x v="0"/>
    <x v="0"/>
    <n v="20"/>
    <x v="0"/>
    <x v="1"/>
    <x v="0"/>
    <n v="4.1000000000000005"/>
    <n v="0.1"/>
    <n v="0.1061"/>
    <n v="0.36"/>
    <n v="0.25369999999999998"/>
    <n v="4"/>
    <n v="31"/>
    <n v="35"/>
  </r>
  <r>
    <n v="523"/>
    <x v="22"/>
    <x v="0"/>
    <x v="0"/>
    <n v="21"/>
    <x v="0"/>
    <x v="1"/>
    <x v="0"/>
    <n v="4.1000000000000005"/>
    <n v="0.1"/>
    <n v="0.1061"/>
    <n v="0.36"/>
    <n v="0.19400000000000001"/>
    <n v="5"/>
    <n v="20"/>
    <n v="25"/>
  </r>
  <r>
    <n v="524"/>
    <x v="22"/>
    <x v="0"/>
    <x v="0"/>
    <n v="22"/>
    <x v="0"/>
    <x v="1"/>
    <x v="0"/>
    <n v="3.2800000000000002"/>
    <n v="0.08"/>
    <n v="9.0899999999999995E-2"/>
    <n v="0.38"/>
    <n v="0.19400000000000001"/>
    <n v="5"/>
    <n v="23"/>
    <n v="28"/>
  </r>
  <r>
    <n v="525"/>
    <x v="22"/>
    <x v="0"/>
    <x v="0"/>
    <n v="23"/>
    <x v="0"/>
    <x v="1"/>
    <x v="0"/>
    <n v="2.46"/>
    <n v="0.06"/>
    <n v="6.0600000000000001E-2"/>
    <n v="0.41"/>
    <n v="0.22389999999999999"/>
    <n v="4"/>
    <n v="17"/>
    <n v="21"/>
  </r>
  <r>
    <n v="526"/>
    <x v="23"/>
    <x v="0"/>
    <x v="0"/>
    <n v="0"/>
    <x v="0"/>
    <x v="2"/>
    <x v="0"/>
    <n v="2.46"/>
    <n v="0.06"/>
    <n v="6.0600000000000001E-2"/>
    <n v="0.41"/>
    <n v="0.19400000000000001"/>
    <n v="0"/>
    <n v="7"/>
    <n v="7"/>
  </r>
  <r>
    <n v="527"/>
    <x v="23"/>
    <x v="0"/>
    <x v="0"/>
    <n v="1"/>
    <x v="0"/>
    <x v="2"/>
    <x v="0"/>
    <n v="1.6400000000000001"/>
    <n v="0.04"/>
    <n v="4.5499999999999999E-2"/>
    <n v="0.45"/>
    <n v="0.19400000000000001"/>
    <n v="0"/>
    <n v="1"/>
    <n v="1"/>
  </r>
  <r>
    <n v="528"/>
    <x v="23"/>
    <x v="0"/>
    <x v="0"/>
    <n v="3"/>
    <x v="0"/>
    <x v="2"/>
    <x v="0"/>
    <n v="1.6400000000000001"/>
    <n v="0.04"/>
    <n v="3.0300000000000001E-2"/>
    <n v="0.45"/>
    <n v="0.25369999999999998"/>
    <n v="0"/>
    <n v="1"/>
    <n v="1"/>
  </r>
  <r>
    <n v="529"/>
    <x v="23"/>
    <x v="0"/>
    <x v="0"/>
    <n v="4"/>
    <x v="0"/>
    <x v="2"/>
    <x v="0"/>
    <n v="0.82000000000000006"/>
    <n v="0.02"/>
    <n v="6.0600000000000001E-2"/>
    <n v="0.48"/>
    <n v="0.1343"/>
    <n v="0"/>
    <n v="1"/>
    <n v="1"/>
  </r>
  <r>
    <n v="530"/>
    <x v="23"/>
    <x v="0"/>
    <x v="0"/>
    <n v="5"/>
    <x v="0"/>
    <x v="2"/>
    <x v="0"/>
    <n v="0.82000000000000006"/>
    <n v="0.02"/>
    <n v="6.0600000000000001E-2"/>
    <n v="0.48"/>
    <n v="0.1343"/>
    <n v="0"/>
    <n v="5"/>
    <n v="5"/>
  </r>
  <r>
    <n v="531"/>
    <x v="23"/>
    <x v="0"/>
    <x v="0"/>
    <n v="6"/>
    <x v="0"/>
    <x v="2"/>
    <x v="0"/>
    <n v="0.82000000000000006"/>
    <n v="0.02"/>
    <n v="7.5800000000000006E-2"/>
    <n v="0.48"/>
    <n v="8.9599999999999999E-2"/>
    <n v="0"/>
    <n v="15"/>
    <n v="15"/>
  </r>
  <r>
    <n v="532"/>
    <x v="23"/>
    <x v="0"/>
    <x v="0"/>
    <n v="7"/>
    <x v="0"/>
    <x v="2"/>
    <x v="0"/>
    <n v="0.82000000000000006"/>
    <n v="0.02"/>
    <n v="0.1212"/>
    <n v="0.48"/>
    <n v="0"/>
    <n v="5"/>
    <n v="79"/>
    <n v="84"/>
  </r>
  <r>
    <n v="533"/>
    <x v="23"/>
    <x v="0"/>
    <x v="0"/>
    <n v="8"/>
    <x v="0"/>
    <x v="2"/>
    <x v="0"/>
    <n v="1.6400000000000001"/>
    <n v="0.04"/>
    <n v="0.13639999999999999"/>
    <n v="0.49"/>
    <n v="0"/>
    <n v="6"/>
    <n v="171"/>
    <n v="177"/>
  </r>
  <r>
    <n v="534"/>
    <x v="23"/>
    <x v="0"/>
    <x v="0"/>
    <n v="9"/>
    <x v="0"/>
    <x v="2"/>
    <x v="0"/>
    <n v="2.46"/>
    <n v="0.06"/>
    <n v="0.1515"/>
    <n v="0.41"/>
    <n v="0"/>
    <n v="4"/>
    <n v="98"/>
    <n v="102"/>
  </r>
  <r>
    <n v="535"/>
    <x v="23"/>
    <x v="0"/>
    <x v="0"/>
    <n v="10"/>
    <x v="0"/>
    <x v="2"/>
    <x v="0"/>
    <n v="4.1000000000000005"/>
    <n v="0.1"/>
    <n v="0.13639999999999999"/>
    <n v="0.42"/>
    <n v="0"/>
    <n v="6"/>
    <n v="34"/>
    <n v="40"/>
  </r>
  <r>
    <n v="536"/>
    <x v="23"/>
    <x v="0"/>
    <x v="0"/>
    <n v="11"/>
    <x v="0"/>
    <x v="2"/>
    <x v="0"/>
    <n v="4.1000000000000005"/>
    <n v="0.1"/>
    <n v="0.1212"/>
    <n v="0.46"/>
    <n v="0.1343"/>
    <n v="3"/>
    <n v="43"/>
    <n v="46"/>
  </r>
  <r>
    <n v="537"/>
    <x v="23"/>
    <x v="0"/>
    <x v="0"/>
    <n v="12"/>
    <x v="0"/>
    <x v="2"/>
    <x v="1"/>
    <n v="4.92"/>
    <n v="0.12"/>
    <n v="0.13639999999999999"/>
    <n v="0.42"/>
    <n v="0.19400000000000001"/>
    <n v="11"/>
    <n v="52"/>
    <n v="63"/>
  </r>
  <r>
    <n v="538"/>
    <x v="23"/>
    <x v="0"/>
    <x v="0"/>
    <n v="13"/>
    <x v="0"/>
    <x v="2"/>
    <x v="1"/>
    <n v="5.74"/>
    <n v="0.14000000000000001"/>
    <n v="0.13639999999999999"/>
    <n v="0.43"/>
    <n v="0.22389999999999999"/>
    <n v="6"/>
    <n v="54"/>
    <n v="60"/>
  </r>
  <r>
    <n v="539"/>
    <x v="23"/>
    <x v="0"/>
    <x v="0"/>
    <n v="14"/>
    <x v="0"/>
    <x v="2"/>
    <x v="1"/>
    <n v="5.74"/>
    <n v="0.14000000000000001"/>
    <n v="0.13639999999999999"/>
    <n v="0.46"/>
    <n v="0.22389999999999999"/>
    <n v="2"/>
    <n v="43"/>
    <n v="45"/>
  </r>
  <r>
    <n v="540"/>
    <x v="23"/>
    <x v="0"/>
    <x v="0"/>
    <n v="15"/>
    <x v="0"/>
    <x v="2"/>
    <x v="0"/>
    <n v="6.5600000000000005"/>
    <n v="0.16"/>
    <n v="0.16669999999999999"/>
    <n v="0.4"/>
    <n v="0.16420000000000001"/>
    <n v="7"/>
    <n v="50"/>
    <n v="57"/>
  </r>
  <r>
    <n v="541"/>
    <x v="23"/>
    <x v="0"/>
    <x v="0"/>
    <n v="16"/>
    <x v="0"/>
    <x v="2"/>
    <x v="0"/>
    <n v="6.5600000000000005"/>
    <n v="0.16"/>
    <n v="0.1515"/>
    <n v="0.47"/>
    <n v="0.25369999999999998"/>
    <n v="4"/>
    <n v="66"/>
    <n v="70"/>
  </r>
  <r>
    <n v="542"/>
    <x v="23"/>
    <x v="0"/>
    <x v="0"/>
    <n v="17"/>
    <x v="0"/>
    <x v="2"/>
    <x v="0"/>
    <n v="5.74"/>
    <n v="0.14000000000000001"/>
    <n v="0.1212"/>
    <n v="0.5"/>
    <n v="0.25369999999999998"/>
    <n v="6"/>
    <n v="178"/>
    <n v="184"/>
  </r>
  <r>
    <n v="543"/>
    <x v="23"/>
    <x v="0"/>
    <x v="0"/>
    <n v="18"/>
    <x v="0"/>
    <x v="2"/>
    <x v="0"/>
    <n v="5.74"/>
    <n v="0.14000000000000001"/>
    <n v="0.13639999999999999"/>
    <n v="0.59"/>
    <n v="0.19400000000000001"/>
    <n v="8"/>
    <n v="145"/>
    <n v="153"/>
  </r>
  <r>
    <n v="544"/>
    <x v="23"/>
    <x v="0"/>
    <x v="0"/>
    <n v="19"/>
    <x v="0"/>
    <x v="2"/>
    <x v="0"/>
    <n v="5.74"/>
    <n v="0.14000000000000001"/>
    <n v="0.1515"/>
    <n v="0.54"/>
    <n v="0.16420000000000001"/>
    <n v="5"/>
    <n v="101"/>
    <n v="106"/>
  </r>
  <r>
    <n v="545"/>
    <x v="23"/>
    <x v="0"/>
    <x v="0"/>
    <n v="20"/>
    <x v="0"/>
    <x v="2"/>
    <x v="0"/>
    <n v="5.74"/>
    <n v="0.14000000000000001"/>
    <n v="0.13639999999999999"/>
    <n v="0.59"/>
    <n v="0.19400000000000001"/>
    <n v="1"/>
    <n v="80"/>
    <n v="81"/>
  </r>
  <r>
    <n v="546"/>
    <x v="23"/>
    <x v="0"/>
    <x v="0"/>
    <n v="21"/>
    <x v="0"/>
    <x v="2"/>
    <x v="0"/>
    <n v="5.74"/>
    <n v="0.14000000000000001"/>
    <n v="0.1515"/>
    <n v="0.63"/>
    <n v="0.16420000000000001"/>
    <n v="6"/>
    <n v="53"/>
    <n v="59"/>
  </r>
  <r>
    <n v="547"/>
    <x v="23"/>
    <x v="0"/>
    <x v="0"/>
    <n v="22"/>
    <x v="0"/>
    <x v="2"/>
    <x v="1"/>
    <n v="5.74"/>
    <n v="0.14000000000000001"/>
    <n v="0.13639999999999999"/>
    <n v="0.63"/>
    <n v="0.22389999999999999"/>
    <n v="3"/>
    <n v="32"/>
    <n v="35"/>
  </r>
  <r>
    <n v="548"/>
    <x v="23"/>
    <x v="0"/>
    <x v="0"/>
    <n v="23"/>
    <x v="0"/>
    <x v="2"/>
    <x v="1"/>
    <n v="6.5600000000000005"/>
    <n v="0.16"/>
    <n v="0.1515"/>
    <n v="0.64"/>
    <n v="0.25369999999999998"/>
    <n v="3"/>
    <n v="21"/>
    <n v="24"/>
  </r>
  <r>
    <n v="549"/>
    <x v="24"/>
    <x v="0"/>
    <x v="0"/>
    <n v="0"/>
    <x v="0"/>
    <x v="3"/>
    <x v="1"/>
    <n v="6.5600000000000005"/>
    <n v="0.16"/>
    <n v="0.13639999999999999"/>
    <n v="0.69"/>
    <n v="0.28360000000000002"/>
    <n v="3"/>
    <n v="6"/>
    <n v="9"/>
  </r>
  <r>
    <n v="550"/>
    <x v="24"/>
    <x v="0"/>
    <x v="0"/>
    <n v="1"/>
    <x v="0"/>
    <x v="3"/>
    <x v="1"/>
    <n v="6.5600000000000005"/>
    <n v="0.16"/>
    <n v="0.16669999999999999"/>
    <n v="0.69"/>
    <n v="0.16420000000000001"/>
    <n v="0"/>
    <n v="5"/>
    <n v="5"/>
  </r>
  <r>
    <n v="551"/>
    <x v="24"/>
    <x v="0"/>
    <x v="0"/>
    <n v="2"/>
    <x v="0"/>
    <x v="3"/>
    <x v="0"/>
    <n v="6.5600000000000005"/>
    <n v="0.16"/>
    <n v="0.1515"/>
    <n v="0.69"/>
    <n v="0.22389999999999999"/>
    <n v="0"/>
    <n v="2"/>
    <n v="2"/>
  </r>
  <r>
    <n v="552"/>
    <x v="24"/>
    <x v="0"/>
    <x v="0"/>
    <n v="4"/>
    <x v="0"/>
    <x v="3"/>
    <x v="0"/>
    <n v="5.74"/>
    <n v="0.14000000000000001"/>
    <n v="0.16669999999999999"/>
    <n v="0.74"/>
    <n v="0.1045"/>
    <n v="0"/>
    <n v="1"/>
    <n v="1"/>
  </r>
  <r>
    <n v="553"/>
    <x v="24"/>
    <x v="0"/>
    <x v="0"/>
    <n v="5"/>
    <x v="0"/>
    <x v="3"/>
    <x v="0"/>
    <n v="5.74"/>
    <n v="0.14000000000000001"/>
    <n v="0.13639999999999999"/>
    <n v="0.74"/>
    <n v="0.22389999999999999"/>
    <n v="0"/>
    <n v="9"/>
    <n v="9"/>
  </r>
  <r>
    <n v="554"/>
    <x v="24"/>
    <x v="0"/>
    <x v="0"/>
    <n v="6"/>
    <x v="0"/>
    <x v="3"/>
    <x v="0"/>
    <n v="6.5600000000000005"/>
    <n v="0.16"/>
    <n v="0.18179999999999999"/>
    <n v="0.74"/>
    <n v="0.1045"/>
    <n v="1"/>
    <n v="35"/>
    <n v="36"/>
  </r>
  <r>
    <n v="555"/>
    <x v="24"/>
    <x v="0"/>
    <x v="0"/>
    <n v="7"/>
    <x v="0"/>
    <x v="3"/>
    <x v="0"/>
    <n v="6.5600000000000005"/>
    <n v="0.16"/>
    <n v="0.1515"/>
    <n v="0.74"/>
    <n v="0.22389999999999999"/>
    <n v="5"/>
    <n v="103"/>
    <n v="108"/>
  </r>
  <r>
    <n v="556"/>
    <x v="24"/>
    <x v="0"/>
    <x v="0"/>
    <n v="8"/>
    <x v="0"/>
    <x v="3"/>
    <x v="1"/>
    <n v="6.5600000000000005"/>
    <n v="0.16"/>
    <n v="0.18179999999999999"/>
    <n v="0.74"/>
    <n v="0.1343"/>
    <n v="5"/>
    <n v="233"/>
    <n v="238"/>
  </r>
  <r>
    <n v="557"/>
    <x v="24"/>
    <x v="0"/>
    <x v="0"/>
    <n v="9"/>
    <x v="0"/>
    <x v="3"/>
    <x v="1"/>
    <n v="8.2000000000000011"/>
    <n v="0.2"/>
    <n v="0.2273"/>
    <n v="0.64"/>
    <n v="8.9599999999999999E-2"/>
    <n v="10"/>
    <n v="134"/>
    <n v="144"/>
  </r>
  <r>
    <n v="558"/>
    <x v="24"/>
    <x v="0"/>
    <x v="0"/>
    <n v="10"/>
    <x v="0"/>
    <x v="3"/>
    <x v="1"/>
    <n v="9.02"/>
    <n v="0.22"/>
    <n v="0.2424"/>
    <n v="0.6"/>
    <n v="0.1045"/>
    <n v="6"/>
    <n v="49"/>
    <n v="55"/>
  </r>
  <r>
    <n v="559"/>
    <x v="24"/>
    <x v="0"/>
    <x v="0"/>
    <n v="11"/>
    <x v="0"/>
    <x v="3"/>
    <x v="1"/>
    <n v="9.84"/>
    <n v="0.24"/>
    <n v="0.2424"/>
    <n v="0.6"/>
    <n v="0.1343"/>
    <n v="6"/>
    <n v="55"/>
    <n v="61"/>
  </r>
  <r>
    <n v="560"/>
    <x v="24"/>
    <x v="0"/>
    <x v="0"/>
    <n v="12"/>
    <x v="0"/>
    <x v="3"/>
    <x v="1"/>
    <n v="10.66"/>
    <n v="0.26"/>
    <n v="0.28789999999999999"/>
    <n v="0.56000000000000005"/>
    <n v="8.9599999999999999E-2"/>
    <n v="21"/>
    <n v="85"/>
    <n v="106"/>
  </r>
  <r>
    <n v="561"/>
    <x v="24"/>
    <x v="0"/>
    <x v="0"/>
    <n v="13"/>
    <x v="0"/>
    <x v="3"/>
    <x v="1"/>
    <n v="10.66"/>
    <n v="0.26"/>
    <n v="0.2727"/>
    <n v="0.56000000000000005"/>
    <n v="0.1343"/>
    <n v="21"/>
    <n v="72"/>
    <n v="93"/>
  </r>
  <r>
    <n v="562"/>
    <x v="24"/>
    <x v="0"/>
    <x v="0"/>
    <n v="14"/>
    <x v="0"/>
    <x v="3"/>
    <x v="1"/>
    <n v="12.299999999999999"/>
    <n v="0.3"/>
    <n v="0.33329999999999999"/>
    <n v="0.45"/>
    <n v="0"/>
    <n v="11"/>
    <n v="57"/>
    <n v="68"/>
  </r>
  <r>
    <n v="563"/>
    <x v="24"/>
    <x v="0"/>
    <x v="0"/>
    <n v="15"/>
    <x v="0"/>
    <x v="3"/>
    <x v="1"/>
    <n v="13.120000000000001"/>
    <n v="0.32"/>
    <n v="0.34849999999999998"/>
    <n v="0.42"/>
    <n v="0"/>
    <n v="21"/>
    <n v="63"/>
    <n v="84"/>
  </r>
  <r>
    <n v="564"/>
    <x v="24"/>
    <x v="0"/>
    <x v="0"/>
    <n v="16"/>
    <x v="0"/>
    <x v="3"/>
    <x v="1"/>
    <n v="13.120000000000001"/>
    <n v="0.32"/>
    <n v="0.34849999999999998"/>
    <n v="0.42"/>
    <n v="0"/>
    <n v="14"/>
    <n v="102"/>
    <n v="116"/>
  </r>
  <r>
    <n v="565"/>
    <x v="24"/>
    <x v="0"/>
    <x v="0"/>
    <n v="17"/>
    <x v="0"/>
    <x v="3"/>
    <x v="0"/>
    <n v="12.299999999999999"/>
    <n v="0.3"/>
    <n v="0.33329999999999999"/>
    <n v="0.45"/>
    <n v="0"/>
    <n v="14"/>
    <n v="208"/>
    <n v="222"/>
  </r>
  <r>
    <n v="566"/>
    <x v="24"/>
    <x v="0"/>
    <x v="0"/>
    <n v="18"/>
    <x v="0"/>
    <x v="3"/>
    <x v="1"/>
    <n v="12.299999999999999"/>
    <n v="0.3"/>
    <n v="0.31819999999999998"/>
    <n v="0.49"/>
    <n v="8.9599999999999999E-2"/>
    <n v="7"/>
    <n v="218"/>
    <n v="225"/>
  </r>
  <r>
    <n v="567"/>
    <x v="24"/>
    <x v="0"/>
    <x v="0"/>
    <n v="19"/>
    <x v="0"/>
    <x v="3"/>
    <x v="1"/>
    <n v="10.66"/>
    <n v="0.26"/>
    <n v="0.2576"/>
    <n v="0.65"/>
    <n v="0.16420000000000001"/>
    <n v="13"/>
    <n v="133"/>
    <n v="146"/>
  </r>
  <r>
    <n v="568"/>
    <x v="24"/>
    <x v="0"/>
    <x v="0"/>
    <n v="20"/>
    <x v="0"/>
    <x v="3"/>
    <x v="0"/>
    <n v="9.84"/>
    <n v="0.24"/>
    <n v="0.2273"/>
    <n v="0.65"/>
    <n v="0.19400000000000001"/>
    <n v="16"/>
    <n v="103"/>
    <n v="119"/>
  </r>
  <r>
    <n v="569"/>
    <x v="24"/>
    <x v="0"/>
    <x v="0"/>
    <n v="21"/>
    <x v="0"/>
    <x v="3"/>
    <x v="0"/>
    <n v="9.84"/>
    <n v="0.24"/>
    <n v="0.2273"/>
    <n v="0.65"/>
    <n v="0.19400000000000001"/>
    <n v="5"/>
    <n v="40"/>
    <n v="45"/>
  </r>
  <r>
    <n v="570"/>
    <x v="24"/>
    <x v="0"/>
    <x v="0"/>
    <n v="22"/>
    <x v="0"/>
    <x v="3"/>
    <x v="0"/>
    <n v="9.02"/>
    <n v="0.22"/>
    <n v="0.2273"/>
    <n v="0.64"/>
    <n v="0.16420000000000001"/>
    <n v="4"/>
    <n v="49"/>
    <n v="53"/>
  </r>
  <r>
    <n v="571"/>
    <x v="24"/>
    <x v="0"/>
    <x v="0"/>
    <n v="23"/>
    <x v="0"/>
    <x v="3"/>
    <x v="1"/>
    <n v="9.02"/>
    <n v="0.22"/>
    <n v="0.2273"/>
    <n v="0.64"/>
    <n v="0.16420000000000001"/>
    <n v="3"/>
    <n v="37"/>
    <n v="40"/>
  </r>
  <r>
    <n v="572"/>
    <x v="25"/>
    <x v="0"/>
    <x v="0"/>
    <n v="0"/>
    <x v="0"/>
    <x v="4"/>
    <x v="1"/>
    <n v="9.02"/>
    <n v="0.22"/>
    <n v="0.2273"/>
    <n v="0.69"/>
    <n v="0.1343"/>
    <n v="3"/>
    <n v="14"/>
    <n v="17"/>
  </r>
  <r>
    <n v="573"/>
    <x v="25"/>
    <x v="0"/>
    <x v="0"/>
    <n v="1"/>
    <x v="0"/>
    <x v="4"/>
    <x v="1"/>
    <n v="9.84"/>
    <n v="0.24"/>
    <n v="0.2424"/>
    <n v="0.65"/>
    <n v="0.1343"/>
    <n v="0"/>
    <n v="5"/>
    <n v="5"/>
  </r>
  <r>
    <n v="574"/>
    <x v="25"/>
    <x v="0"/>
    <x v="0"/>
    <n v="2"/>
    <x v="0"/>
    <x v="4"/>
    <x v="2"/>
    <n v="9.02"/>
    <n v="0.22"/>
    <n v="0.2273"/>
    <n v="0.69"/>
    <n v="0.19400000000000001"/>
    <n v="3"/>
    <n v="7"/>
    <n v="10"/>
  </r>
  <r>
    <n v="575"/>
    <x v="25"/>
    <x v="0"/>
    <x v="0"/>
    <n v="5"/>
    <x v="0"/>
    <x v="4"/>
    <x v="2"/>
    <n v="8.2000000000000011"/>
    <n v="0.2"/>
    <n v="0.18179999999999999"/>
    <n v="0.86"/>
    <n v="0.28360000000000002"/>
    <n v="0"/>
    <n v="1"/>
    <n v="1"/>
  </r>
  <r>
    <n v="576"/>
    <x v="25"/>
    <x v="0"/>
    <x v="0"/>
    <n v="6"/>
    <x v="0"/>
    <x v="4"/>
    <x v="2"/>
    <n v="8.2000000000000011"/>
    <n v="0.2"/>
    <n v="0.18179999999999999"/>
    <n v="0.86"/>
    <n v="0.28360000000000002"/>
    <n v="0"/>
    <n v="8"/>
    <n v="8"/>
  </r>
  <r>
    <n v="577"/>
    <x v="25"/>
    <x v="0"/>
    <x v="0"/>
    <n v="7"/>
    <x v="0"/>
    <x v="4"/>
    <x v="2"/>
    <n v="9.02"/>
    <n v="0.22"/>
    <n v="0.21210000000000001"/>
    <n v="0.87"/>
    <n v="0.29849999999999999"/>
    <n v="1"/>
    <n v="29"/>
    <n v="30"/>
  </r>
  <r>
    <n v="578"/>
    <x v="25"/>
    <x v="0"/>
    <x v="0"/>
    <n v="8"/>
    <x v="0"/>
    <x v="4"/>
    <x v="2"/>
    <n v="9.02"/>
    <n v="0.22"/>
    <n v="0.21210000000000001"/>
    <n v="0.87"/>
    <n v="0.29849999999999999"/>
    <n v="3"/>
    <n v="69"/>
    <n v="72"/>
  </r>
  <r>
    <n v="579"/>
    <x v="25"/>
    <x v="0"/>
    <x v="0"/>
    <n v="9"/>
    <x v="0"/>
    <x v="4"/>
    <x v="2"/>
    <n v="9.02"/>
    <n v="0.22"/>
    <n v="0.21210000000000001"/>
    <n v="0.87"/>
    <n v="0.29849999999999999"/>
    <n v="3"/>
    <n v="55"/>
    <n v="58"/>
  </r>
  <r>
    <n v="580"/>
    <x v="25"/>
    <x v="0"/>
    <x v="0"/>
    <n v="10"/>
    <x v="0"/>
    <x v="4"/>
    <x v="2"/>
    <n v="9.02"/>
    <n v="0.22"/>
    <n v="0.21210000000000001"/>
    <n v="0.93"/>
    <n v="0.28360000000000002"/>
    <n v="2"/>
    <n v="26"/>
    <n v="28"/>
  </r>
  <r>
    <n v="581"/>
    <x v="25"/>
    <x v="0"/>
    <x v="0"/>
    <n v="11"/>
    <x v="0"/>
    <x v="4"/>
    <x v="2"/>
    <n v="9.02"/>
    <n v="0.22"/>
    <n v="0.19700000000000001"/>
    <n v="0.93"/>
    <n v="0.32840000000000003"/>
    <n v="6"/>
    <n v="35"/>
    <n v="41"/>
  </r>
  <r>
    <n v="582"/>
    <x v="25"/>
    <x v="0"/>
    <x v="0"/>
    <n v="12"/>
    <x v="0"/>
    <x v="4"/>
    <x v="2"/>
    <n v="9.02"/>
    <n v="0.22"/>
    <n v="0.19700000000000001"/>
    <n v="0.93"/>
    <n v="0.32840000000000003"/>
    <n v="7"/>
    <n v="41"/>
    <n v="48"/>
  </r>
  <r>
    <n v="583"/>
    <x v="25"/>
    <x v="0"/>
    <x v="0"/>
    <n v="13"/>
    <x v="0"/>
    <x v="4"/>
    <x v="2"/>
    <n v="9.02"/>
    <n v="0.22"/>
    <n v="0.19700000000000001"/>
    <n v="0.93"/>
    <n v="0.32840000000000003"/>
    <n v="4"/>
    <n v="43"/>
    <n v="47"/>
  </r>
  <r>
    <n v="584"/>
    <x v="25"/>
    <x v="0"/>
    <x v="0"/>
    <n v="14"/>
    <x v="0"/>
    <x v="4"/>
    <x v="2"/>
    <n v="9.02"/>
    <n v="0.22"/>
    <n v="0.19700000000000001"/>
    <n v="0.93"/>
    <n v="0.35820000000000002"/>
    <n v="0"/>
    <n v="36"/>
    <n v="36"/>
  </r>
  <r>
    <n v="585"/>
    <x v="25"/>
    <x v="0"/>
    <x v="0"/>
    <n v="15"/>
    <x v="0"/>
    <x v="4"/>
    <x v="2"/>
    <n v="9.02"/>
    <n v="0.22"/>
    <n v="0.18179999999999999"/>
    <n v="0.93"/>
    <n v="0.4627"/>
    <n v="1"/>
    <n v="42"/>
    <n v="43"/>
  </r>
  <r>
    <n v="586"/>
    <x v="25"/>
    <x v="0"/>
    <x v="0"/>
    <n v="16"/>
    <x v="0"/>
    <x v="4"/>
    <x v="3"/>
    <n v="9.02"/>
    <n v="0.22"/>
    <n v="0.19700000000000001"/>
    <n v="0.93"/>
    <n v="0.32840000000000003"/>
    <n v="1"/>
    <n v="35"/>
    <n v="36"/>
  </r>
  <r>
    <n v="587"/>
    <x v="25"/>
    <x v="0"/>
    <x v="0"/>
    <n v="17"/>
    <x v="0"/>
    <x v="4"/>
    <x v="2"/>
    <n v="8.2000000000000011"/>
    <n v="0.2"/>
    <n v="0.18179999999999999"/>
    <n v="0.93"/>
    <n v="0.35820000000000002"/>
    <n v="0"/>
    <n v="26"/>
    <n v="26"/>
  </r>
  <r>
    <n v="588"/>
    <x v="26"/>
    <x v="0"/>
    <x v="0"/>
    <n v="16"/>
    <x v="0"/>
    <x v="5"/>
    <x v="0"/>
    <n v="9.02"/>
    <n v="0.22"/>
    <n v="0.2273"/>
    <n v="0.55000000000000004"/>
    <n v="0.19400000000000001"/>
    <n v="1"/>
    <n v="23"/>
    <n v="24"/>
  </r>
  <r>
    <n v="589"/>
    <x v="26"/>
    <x v="0"/>
    <x v="0"/>
    <n v="17"/>
    <x v="0"/>
    <x v="5"/>
    <x v="0"/>
    <n v="9.02"/>
    <n v="0.22"/>
    <n v="0.2424"/>
    <n v="0.55000000000000004"/>
    <n v="0.1045"/>
    <n v="2"/>
    <n v="82"/>
    <n v="84"/>
  </r>
  <r>
    <n v="590"/>
    <x v="26"/>
    <x v="0"/>
    <x v="0"/>
    <n v="18"/>
    <x v="0"/>
    <x v="5"/>
    <x v="0"/>
    <n v="8.2000000000000011"/>
    <n v="0.2"/>
    <n v="0.2273"/>
    <n v="0.69"/>
    <n v="8.9599999999999999E-2"/>
    <n v="3"/>
    <n v="101"/>
    <n v="104"/>
  </r>
  <r>
    <n v="591"/>
    <x v="26"/>
    <x v="0"/>
    <x v="0"/>
    <n v="19"/>
    <x v="0"/>
    <x v="5"/>
    <x v="0"/>
    <n v="8.2000000000000011"/>
    <n v="0.2"/>
    <n v="0.2273"/>
    <n v="0.69"/>
    <n v="8.9599999999999999E-2"/>
    <n v="3"/>
    <n v="76"/>
    <n v="79"/>
  </r>
  <r>
    <n v="592"/>
    <x v="26"/>
    <x v="0"/>
    <x v="0"/>
    <n v="20"/>
    <x v="0"/>
    <x v="5"/>
    <x v="0"/>
    <n v="7.38"/>
    <n v="0.18"/>
    <n v="0.21210000000000001"/>
    <n v="0.74"/>
    <n v="8.9599999999999999E-2"/>
    <n v="4"/>
    <n v="55"/>
    <n v="59"/>
  </r>
  <r>
    <n v="593"/>
    <x v="26"/>
    <x v="0"/>
    <x v="0"/>
    <n v="21"/>
    <x v="0"/>
    <x v="5"/>
    <x v="0"/>
    <n v="7.38"/>
    <n v="0.18"/>
    <n v="0.21210000000000001"/>
    <n v="0.74"/>
    <n v="8.9599999999999999E-2"/>
    <n v="2"/>
    <n v="36"/>
    <n v="38"/>
  </r>
  <r>
    <n v="594"/>
    <x v="26"/>
    <x v="0"/>
    <x v="0"/>
    <n v="22"/>
    <x v="0"/>
    <x v="5"/>
    <x v="0"/>
    <n v="7.38"/>
    <n v="0.18"/>
    <n v="0.21210000000000001"/>
    <n v="0.74"/>
    <n v="8.9599999999999999E-2"/>
    <n v="0"/>
    <n v="27"/>
    <n v="27"/>
  </r>
  <r>
    <n v="595"/>
    <x v="26"/>
    <x v="0"/>
    <x v="0"/>
    <n v="23"/>
    <x v="0"/>
    <x v="5"/>
    <x v="0"/>
    <n v="7.38"/>
    <n v="0.18"/>
    <n v="0.19700000000000001"/>
    <n v="0.8"/>
    <n v="0.16420000000000001"/>
    <n v="0"/>
    <n v="16"/>
    <n v="16"/>
  </r>
  <r>
    <n v="596"/>
    <x v="27"/>
    <x v="0"/>
    <x v="0"/>
    <n v="0"/>
    <x v="0"/>
    <x v="6"/>
    <x v="1"/>
    <n v="8.2000000000000011"/>
    <n v="0.2"/>
    <n v="0.21210000000000001"/>
    <n v="0.75"/>
    <n v="0.1343"/>
    <n v="0"/>
    <n v="9"/>
    <n v="9"/>
  </r>
  <r>
    <n v="597"/>
    <x v="27"/>
    <x v="0"/>
    <x v="0"/>
    <n v="1"/>
    <x v="0"/>
    <x v="6"/>
    <x v="1"/>
    <n v="8.2000000000000011"/>
    <n v="0.2"/>
    <n v="0.21210000000000001"/>
    <n v="0.75"/>
    <n v="0.1343"/>
    <n v="1"/>
    <n v="2"/>
    <n v="3"/>
  </r>
  <r>
    <n v="598"/>
    <x v="27"/>
    <x v="0"/>
    <x v="0"/>
    <n v="2"/>
    <x v="0"/>
    <x v="6"/>
    <x v="1"/>
    <n v="8.2000000000000011"/>
    <n v="0.2"/>
    <n v="0.21210000000000001"/>
    <n v="0.75"/>
    <n v="0.16420000000000001"/>
    <n v="0"/>
    <n v="2"/>
    <n v="2"/>
  </r>
  <r>
    <n v="599"/>
    <x v="27"/>
    <x v="0"/>
    <x v="0"/>
    <n v="3"/>
    <x v="0"/>
    <x v="6"/>
    <x v="1"/>
    <n v="8.2000000000000011"/>
    <n v="0.2"/>
    <n v="0.2273"/>
    <n v="0.75"/>
    <n v="0.1045"/>
    <n v="1"/>
    <n v="0"/>
    <n v="1"/>
  </r>
  <r>
    <n v="600"/>
    <x v="27"/>
    <x v="0"/>
    <x v="0"/>
    <n v="5"/>
    <x v="0"/>
    <x v="6"/>
    <x v="1"/>
    <n v="7.38"/>
    <n v="0.18"/>
    <n v="0.21210000000000001"/>
    <n v="0.8"/>
    <n v="0.1045"/>
    <n v="0"/>
    <n v="4"/>
    <n v="4"/>
  </r>
  <r>
    <n v="601"/>
    <x v="27"/>
    <x v="0"/>
    <x v="0"/>
    <n v="6"/>
    <x v="0"/>
    <x v="6"/>
    <x v="1"/>
    <n v="7.38"/>
    <n v="0.18"/>
    <n v="0.19700000000000001"/>
    <n v="0.8"/>
    <n v="0.1343"/>
    <n v="0"/>
    <n v="16"/>
    <n v="16"/>
  </r>
  <r>
    <n v="602"/>
    <x v="27"/>
    <x v="0"/>
    <x v="0"/>
    <n v="7"/>
    <x v="0"/>
    <x v="6"/>
    <x v="1"/>
    <n v="6.5600000000000005"/>
    <n v="0.16"/>
    <n v="0.19700000000000001"/>
    <n v="0.86"/>
    <n v="8.9599999999999999E-2"/>
    <n v="2"/>
    <n v="58"/>
    <n v="60"/>
  </r>
  <r>
    <n v="603"/>
    <x v="27"/>
    <x v="0"/>
    <x v="0"/>
    <n v="8"/>
    <x v="0"/>
    <x v="6"/>
    <x v="1"/>
    <n v="6.5600000000000005"/>
    <n v="0.16"/>
    <n v="0.19700000000000001"/>
    <n v="0.86"/>
    <n v="8.9599999999999999E-2"/>
    <n v="2"/>
    <n v="155"/>
    <n v="157"/>
  </r>
  <r>
    <n v="604"/>
    <x v="27"/>
    <x v="0"/>
    <x v="0"/>
    <n v="9"/>
    <x v="0"/>
    <x v="6"/>
    <x v="2"/>
    <n v="7.38"/>
    <n v="0.18"/>
    <n v="0.21210000000000001"/>
    <n v="0.86"/>
    <n v="8.9599999999999999E-2"/>
    <n v="6"/>
    <n v="95"/>
    <n v="101"/>
  </r>
  <r>
    <n v="605"/>
    <x v="27"/>
    <x v="0"/>
    <x v="0"/>
    <n v="10"/>
    <x v="0"/>
    <x v="6"/>
    <x v="2"/>
    <n v="7.38"/>
    <n v="0.18"/>
    <n v="0.21210000000000001"/>
    <n v="0.86"/>
    <n v="0.1045"/>
    <n v="0"/>
    <n v="49"/>
    <n v="49"/>
  </r>
  <r>
    <n v="606"/>
    <x v="27"/>
    <x v="0"/>
    <x v="0"/>
    <n v="11"/>
    <x v="0"/>
    <x v="6"/>
    <x v="2"/>
    <n v="7.38"/>
    <n v="0.18"/>
    <n v="0.21210000000000001"/>
    <n v="0.93"/>
    <n v="0.1045"/>
    <n v="0"/>
    <n v="30"/>
    <n v="30"/>
  </r>
  <r>
    <n v="607"/>
    <x v="27"/>
    <x v="0"/>
    <x v="0"/>
    <n v="12"/>
    <x v="0"/>
    <x v="6"/>
    <x v="2"/>
    <n v="7.38"/>
    <n v="0.18"/>
    <n v="0.21210000000000001"/>
    <n v="0.93"/>
    <n v="0.1045"/>
    <n v="1"/>
    <n v="28"/>
    <n v="29"/>
  </r>
  <r>
    <n v="608"/>
    <x v="27"/>
    <x v="0"/>
    <x v="0"/>
    <n v="13"/>
    <x v="0"/>
    <x v="6"/>
    <x v="2"/>
    <n v="7.38"/>
    <n v="0.18"/>
    <n v="0.21210000000000001"/>
    <n v="0.93"/>
    <n v="0.1045"/>
    <n v="0"/>
    <n v="31"/>
    <n v="31"/>
  </r>
  <r>
    <n v="609"/>
    <x v="27"/>
    <x v="0"/>
    <x v="0"/>
    <n v="14"/>
    <x v="0"/>
    <x v="6"/>
    <x v="2"/>
    <n v="9.02"/>
    <n v="0.22"/>
    <n v="0.2727"/>
    <n v="0.8"/>
    <n v="0"/>
    <n v="2"/>
    <n v="36"/>
    <n v="38"/>
  </r>
  <r>
    <n v="610"/>
    <x v="27"/>
    <x v="0"/>
    <x v="0"/>
    <n v="15"/>
    <x v="0"/>
    <x v="6"/>
    <x v="1"/>
    <n v="8.2000000000000011"/>
    <n v="0.2"/>
    <n v="0.2576"/>
    <n v="0.86"/>
    <n v="0"/>
    <n v="1"/>
    <n v="40"/>
    <n v="41"/>
  </r>
  <r>
    <n v="611"/>
    <x v="27"/>
    <x v="0"/>
    <x v="0"/>
    <n v="16"/>
    <x v="0"/>
    <x v="6"/>
    <x v="0"/>
    <n v="9.02"/>
    <n v="0.22"/>
    <n v="0.2727"/>
    <n v="0.8"/>
    <n v="0"/>
    <n v="10"/>
    <n v="70"/>
    <n v="80"/>
  </r>
  <r>
    <n v="612"/>
    <x v="27"/>
    <x v="0"/>
    <x v="0"/>
    <n v="17"/>
    <x v="0"/>
    <x v="6"/>
    <x v="0"/>
    <n v="9.84"/>
    <n v="0.24"/>
    <n v="0.2424"/>
    <n v="0.75"/>
    <n v="0.1343"/>
    <n v="2"/>
    <n v="147"/>
    <n v="149"/>
  </r>
  <r>
    <n v="613"/>
    <x v="27"/>
    <x v="0"/>
    <x v="0"/>
    <n v="18"/>
    <x v="0"/>
    <x v="6"/>
    <x v="0"/>
    <n v="9.84"/>
    <n v="0.24"/>
    <n v="0.2273"/>
    <n v="0.75"/>
    <n v="0.19400000000000001"/>
    <n v="2"/>
    <n v="107"/>
    <n v="109"/>
  </r>
  <r>
    <n v="614"/>
    <x v="27"/>
    <x v="0"/>
    <x v="0"/>
    <n v="19"/>
    <x v="0"/>
    <x v="6"/>
    <x v="1"/>
    <n v="9.84"/>
    <n v="0.24"/>
    <n v="0.2424"/>
    <n v="0.75"/>
    <n v="0.1343"/>
    <n v="5"/>
    <n v="84"/>
    <n v="89"/>
  </r>
  <r>
    <n v="615"/>
    <x v="27"/>
    <x v="0"/>
    <x v="0"/>
    <n v="20"/>
    <x v="0"/>
    <x v="6"/>
    <x v="1"/>
    <n v="9.84"/>
    <n v="0.24"/>
    <n v="0.2273"/>
    <n v="0.7"/>
    <n v="0.19400000000000001"/>
    <n v="1"/>
    <n v="61"/>
    <n v="62"/>
  </r>
  <r>
    <n v="616"/>
    <x v="27"/>
    <x v="0"/>
    <x v="0"/>
    <n v="21"/>
    <x v="0"/>
    <x v="6"/>
    <x v="1"/>
    <n v="9.02"/>
    <n v="0.22"/>
    <n v="0.2273"/>
    <n v="0.75"/>
    <n v="0.1343"/>
    <n v="1"/>
    <n v="57"/>
    <n v="58"/>
  </r>
  <r>
    <n v="617"/>
    <x v="27"/>
    <x v="0"/>
    <x v="0"/>
    <n v="22"/>
    <x v="0"/>
    <x v="6"/>
    <x v="0"/>
    <n v="9.84"/>
    <n v="0.24"/>
    <n v="0.21210000000000001"/>
    <n v="0.65"/>
    <n v="0.35820000000000002"/>
    <n v="0"/>
    <n v="26"/>
    <n v="26"/>
  </r>
  <r>
    <n v="618"/>
    <x v="27"/>
    <x v="0"/>
    <x v="0"/>
    <n v="23"/>
    <x v="0"/>
    <x v="6"/>
    <x v="0"/>
    <n v="9.84"/>
    <n v="0.24"/>
    <n v="0.2273"/>
    <n v="0.6"/>
    <n v="0.22389999999999999"/>
    <n v="1"/>
    <n v="22"/>
    <n v="23"/>
  </r>
  <r>
    <n v="619"/>
    <x v="28"/>
    <x v="0"/>
    <x v="0"/>
    <n v="0"/>
    <x v="0"/>
    <x v="0"/>
    <x v="0"/>
    <n v="9.02"/>
    <n v="0.22"/>
    <n v="0.19700000000000001"/>
    <n v="0.64"/>
    <n v="0.35820000000000002"/>
    <n v="2"/>
    <n v="26"/>
    <n v="28"/>
  </r>
  <r>
    <n v="620"/>
    <x v="28"/>
    <x v="0"/>
    <x v="0"/>
    <n v="1"/>
    <x v="0"/>
    <x v="0"/>
    <x v="0"/>
    <n v="9.02"/>
    <n v="0.22"/>
    <n v="0.2273"/>
    <n v="0.64"/>
    <n v="0.19400000000000001"/>
    <n v="0"/>
    <n v="20"/>
    <n v="20"/>
  </r>
  <r>
    <n v="621"/>
    <x v="28"/>
    <x v="0"/>
    <x v="0"/>
    <n v="2"/>
    <x v="0"/>
    <x v="0"/>
    <x v="0"/>
    <n v="9.02"/>
    <n v="0.22"/>
    <n v="0.2273"/>
    <n v="0.64"/>
    <n v="0.16420000000000001"/>
    <n v="0"/>
    <n v="15"/>
    <n v="15"/>
  </r>
  <r>
    <n v="622"/>
    <x v="28"/>
    <x v="0"/>
    <x v="0"/>
    <n v="3"/>
    <x v="0"/>
    <x v="0"/>
    <x v="0"/>
    <n v="8.2000000000000011"/>
    <n v="0.2"/>
    <n v="0.21210000000000001"/>
    <n v="0.64"/>
    <n v="0.1343"/>
    <n v="3"/>
    <n v="5"/>
    <n v="8"/>
  </r>
  <r>
    <n v="623"/>
    <x v="28"/>
    <x v="0"/>
    <x v="0"/>
    <n v="4"/>
    <x v="0"/>
    <x v="0"/>
    <x v="0"/>
    <n v="6.5600000000000005"/>
    <n v="0.16"/>
    <n v="0.18179999999999999"/>
    <n v="0.69"/>
    <n v="0.1045"/>
    <n v="1"/>
    <n v="2"/>
    <n v="3"/>
  </r>
  <r>
    <n v="624"/>
    <x v="28"/>
    <x v="0"/>
    <x v="0"/>
    <n v="6"/>
    <x v="0"/>
    <x v="0"/>
    <x v="0"/>
    <n v="6.5600000000000005"/>
    <n v="0.16"/>
    <n v="0.18179999999999999"/>
    <n v="0.64"/>
    <n v="0.1343"/>
    <n v="0"/>
    <n v="2"/>
    <n v="2"/>
  </r>
  <r>
    <n v="625"/>
    <x v="28"/>
    <x v="0"/>
    <x v="0"/>
    <n v="7"/>
    <x v="0"/>
    <x v="0"/>
    <x v="0"/>
    <n v="6.5600000000000005"/>
    <n v="0.16"/>
    <n v="0.18179999999999999"/>
    <n v="0.59"/>
    <n v="0.1045"/>
    <n v="1"/>
    <n v="4"/>
    <n v="5"/>
  </r>
  <r>
    <n v="626"/>
    <x v="28"/>
    <x v="0"/>
    <x v="0"/>
    <n v="8"/>
    <x v="0"/>
    <x v="0"/>
    <x v="0"/>
    <n v="7.38"/>
    <n v="0.18"/>
    <n v="0.19700000000000001"/>
    <n v="0.55000000000000004"/>
    <n v="0.16420000000000001"/>
    <n v="3"/>
    <n v="31"/>
    <n v="34"/>
  </r>
  <r>
    <n v="627"/>
    <x v="28"/>
    <x v="0"/>
    <x v="0"/>
    <n v="9"/>
    <x v="0"/>
    <x v="0"/>
    <x v="0"/>
    <n v="7.38"/>
    <n v="0.18"/>
    <n v="0.21210000000000001"/>
    <n v="0.59"/>
    <n v="8.9599999999999999E-2"/>
    <n v="0"/>
    <n v="34"/>
    <n v="34"/>
  </r>
  <r>
    <n v="628"/>
    <x v="28"/>
    <x v="0"/>
    <x v="0"/>
    <n v="10"/>
    <x v="0"/>
    <x v="0"/>
    <x v="1"/>
    <n v="7.38"/>
    <n v="0.18"/>
    <n v="0.21210000000000001"/>
    <n v="0.64"/>
    <n v="0.1045"/>
    <n v="4"/>
    <n v="51"/>
    <n v="55"/>
  </r>
  <r>
    <n v="629"/>
    <x v="28"/>
    <x v="0"/>
    <x v="0"/>
    <n v="11"/>
    <x v="0"/>
    <x v="0"/>
    <x v="1"/>
    <n v="7.38"/>
    <n v="0.18"/>
    <n v="0.19700000000000001"/>
    <n v="0.64"/>
    <n v="0.1343"/>
    <n v="4"/>
    <n v="60"/>
    <n v="64"/>
  </r>
  <r>
    <n v="630"/>
    <x v="28"/>
    <x v="0"/>
    <x v="0"/>
    <n v="12"/>
    <x v="0"/>
    <x v="0"/>
    <x v="1"/>
    <n v="8.2000000000000011"/>
    <n v="0.2"/>
    <n v="0.19700000000000001"/>
    <n v="0.59"/>
    <n v="0.19400000000000001"/>
    <n v="12"/>
    <n v="66"/>
    <n v="78"/>
  </r>
  <r>
    <n v="631"/>
    <x v="28"/>
    <x v="0"/>
    <x v="0"/>
    <n v="13"/>
    <x v="0"/>
    <x v="0"/>
    <x v="1"/>
    <n v="9.02"/>
    <n v="0.22"/>
    <n v="0.2273"/>
    <n v="0.55000000000000004"/>
    <n v="0.16420000000000001"/>
    <n v="9"/>
    <n v="56"/>
    <n v="65"/>
  </r>
  <r>
    <n v="632"/>
    <x v="28"/>
    <x v="0"/>
    <x v="0"/>
    <n v="14"/>
    <x v="0"/>
    <x v="0"/>
    <x v="1"/>
    <n v="9.02"/>
    <n v="0.22"/>
    <n v="0.2273"/>
    <n v="0.6"/>
    <n v="0.1343"/>
    <n v="10"/>
    <n v="89"/>
    <n v="99"/>
  </r>
  <r>
    <n v="633"/>
    <x v="28"/>
    <x v="0"/>
    <x v="0"/>
    <n v="15"/>
    <x v="0"/>
    <x v="0"/>
    <x v="0"/>
    <n v="9.02"/>
    <n v="0.22"/>
    <n v="0.21210000000000001"/>
    <n v="0.69"/>
    <n v="0.25369999999999998"/>
    <n v="22"/>
    <n v="98"/>
    <n v="120"/>
  </r>
  <r>
    <n v="634"/>
    <x v="28"/>
    <x v="0"/>
    <x v="0"/>
    <n v="16"/>
    <x v="0"/>
    <x v="0"/>
    <x v="0"/>
    <n v="9.84"/>
    <n v="0.24"/>
    <n v="0.2424"/>
    <n v="0.6"/>
    <n v="0.16420000000000001"/>
    <n v="19"/>
    <n v="88"/>
    <n v="107"/>
  </r>
  <r>
    <n v="635"/>
    <x v="28"/>
    <x v="0"/>
    <x v="0"/>
    <n v="17"/>
    <x v="0"/>
    <x v="0"/>
    <x v="0"/>
    <n v="9.84"/>
    <n v="0.24"/>
    <n v="0.28789999999999999"/>
    <n v="0.6"/>
    <n v="0"/>
    <n v="9"/>
    <n v="82"/>
    <n v="91"/>
  </r>
  <r>
    <n v="636"/>
    <x v="28"/>
    <x v="0"/>
    <x v="0"/>
    <n v="18"/>
    <x v="0"/>
    <x v="0"/>
    <x v="0"/>
    <n v="9.02"/>
    <n v="0.22"/>
    <n v="0.2273"/>
    <n v="0.69"/>
    <n v="0.1343"/>
    <n v="9"/>
    <n v="59"/>
    <n v="68"/>
  </r>
  <r>
    <n v="637"/>
    <x v="28"/>
    <x v="0"/>
    <x v="0"/>
    <n v="19"/>
    <x v="0"/>
    <x v="0"/>
    <x v="1"/>
    <n v="9.02"/>
    <n v="0.22"/>
    <n v="0.21210000000000001"/>
    <n v="0.69"/>
    <n v="0.25369999999999998"/>
    <n v="6"/>
    <n v="52"/>
    <n v="58"/>
  </r>
  <r>
    <n v="638"/>
    <x v="28"/>
    <x v="0"/>
    <x v="0"/>
    <n v="20"/>
    <x v="0"/>
    <x v="0"/>
    <x v="0"/>
    <n v="7.38"/>
    <n v="0.18"/>
    <n v="0.21210000000000001"/>
    <n v="0.74"/>
    <n v="8.9599999999999999E-2"/>
    <n v="1"/>
    <n v="42"/>
    <n v="43"/>
  </r>
  <r>
    <n v="639"/>
    <x v="28"/>
    <x v="0"/>
    <x v="0"/>
    <n v="21"/>
    <x v="0"/>
    <x v="0"/>
    <x v="0"/>
    <n v="7.38"/>
    <n v="0.18"/>
    <n v="0.21210000000000001"/>
    <n v="0.74"/>
    <n v="8.9599999999999999E-2"/>
    <n v="1"/>
    <n v="35"/>
    <n v="36"/>
  </r>
  <r>
    <n v="640"/>
    <x v="28"/>
    <x v="0"/>
    <x v="0"/>
    <n v="22"/>
    <x v="0"/>
    <x v="0"/>
    <x v="0"/>
    <n v="6.5600000000000005"/>
    <n v="0.16"/>
    <n v="0.19700000000000001"/>
    <n v="0.8"/>
    <n v="8.9599999999999999E-2"/>
    <n v="4"/>
    <n v="28"/>
    <n v="32"/>
  </r>
  <r>
    <n v="641"/>
    <x v="28"/>
    <x v="0"/>
    <x v="0"/>
    <n v="23"/>
    <x v="0"/>
    <x v="0"/>
    <x v="0"/>
    <n v="6.5600000000000005"/>
    <n v="0.16"/>
    <n v="0.19700000000000001"/>
    <n v="0.8"/>
    <n v="8.9599999999999999E-2"/>
    <n v="3"/>
    <n v="30"/>
    <n v="33"/>
  </r>
  <r>
    <n v="642"/>
    <x v="29"/>
    <x v="0"/>
    <x v="0"/>
    <n v="0"/>
    <x v="0"/>
    <x v="1"/>
    <x v="0"/>
    <n v="6.5600000000000005"/>
    <n v="0.16"/>
    <n v="0.18179999999999999"/>
    <n v="0.8"/>
    <n v="0.1045"/>
    <n v="0"/>
    <n v="33"/>
    <n v="33"/>
  </r>
  <r>
    <n v="643"/>
    <x v="29"/>
    <x v="0"/>
    <x v="0"/>
    <n v="1"/>
    <x v="0"/>
    <x v="1"/>
    <x v="0"/>
    <n v="5.74"/>
    <n v="0.14000000000000001"/>
    <n v="0.21210000000000001"/>
    <n v="0.8"/>
    <n v="0"/>
    <n v="7"/>
    <n v="22"/>
    <n v="29"/>
  </r>
  <r>
    <n v="644"/>
    <x v="29"/>
    <x v="0"/>
    <x v="0"/>
    <n v="2"/>
    <x v="0"/>
    <x v="1"/>
    <x v="0"/>
    <n v="6.5600000000000005"/>
    <n v="0.16"/>
    <n v="0.2273"/>
    <n v="0.8"/>
    <n v="0"/>
    <n v="1"/>
    <n v="10"/>
    <n v="11"/>
  </r>
  <r>
    <n v="645"/>
    <x v="29"/>
    <x v="0"/>
    <x v="0"/>
    <n v="3"/>
    <x v="0"/>
    <x v="1"/>
    <x v="0"/>
    <n v="5.74"/>
    <n v="0.14000000000000001"/>
    <n v="0.21210000000000001"/>
    <n v="0.93"/>
    <n v="0"/>
    <n v="1"/>
    <n v="7"/>
    <n v="8"/>
  </r>
  <r>
    <n v="646"/>
    <x v="29"/>
    <x v="0"/>
    <x v="0"/>
    <n v="4"/>
    <x v="0"/>
    <x v="1"/>
    <x v="0"/>
    <n v="5.74"/>
    <n v="0.14000000000000001"/>
    <n v="0.21210000000000001"/>
    <n v="0.93"/>
    <n v="0"/>
    <n v="0"/>
    <n v="1"/>
    <n v="1"/>
  </r>
  <r>
    <n v="647"/>
    <x v="29"/>
    <x v="0"/>
    <x v="0"/>
    <n v="5"/>
    <x v="0"/>
    <x v="1"/>
    <x v="0"/>
    <n v="5.74"/>
    <n v="0.14000000000000001"/>
    <n v="0.21210000000000001"/>
    <n v="0.86"/>
    <n v="0"/>
    <n v="0"/>
    <n v="3"/>
    <n v="3"/>
  </r>
  <r>
    <n v="648"/>
    <x v="29"/>
    <x v="0"/>
    <x v="0"/>
    <n v="7"/>
    <x v="0"/>
    <x v="1"/>
    <x v="0"/>
    <n v="5.74"/>
    <n v="0.14000000000000001"/>
    <n v="0.21210000000000001"/>
    <n v="0.86"/>
    <n v="0"/>
    <n v="0"/>
    <n v="3"/>
    <n v="3"/>
  </r>
  <r>
    <n v="649"/>
    <x v="29"/>
    <x v="0"/>
    <x v="0"/>
    <n v="8"/>
    <x v="0"/>
    <x v="1"/>
    <x v="1"/>
    <n v="5.74"/>
    <n v="0.14000000000000001"/>
    <n v="0.21210000000000001"/>
    <n v="0.86"/>
    <n v="0"/>
    <n v="1"/>
    <n v="11"/>
    <n v="12"/>
  </r>
  <r>
    <n v="650"/>
    <x v="29"/>
    <x v="0"/>
    <x v="0"/>
    <n v="9"/>
    <x v="0"/>
    <x v="1"/>
    <x v="1"/>
    <n v="6.5600000000000005"/>
    <n v="0.16"/>
    <n v="0.2273"/>
    <n v="0.8"/>
    <n v="0"/>
    <n v="4"/>
    <n v="34"/>
    <n v="38"/>
  </r>
  <r>
    <n v="651"/>
    <x v="29"/>
    <x v="0"/>
    <x v="0"/>
    <n v="10"/>
    <x v="0"/>
    <x v="1"/>
    <x v="1"/>
    <n v="7.38"/>
    <n v="0.18"/>
    <n v="0.2424"/>
    <n v="0.8"/>
    <n v="0"/>
    <n v="7"/>
    <n v="57"/>
    <n v="64"/>
  </r>
  <r>
    <n v="652"/>
    <x v="29"/>
    <x v="0"/>
    <x v="0"/>
    <n v="11"/>
    <x v="0"/>
    <x v="1"/>
    <x v="0"/>
    <n v="9.02"/>
    <n v="0.22"/>
    <n v="0.2727"/>
    <n v="0.75"/>
    <n v="0"/>
    <n v="9"/>
    <n v="50"/>
    <n v="59"/>
  </r>
  <r>
    <n v="653"/>
    <x v="29"/>
    <x v="0"/>
    <x v="0"/>
    <n v="12"/>
    <x v="0"/>
    <x v="1"/>
    <x v="0"/>
    <n v="12.299999999999999"/>
    <n v="0.3"/>
    <n v="0.31819999999999998"/>
    <n v="0.52"/>
    <n v="0.1045"/>
    <n v="10"/>
    <n v="87"/>
    <n v="97"/>
  </r>
  <r>
    <n v="654"/>
    <x v="29"/>
    <x v="0"/>
    <x v="0"/>
    <n v="13"/>
    <x v="0"/>
    <x v="1"/>
    <x v="0"/>
    <n v="11.48"/>
    <n v="0.28000000000000003"/>
    <n v="0.28789999999999999"/>
    <n v="0.61"/>
    <n v="0.1045"/>
    <n v="13"/>
    <n v="71"/>
    <n v="84"/>
  </r>
  <r>
    <n v="655"/>
    <x v="29"/>
    <x v="0"/>
    <x v="0"/>
    <n v="14"/>
    <x v="0"/>
    <x v="1"/>
    <x v="0"/>
    <n v="11.48"/>
    <n v="0.28000000000000003"/>
    <n v="0.30299999999999999"/>
    <n v="0.61"/>
    <n v="8.9599999999999999E-2"/>
    <n v="18"/>
    <n v="104"/>
    <n v="122"/>
  </r>
  <r>
    <n v="656"/>
    <x v="29"/>
    <x v="0"/>
    <x v="0"/>
    <n v="15"/>
    <x v="0"/>
    <x v="1"/>
    <x v="0"/>
    <n v="12.299999999999999"/>
    <n v="0.3"/>
    <n v="0.33329999999999999"/>
    <n v="0.56000000000000005"/>
    <n v="0"/>
    <n v="14"/>
    <n v="95"/>
    <n v="109"/>
  </r>
  <r>
    <n v="657"/>
    <x v="29"/>
    <x v="0"/>
    <x v="0"/>
    <n v="16"/>
    <x v="0"/>
    <x v="1"/>
    <x v="0"/>
    <n v="12.299999999999999"/>
    <n v="0.3"/>
    <n v="0.33329999999999999"/>
    <n v="0.56000000000000005"/>
    <n v="0"/>
    <n v="19"/>
    <n v="104"/>
    <n v="123"/>
  </r>
  <r>
    <n v="658"/>
    <x v="29"/>
    <x v="0"/>
    <x v="0"/>
    <n v="17"/>
    <x v="0"/>
    <x v="1"/>
    <x v="0"/>
    <n v="12.299999999999999"/>
    <n v="0.3"/>
    <n v="0.28789999999999999"/>
    <n v="0.56000000000000005"/>
    <n v="0.19400000000000001"/>
    <n v="6"/>
    <n v="71"/>
    <n v="77"/>
  </r>
  <r>
    <n v="659"/>
    <x v="29"/>
    <x v="0"/>
    <x v="0"/>
    <n v="18"/>
    <x v="0"/>
    <x v="1"/>
    <x v="0"/>
    <n v="10.66"/>
    <n v="0.26"/>
    <n v="0.2576"/>
    <n v="0.65"/>
    <n v="0.16420000000000001"/>
    <n v="8"/>
    <n v="57"/>
    <n v="65"/>
  </r>
  <r>
    <n v="660"/>
    <x v="29"/>
    <x v="0"/>
    <x v="0"/>
    <n v="19"/>
    <x v="0"/>
    <x v="1"/>
    <x v="0"/>
    <n v="10.66"/>
    <n v="0.26"/>
    <n v="0.2576"/>
    <n v="0.65"/>
    <n v="0.19400000000000001"/>
    <n v="9"/>
    <n v="46"/>
    <n v="55"/>
  </r>
  <r>
    <n v="661"/>
    <x v="29"/>
    <x v="0"/>
    <x v="0"/>
    <n v="20"/>
    <x v="0"/>
    <x v="1"/>
    <x v="1"/>
    <n v="10.66"/>
    <n v="0.26"/>
    <n v="0.2727"/>
    <n v="0.65"/>
    <n v="0.1045"/>
    <n v="3"/>
    <n v="30"/>
    <n v="33"/>
  </r>
  <r>
    <n v="662"/>
    <x v="29"/>
    <x v="0"/>
    <x v="0"/>
    <n v="21"/>
    <x v="0"/>
    <x v="1"/>
    <x v="1"/>
    <n v="9.84"/>
    <n v="0.24"/>
    <n v="0.2424"/>
    <n v="0.7"/>
    <n v="0.16420000000000001"/>
    <n v="3"/>
    <n v="25"/>
    <n v="28"/>
  </r>
  <r>
    <n v="663"/>
    <x v="29"/>
    <x v="0"/>
    <x v="0"/>
    <n v="22"/>
    <x v="0"/>
    <x v="1"/>
    <x v="1"/>
    <n v="9.84"/>
    <n v="0.24"/>
    <n v="0.2273"/>
    <n v="0.7"/>
    <n v="0.19400000000000001"/>
    <n v="2"/>
    <n v="19"/>
    <n v="21"/>
  </r>
  <r>
    <n v="664"/>
    <x v="29"/>
    <x v="0"/>
    <x v="0"/>
    <n v="23"/>
    <x v="0"/>
    <x v="1"/>
    <x v="1"/>
    <n v="9.84"/>
    <n v="0.24"/>
    <n v="0.21210000000000001"/>
    <n v="0.65"/>
    <n v="0.28360000000000002"/>
    <n v="5"/>
    <n v="16"/>
    <n v="21"/>
  </r>
  <r>
    <n v="665"/>
    <x v="30"/>
    <x v="0"/>
    <x v="0"/>
    <n v="0"/>
    <x v="0"/>
    <x v="2"/>
    <x v="1"/>
    <n v="9.84"/>
    <n v="0.24"/>
    <n v="0.2273"/>
    <n v="0.65"/>
    <n v="0.22389999999999999"/>
    <n v="1"/>
    <n v="6"/>
    <n v="7"/>
  </r>
  <r>
    <n v="666"/>
    <x v="30"/>
    <x v="0"/>
    <x v="0"/>
    <n v="1"/>
    <x v="0"/>
    <x v="2"/>
    <x v="0"/>
    <n v="9.02"/>
    <n v="0.22"/>
    <n v="0.21210000000000001"/>
    <n v="0.64"/>
    <n v="0.25369999999999998"/>
    <n v="2"/>
    <n v="5"/>
    <n v="7"/>
  </r>
  <r>
    <n v="667"/>
    <x v="30"/>
    <x v="0"/>
    <x v="0"/>
    <n v="2"/>
    <x v="0"/>
    <x v="2"/>
    <x v="0"/>
    <n v="9.02"/>
    <n v="0.22"/>
    <n v="0.2273"/>
    <n v="0.64"/>
    <n v="0.19400000000000001"/>
    <n v="0"/>
    <n v="1"/>
    <n v="1"/>
  </r>
  <r>
    <n v="668"/>
    <x v="30"/>
    <x v="0"/>
    <x v="0"/>
    <n v="3"/>
    <x v="0"/>
    <x v="2"/>
    <x v="0"/>
    <n v="9.02"/>
    <n v="0.22"/>
    <n v="0.2273"/>
    <n v="0.64"/>
    <n v="0.19400000000000001"/>
    <n v="0"/>
    <n v="2"/>
    <n v="2"/>
  </r>
  <r>
    <n v="669"/>
    <x v="30"/>
    <x v="0"/>
    <x v="0"/>
    <n v="4"/>
    <x v="0"/>
    <x v="2"/>
    <x v="0"/>
    <n v="8.2000000000000011"/>
    <n v="0.2"/>
    <n v="0.19700000000000001"/>
    <n v="0.59"/>
    <n v="0.22389999999999999"/>
    <n v="0"/>
    <n v="2"/>
    <n v="2"/>
  </r>
  <r>
    <n v="670"/>
    <x v="30"/>
    <x v="0"/>
    <x v="0"/>
    <n v="5"/>
    <x v="0"/>
    <x v="2"/>
    <x v="0"/>
    <n v="7.38"/>
    <n v="0.18"/>
    <n v="0.16669999999999999"/>
    <n v="0.64"/>
    <n v="0.28360000000000002"/>
    <n v="0"/>
    <n v="8"/>
    <n v="8"/>
  </r>
  <r>
    <n v="671"/>
    <x v="30"/>
    <x v="0"/>
    <x v="0"/>
    <n v="6"/>
    <x v="0"/>
    <x v="2"/>
    <x v="0"/>
    <n v="6.5600000000000005"/>
    <n v="0.16"/>
    <n v="0.13639999999999999"/>
    <n v="0.69"/>
    <n v="0.32840000000000003"/>
    <n v="0"/>
    <n v="37"/>
    <n v="37"/>
  </r>
  <r>
    <n v="672"/>
    <x v="30"/>
    <x v="0"/>
    <x v="0"/>
    <n v="7"/>
    <x v="0"/>
    <x v="2"/>
    <x v="1"/>
    <n v="6.5600000000000005"/>
    <n v="0.16"/>
    <n v="0.13639999999999999"/>
    <n v="0.64"/>
    <n v="0.28360000000000002"/>
    <n v="1"/>
    <n v="71"/>
    <n v="72"/>
  </r>
  <r>
    <n v="673"/>
    <x v="30"/>
    <x v="0"/>
    <x v="0"/>
    <n v="8"/>
    <x v="0"/>
    <x v="2"/>
    <x v="1"/>
    <n v="6.5600000000000005"/>
    <n v="0.16"/>
    <n v="0.13639999999999999"/>
    <n v="0.59"/>
    <n v="0.28360000000000002"/>
    <n v="3"/>
    <n v="182"/>
    <n v="185"/>
  </r>
  <r>
    <n v="674"/>
    <x v="30"/>
    <x v="0"/>
    <x v="0"/>
    <n v="9"/>
    <x v="0"/>
    <x v="2"/>
    <x v="1"/>
    <n v="6.5600000000000005"/>
    <n v="0.16"/>
    <n v="0.13639999999999999"/>
    <n v="0.59"/>
    <n v="0.29849999999999999"/>
    <n v="0"/>
    <n v="112"/>
    <n v="112"/>
  </r>
  <r>
    <n v="675"/>
    <x v="30"/>
    <x v="0"/>
    <x v="0"/>
    <n v="10"/>
    <x v="0"/>
    <x v="2"/>
    <x v="1"/>
    <n v="6.5600000000000005"/>
    <n v="0.16"/>
    <n v="0.1515"/>
    <n v="0.59"/>
    <n v="0.19400000000000001"/>
    <n v="1"/>
    <n v="68"/>
    <n v="69"/>
  </r>
  <r>
    <n v="676"/>
    <x v="30"/>
    <x v="0"/>
    <x v="0"/>
    <n v="11"/>
    <x v="0"/>
    <x v="2"/>
    <x v="1"/>
    <n v="6.5600000000000005"/>
    <n v="0.16"/>
    <n v="0.1515"/>
    <n v="0.59"/>
    <n v="0.19400000000000001"/>
    <n v="2"/>
    <n v="46"/>
    <n v="48"/>
  </r>
  <r>
    <n v="677"/>
    <x v="30"/>
    <x v="0"/>
    <x v="0"/>
    <n v="12"/>
    <x v="0"/>
    <x v="2"/>
    <x v="1"/>
    <n v="7.38"/>
    <n v="0.18"/>
    <n v="0.21210000000000001"/>
    <n v="0.55000000000000004"/>
    <n v="0.1045"/>
    <n v="6"/>
    <n v="62"/>
    <n v="68"/>
  </r>
  <r>
    <n v="678"/>
    <x v="30"/>
    <x v="0"/>
    <x v="0"/>
    <n v="13"/>
    <x v="0"/>
    <x v="2"/>
    <x v="1"/>
    <n v="6.5600000000000005"/>
    <n v="0.16"/>
    <n v="0.2273"/>
    <n v="0.59"/>
    <n v="0"/>
    <n v="2"/>
    <n v="52"/>
    <n v="54"/>
  </r>
  <r>
    <n v="679"/>
    <x v="30"/>
    <x v="0"/>
    <x v="0"/>
    <n v="14"/>
    <x v="0"/>
    <x v="2"/>
    <x v="1"/>
    <n v="7.38"/>
    <n v="0.18"/>
    <n v="0.19700000000000001"/>
    <n v="0.55000000000000004"/>
    <n v="0.1343"/>
    <n v="1"/>
    <n v="85"/>
    <n v="86"/>
  </r>
  <r>
    <n v="680"/>
    <x v="30"/>
    <x v="0"/>
    <x v="0"/>
    <n v="15"/>
    <x v="0"/>
    <x v="2"/>
    <x v="1"/>
    <n v="6.5600000000000005"/>
    <n v="0.16"/>
    <n v="0.18179999999999999"/>
    <n v="0.59"/>
    <n v="0.1343"/>
    <n v="3"/>
    <n v="41"/>
    <n v="44"/>
  </r>
  <r>
    <n v="681"/>
    <x v="30"/>
    <x v="0"/>
    <x v="0"/>
    <n v="16"/>
    <x v="0"/>
    <x v="2"/>
    <x v="1"/>
    <n v="6.5600000000000005"/>
    <n v="0.16"/>
    <n v="0.18179999999999999"/>
    <n v="0.56000000000000005"/>
    <n v="0.19400000000000001"/>
    <n v="3"/>
    <n v="83"/>
    <n v="86"/>
  </r>
  <r>
    <n v="682"/>
    <x v="30"/>
    <x v="0"/>
    <x v="0"/>
    <n v="17"/>
    <x v="0"/>
    <x v="2"/>
    <x v="1"/>
    <n v="6.5600000000000005"/>
    <n v="0.16"/>
    <n v="0.1515"/>
    <n v="0.59"/>
    <n v="0.19400000000000001"/>
    <n v="6"/>
    <n v="155"/>
    <n v="161"/>
  </r>
  <r>
    <n v="683"/>
    <x v="30"/>
    <x v="0"/>
    <x v="0"/>
    <n v="18"/>
    <x v="0"/>
    <x v="2"/>
    <x v="1"/>
    <n v="6.5600000000000005"/>
    <n v="0.16"/>
    <n v="0.1515"/>
    <n v="0.55000000000000004"/>
    <n v="0.22389999999999999"/>
    <n v="3"/>
    <n v="153"/>
    <n v="156"/>
  </r>
  <r>
    <n v="684"/>
    <x v="30"/>
    <x v="0"/>
    <x v="0"/>
    <n v="19"/>
    <x v="0"/>
    <x v="2"/>
    <x v="0"/>
    <n v="12.299999999999999"/>
    <n v="0.3"/>
    <n v="0.31819999999999998"/>
    <n v="0.61"/>
    <n v="0.1045"/>
    <n v="3"/>
    <n v="108"/>
    <n v="111"/>
  </r>
  <r>
    <n v="685"/>
    <x v="30"/>
    <x v="0"/>
    <x v="0"/>
    <n v="20"/>
    <x v="0"/>
    <x v="2"/>
    <x v="2"/>
    <n v="6.5600000000000005"/>
    <n v="0.16"/>
    <n v="0.16669999999999999"/>
    <n v="0.59"/>
    <n v="0.16420000000000001"/>
    <n v="0"/>
    <n v="78"/>
    <n v="78"/>
  </r>
  <r>
    <n v="686"/>
    <x v="30"/>
    <x v="0"/>
    <x v="0"/>
    <n v="21"/>
    <x v="0"/>
    <x v="2"/>
    <x v="2"/>
    <n v="6.5600000000000005"/>
    <n v="0.16"/>
    <n v="0.19700000000000001"/>
    <n v="0.59"/>
    <n v="8.9599999999999999E-2"/>
    <n v="3"/>
    <n v="53"/>
    <n v="56"/>
  </r>
  <r>
    <n v="687"/>
    <x v="30"/>
    <x v="0"/>
    <x v="0"/>
    <n v="22"/>
    <x v="0"/>
    <x v="2"/>
    <x v="1"/>
    <n v="6.5600000000000005"/>
    <n v="0.16"/>
    <n v="0.18179999999999999"/>
    <n v="0.59"/>
    <n v="0.1045"/>
    <n v="0"/>
    <n v="34"/>
    <n v="34"/>
  </r>
  <r>
    <n v="688"/>
    <x v="30"/>
    <x v="0"/>
    <x v="0"/>
    <n v="23"/>
    <x v="0"/>
    <x v="2"/>
    <x v="1"/>
    <n v="6.5600000000000005"/>
    <n v="0.16"/>
    <n v="0.19700000000000001"/>
    <n v="0.64"/>
    <n v="8.9599999999999999E-2"/>
    <n v="2"/>
    <n v="15"/>
    <n v="17"/>
  </r>
  <r>
    <n v="689"/>
    <x v="31"/>
    <x v="0"/>
    <x v="1"/>
    <n v="0"/>
    <x v="0"/>
    <x v="3"/>
    <x v="1"/>
    <n v="6.5600000000000005"/>
    <n v="0.16"/>
    <n v="0.18179999999999999"/>
    <n v="0.64"/>
    <n v="0.1045"/>
    <n v="2"/>
    <n v="6"/>
    <n v="8"/>
  </r>
  <r>
    <n v="690"/>
    <x v="31"/>
    <x v="0"/>
    <x v="1"/>
    <n v="1"/>
    <x v="0"/>
    <x v="3"/>
    <x v="1"/>
    <n v="6.5600000000000005"/>
    <n v="0.16"/>
    <n v="0.18179999999999999"/>
    <n v="0.69"/>
    <n v="0.1045"/>
    <n v="0"/>
    <n v="3"/>
    <n v="3"/>
  </r>
  <r>
    <n v="691"/>
    <x v="31"/>
    <x v="0"/>
    <x v="1"/>
    <n v="2"/>
    <x v="0"/>
    <x v="3"/>
    <x v="1"/>
    <n v="6.5600000000000005"/>
    <n v="0.16"/>
    <n v="0.2273"/>
    <n v="0.69"/>
    <n v="0"/>
    <n v="0"/>
    <n v="2"/>
    <n v="2"/>
  </r>
  <r>
    <n v="692"/>
    <x v="31"/>
    <x v="0"/>
    <x v="1"/>
    <n v="3"/>
    <x v="0"/>
    <x v="3"/>
    <x v="1"/>
    <n v="6.5600000000000005"/>
    <n v="0.16"/>
    <n v="0.2273"/>
    <n v="0.69"/>
    <n v="0"/>
    <n v="0"/>
    <n v="2"/>
    <n v="2"/>
  </r>
  <r>
    <n v="693"/>
    <x v="31"/>
    <x v="0"/>
    <x v="1"/>
    <n v="5"/>
    <x v="0"/>
    <x v="3"/>
    <x v="2"/>
    <n v="5.74"/>
    <n v="0.14000000000000001"/>
    <n v="0.21210000000000001"/>
    <n v="0.93"/>
    <n v="0"/>
    <n v="0"/>
    <n v="3"/>
    <n v="3"/>
  </r>
  <r>
    <n v="694"/>
    <x v="31"/>
    <x v="0"/>
    <x v="1"/>
    <n v="6"/>
    <x v="0"/>
    <x v="3"/>
    <x v="2"/>
    <n v="5.74"/>
    <n v="0.14000000000000001"/>
    <n v="0.21210000000000001"/>
    <n v="0.93"/>
    <n v="0"/>
    <n v="0"/>
    <n v="22"/>
    <n v="22"/>
  </r>
  <r>
    <n v="695"/>
    <x v="31"/>
    <x v="0"/>
    <x v="1"/>
    <n v="7"/>
    <x v="0"/>
    <x v="3"/>
    <x v="2"/>
    <n v="6.5600000000000005"/>
    <n v="0.16"/>
    <n v="0.2273"/>
    <n v="0.93"/>
    <n v="0"/>
    <n v="0"/>
    <n v="52"/>
    <n v="52"/>
  </r>
  <r>
    <n v="696"/>
    <x v="31"/>
    <x v="0"/>
    <x v="1"/>
    <n v="8"/>
    <x v="0"/>
    <x v="3"/>
    <x v="2"/>
    <n v="6.5600000000000005"/>
    <n v="0.16"/>
    <n v="0.2273"/>
    <n v="0.93"/>
    <n v="0"/>
    <n v="3"/>
    <n v="132"/>
    <n v="135"/>
  </r>
  <r>
    <n v="697"/>
    <x v="31"/>
    <x v="0"/>
    <x v="1"/>
    <n v="9"/>
    <x v="0"/>
    <x v="3"/>
    <x v="1"/>
    <n v="6.5600000000000005"/>
    <n v="0.16"/>
    <n v="0.2273"/>
    <n v="0.93"/>
    <n v="0"/>
    <n v="2"/>
    <n v="114"/>
    <n v="116"/>
  </r>
  <r>
    <n v="698"/>
    <x v="31"/>
    <x v="0"/>
    <x v="1"/>
    <n v="10"/>
    <x v="0"/>
    <x v="3"/>
    <x v="1"/>
    <n v="6.5600000000000005"/>
    <n v="0.16"/>
    <n v="0.2273"/>
    <n v="0.93"/>
    <n v="0"/>
    <n v="0"/>
    <n v="47"/>
    <n v="47"/>
  </r>
  <r>
    <n v="699"/>
    <x v="31"/>
    <x v="0"/>
    <x v="1"/>
    <n v="11"/>
    <x v="0"/>
    <x v="3"/>
    <x v="1"/>
    <n v="7.38"/>
    <n v="0.18"/>
    <n v="0.2424"/>
    <n v="0.86"/>
    <n v="0"/>
    <n v="2"/>
    <n v="49"/>
    <n v="51"/>
  </r>
  <r>
    <n v="700"/>
    <x v="31"/>
    <x v="0"/>
    <x v="1"/>
    <n v="12"/>
    <x v="0"/>
    <x v="3"/>
    <x v="1"/>
    <n v="8.2000000000000011"/>
    <n v="0.2"/>
    <n v="0.2576"/>
    <n v="0.86"/>
    <n v="0"/>
    <n v="2"/>
    <n v="53"/>
    <n v="55"/>
  </r>
  <r>
    <n v="701"/>
    <x v="31"/>
    <x v="0"/>
    <x v="1"/>
    <n v="13"/>
    <x v="0"/>
    <x v="3"/>
    <x v="1"/>
    <n v="8.2000000000000011"/>
    <n v="0.2"/>
    <n v="0.2576"/>
    <n v="0.86"/>
    <n v="0"/>
    <n v="3"/>
    <n v="49"/>
    <n v="52"/>
  </r>
  <r>
    <n v="702"/>
    <x v="31"/>
    <x v="0"/>
    <x v="1"/>
    <n v="14"/>
    <x v="0"/>
    <x v="3"/>
    <x v="1"/>
    <n v="9.02"/>
    <n v="0.22"/>
    <n v="0.2576"/>
    <n v="0.8"/>
    <n v="8.9599999999999999E-2"/>
    <n v="5"/>
    <n v="49"/>
    <n v="54"/>
  </r>
  <r>
    <n v="703"/>
    <x v="31"/>
    <x v="0"/>
    <x v="1"/>
    <n v="15"/>
    <x v="0"/>
    <x v="3"/>
    <x v="1"/>
    <n v="9.84"/>
    <n v="0.24"/>
    <n v="0.28789999999999999"/>
    <n v="0.75"/>
    <n v="0"/>
    <n v="7"/>
    <n v="45"/>
    <n v="52"/>
  </r>
  <r>
    <n v="704"/>
    <x v="31"/>
    <x v="0"/>
    <x v="1"/>
    <n v="16"/>
    <x v="0"/>
    <x v="3"/>
    <x v="1"/>
    <n v="9.84"/>
    <n v="0.24"/>
    <n v="0.2424"/>
    <n v="0.75"/>
    <n v="0.1343"/>
    <n v="3"/>
    <n v="61"/>
    <n v="64"/>
  </r>
  <r>
    <n v="705"/>
    <x v="31"/>
    <x v="0"/>
    <x v="1"/>
    <n v="17"/>
    <x v="0"/>
    <x v="3"/>
    <x v="1"/>
    <n v="9.84"/>
    <n v="0.24"/>
    <n v="0.28789999999999999"/>
    <n v="0.75"/>
    <n v="0"/>
    <n v="4"/>
    <n v="172"/>
    <n v="176"/>
  </r>
  <r>
    <n v="706"/>
    <x v="31"/>
    <x v="0"/>
    <x v="1"/>
    <n v="18"/>
    <x v="0"/>
    <x v="3"/>
    <x v="1"/>
    <n v="9.84"/>
    <n v="0.24"/>
    <n v="0.2576"/>
    <n v="0.81"/>
    <n v="0.1045"/>
    <n v="3"/>
    <n v="165"/>
    <n v="168"/>
  </r>
  <r>
    <n v="707"/>
    <x v="31"/>
    <x v="0"/>
    <x v="1"/>
    <n v="19"/>
    <x v="0"/>
    <x v="3"/>
    <x v="1"/>
    <n v="9.84"/>
    <n v="0.24"/>
    <n v="0.2424"/>
    <n v="0.81"/>
    <n v="0.1343"/>
    <n v="3"/>
    <n v="105"/>
    <n v="108"/>
  </r>
  <r>
    <n v="708"/>
    <x v="31"/>
    <x v="0"/>
    <x v="1"/>
    <n v="20"/>
    <x v="0"/>
    <x v="3"/>
    <x v="1"/>
    <n v="9.02"/>
    <n v="0.22"/>
    <n v="0.2273"/>
    <n v="0.87"/>
    <n v="0.1343"/>
    <n v="5"/>
    <n v="69"/>
    <n v="74"/>
  </r>
  <r>
    <n v="709"/>
    <x v="31"/>
    <x v="0"/>
    <x v="1"/>
    <n v="21"/>
    <x v="0"/>
    <x v="3"/>
    <x v="1"/>
    <n v="9.02"/>
    <n v="0.22"/>
    <n v="0.2273"/>
    <n v="0.87"/>
    <n v="0.1343"/>
    <n v="0"/>
    <n v="64"/>
    <n v="64"/>
  </r>
  <r>
    <n v="710"/>
    <x v="31"/>
    <x v="0"/>
    <x v="1"/>
    <n v="22"/>
    <x v="0"/>
    <x v="3"/>
    <x v="1"/>
    <n v="9.02"/>
    <n v="0.22"/>
    <n v="0.2576"/>
    <n v="0.87"/>
    <n v="8.9599999999999999E-2"/>
    <n v="2"/>
    <n v="34"/>
    <n v="36"/>
  </r>
  <r>
    <n v="711"/>
    <x v="31"/>
    <x v="0"/>
    <x v="1"/>
    <n v="23"/>
    <x v="0"/>
    <x v="3"/>
    <x v="2"/>
    <n v="8.2000000000000011"/>
    <n v="0.2"/>
    <n v="0.19700000000000001"/>
    <n v="0.93"/>
    <n v="0.19400000000000001"/>
    <n v="1"/>
    <n v="15"/>
    <n v="16"/>
  </r>
  <r>
    <n v="712"/>
    <x v="32"/>
    <x v="0"/>
    <x v="1"/>
    <n v="0"/>
    <x v="0"/>
    <x v="4"/>
    <x v="2"/>
    <n v="9.02"/>
    <n v="0.22"/>
    <n v="0.2424"/>
    <n v="0.93"/>
    <n v="0.1045"/>
    <n v="0"/>
    <n v="2"/>
    <n v="2"/>
  </r>
  <r>
    <n v="713"/>
    <x v="32"/>
    <x v="0"/>
    <x v="1"/>
    <n v="1"/>
    <x v="0"/>
    <x v="4"/>
    <x v="2"/>
    <n v="9.02"/>
    <n v="0.22"/>
    <n v="0.2273"/>
    <n v="0.93"/>
    <n v="0.19400000000000001"/>
    <n v="0"/>
    <n v="3"/>
    <n v="3"/>
  </r>
  <r>
    <n v="714"/>
    <x v="32"/>
    <x v="0"/>
    <x v="1"/>
    <n v="2"/>
    <x v="0"/>
    <x v="4"/>
    <x v="2"/>
    <n v="9.02"/>
    <n v="0.22"/>
    <n v="0.2273"/>
    <n v="0.93"/>
    <n v="0.1343"/>
    <n v="4"/>
    <n v="0"/>
    <n v="4"/>
  </r>
  <r>
    <n v="715"/>
    <x v="32"/>
    <x v="0"/>
    <x v="1"/>
    <n v="3"/>
    <x v="0"/>
    <x v="4"/>
    <x v="2"/>
    <n v="9.02"/>
    <n v="0.22"/>
    <n v="0.2273"/>
    <n v="0.93"/>
    <n v="0.1343"/>
    <n v="0"/>
    <n v="1"/>
    <n v="1"/>
  </r>
  <r>
    <n v="716"/>
    <x v="32"/>
    <x v="0"/>
    <x v="1"/>
    <n v="4"/>
    <x v="0"/>
    <x v="4"/>
    <x v="2"/>
    <n v="9.02"/>
    <n v="0.22"/>
    <n v="0.21210000000000001"/>
    <n v="0.93"/>
    <n v="0.28360000000000002"/>
    <n v="0"/>
    <n v="1"/>
    <n v="1"/>
  </r>
  <r>
    <n v="717"/>
    <x v="32"/>
    <x v="0"/>
    <x v="1"/>
    <n v="5"/>
    <x v="0"/>
    <x v="4"/>
    <x v="2"/>
    <n v="9.02"/>
    <n v="0.22"/>
    <n v="0.2424"/>
    <n v="0.93"/>
    <n v="0.1045"/>
    <n v="0"/>
    <n v="3"/>
    <n v="3"/>
  </r>
  <r>
    <n v="718"/>
    <x v="32"/>
    <x v="0"/>
    <x v="1"/>
    <n v="6"/>
    <x v="0"/>
    <x v="4"/>
    <x v="2"/>
    <n v="9.02"/>
    <n v="0.22"/>
    <n v="0.2424"/>
    <n v="0.93"/>
    <n v="0.1045"/>
    <n v="1"/>
    <n v="17"/>
    <n v="18"/>
  </r>
  <r>
    <n v="719"/>
    <x v="32"/>
    <x v="0"/>
    <x v="1"/>
    <n v="7"/>
    <x v="0"/>
    <x v="4"/>
    <x v="2"/>
    <n v="9.02"/>
    <n v="0.22"/>
    <n v="0.21210000000000001"/>
    <n v="0.93"/>
    <n v="0.22389999999999999"/>
    <n v="1"/>
    <n v="48"/>
    <n v="49"/>
  </r>
  <r>
    <n v="720"/>
    <x v="32"/>
    <x v="0"/>
    <x v="1"/>
    <n v="8"/>
    <x v="0"/>
    <x v="4"/>
    <x v="2"/>
    <n v="9.02"/>
    <n v="0.22"/>
    <n v="0.21210000000000001"/>
    <n v="0.93"/>
    <n v="0.22389999999999999"/>
    <n v="1"/>
    <n v="154"/>
    <n v="155"/>
  </r>
  <r>
    <n v="721"/>
    <x v="32"/>
    <x v="0"/>
    <x v="1"/>
    <n v="9"/>
    <x v="0"/>
    <x v="4"/>
    <x v="1"/>
    <n v="9.84"/>
    <n v="0.24"/>
    <n v="0.2576"/>
    <n v="0.93"/>
    <n v="8.9599999999999999E-2"/>
    <n v="4"/>
    <n v="119"/>
    <n v="123"/>
  </r>
  <r>
    <n v="722"/>
    <x v="32"/>
    <x v="0"/>
    <x v="1"/>
    <n v="10"/>
    <x v="0"/>
    <x v="4"/>
    <x v="1"/>
    <n v="9.02"/>
    <n v="0.22"/>
    <n v="0.2727"/>
    <n v="1"/>
    <n v="0"/>
    <n v="2"/>
    <n v="59"/>
    <n v="61"/>
  </r>
  <r>
    <n v="723"/>
    <x v="32"/>
    <x v="0"/>
    <x v="1"/>
    <n v="11"/>
    <x v="0"/>
    <x v="4"/>
    <x v="1"/>
    <n v="9.84"/>
    <n v="0.24"/>
    <n v="0.2273"/>
    <n v="0.93"/>
    <n v="0.19400000000000001"/>
    <n v="5"/>
    <n v="47"/>
    <n v="52"/>
  </r>
  <r>
    <n v="724"/>
    <x v="32"/>
    <x v="0"/>
    <x v="1"/>
    <n v="12"/>
    <x v="0"/>
    <x v="4"/>
    <x v="1"/>
    <n v="9.84"/>
    <n v="0.24"/>
    <n v="0.2273"/>
    <n v="0.93"/>
    <n v="0.22389999999999999"/>
    <n v="3"/>
    <n v="61"/>
    <n v="64"/>
  </r>
  <r>
    <n v="725"/>
    <x v="32"/>
    <x v="0"/>
    <x v="1"/>
    <n v="13"/>
    <x v="0"/>
    <x v="4"/>
    <x v="0"/>
    <n v="13.940000000000001"/>
    <n v="0.34"/>
    <n v="0.33329999999999999"/>
    <n v="0.93"/>
    <n v="0.16420000000000001"/>
    <n v="1"/>
    <n v="74"/>
    <n v="75"/>
  </r>
  <r>
    <n v="726"/>
    <x v="32"/>
    <x v="0"/>
    <x v="1"/>
    <n v="14"/>
    <x v="0"/>
    <x v="4"/>
    <x v="0"/>
    <n v="15.58"/>
    <n v="0.38"/>
    <n v="0.39389999999999997"/>
    <n v="0.82"/>
    <n v="0.3881"/>
    <n v="2"/>
    <n v="61"/>
    <n v="63"/>
  </r>
  <r>
    <n v="727"/>
    <x v="32"/>
    <x v="0"/>
    <x v="1"/>
    <n v="15"/>
    <x v="0"/>
    <x v="4"/>
    <x v="0"/>
    <n v="15.58"/>
    <n v="0.38"/>
    <n v="0.39389999999999997"/>
    <n v="0.76"/>
    <n v="0.32840000000000003"/>
    <n v="10"/>
    <n v="66"/>
    <n v="76"/>
  </r>
  <r>
    <n v="728"/>
    <x v="32"/>
    <x v="0"/>
    <x v="1"/>
    <n v="16"/>
    <x v="0"/>
    <x v="4"/>
    <x v="0"/>
    <n v="14.76"/>
    <n v="0.36"/>
    <n v="0.33329999999999999"/>
    <n v="0.71"/>
    <n v="0.29849999999999999"/>
    <n v="8"/>
    <n v="95"/>
    <n v="103"/>
  </r>
  <r>
    <n v="729"/>
    <x v="32"/>
    <x v="0"/>
    <x v="1"/>
    <n v="17"/>
    <x v="0"/>
    <x v="4"/>
    <x v="0"/>
    <n v="14.76"/>
    <n v="0.36"/>
    <n v="0.31819999999999998"/>
    <n v="0.53"/>
    <n v="0.52239999999999998"/>
    <n v="7"/>
    <n v="183"/>
    <n v="190"/>
  </r>
  <r>
    <n v="730"/>
    <x v="32"/>
    <x v="0"/>
    <x v="1"/>
    <n v="18"/>
    <x v="0"/>
    <x v="4"/>
    <x v="0"/>
    <n v="13.940000000000001"/>
    <n v="0.34"/>
    <n v="0.28789999999999999"/>
    <n v="0.42"/>
    <n v="0.55220000000000002"/>
    <n v="7"/>
    <n v="175"/>
    <n v="182"/>
  </r>
  <r>
    <n v="731"/>
    <x v="32"/>
    <x v="0"/>
    <x v="1"/>
    <n v="19"/>
    <x v="0"/>
    <x v="4"/>
    <x v="0"/>
    <n v="11.48"/>
    <n v="0.28000000000000003"/>
    <n v="0.2424"/>
    <n v="0.45"/>
    <n v="0.49249999999999999"/>
    <n v="3"/>
    <n v="88"/>
    <n v="91"/>
  </r>
  <r>
    <n v="732"/>
    <x v="32"/>
    <x v="0"/>
    <x v="1"/>
    <n v="20"/>
    <x v="0"/>
    <x v="4"/>
    <x v="0"/>
    <n v="9.84"/>
    <n v="0.24"/>
    <n v="0.19700000000000001"/>
    <n v="0.48"/>
    <n v="0.55220000000000002"/>
    <n v="4"/>
    <n v="71"/>
    <n v="75"/>
  </r>
  <r>
    <n v="733"/>
    <x v="32"/>
    <x v="0"/>
    <x v="1"/>
    <n v="21"/>
    <x v="0"/>
    <x v="4"/>
    <x v="0"/>
    <n v="9.02"/>
    <n v="0.22"/>
    <n v="0.19700000000000001"/>
    <n v="0.47"/>
    <n v="0.32840000000000003"/>
    <n v="1"/>
    <n v="62"/>
    <n v="63"/>
  </r>
  <r>
    <n v="734"/>
    <x v="32"/>
    <x v="0"/>
    <x v="1"/>
    <n v="22"/>
    <x v="0"/>
    <x v="4"/>
    <x v="0"/>
    <n v="9.02"/>
    <n v="0.22"/>
    <n v="0.21210000000000001"/>
    <n v="0.44"/>
    <n v="0.25369999999999998"/>
    <n v="5"/>
    <n v="35"/>
    <n v="40"/>
  </r>
  <r>
    <n v="735"/>
    <x v="32"/>
    <x v="0"/>
    <x v="1"/>
    <n v="23"/>
    <x v="0"/>
    <x v="4"/>
    <x v="0"/>
    <n v="8.2000000000000011"/>
    <n v="0.2"/>
    <n v="0.16669999999999999"/>
    <n v="0.44"/>
    <n v="0.44779999999999998"/>
    <n v="3"/>
    <n v="29"/>
    <n v="32"/>
  </r>
  <r>
    <n v="736"/>
    <x v="33"/>
    <x v="0"/>
    <x v="1"/>
    <n v="0"/>
    <x v="0"/>
    <x v="5"/>
    <x v="0"/>
    <n v="8.2000000000000011"/>
    <n v="0.2"/>
    <n v="0.16669999999999999"/>
    <n v="0.4"/>
    <n v="0.44779999999999998"/>
    <n v="1"/>
    <n v="11"/>
    <n v="12"/>
  </r>
  <r>
    <n v="737"/>
    <x v="33"/>
    <x v="0"/>
    <x v="1"/>
    <n v="1"/>
    <x v="0"/>
    <x v="5"/>
    <x v="0"/>
    <n v="8.2000000000000011"/>
    <n v="0.2"/>
    <n v="0.1515"/>
    <n v="0.44"/>
    <n v="0.52239999999999998"/>
    <n v="0"/>
    <n v="5"/>
    <n v="5"/>
  </r>
  <r>
    <n v="738"/>
    <x v="33"/>
    <x v="0"/>
    <x v="1"/>
    <n v="2"/>
    <x v="0"/>
    <x v="5"/>
    <x v="0"/>
    <n v="7.38"/>
    <n v="0.18"/>
    <n v="0.16669999999999999"/>
    <n v="0.43"/>
    <n v="0.25369999999999998"/>
    <n v="0"/>
    <n v="2"/>
    <n v="2"/>
  </r>
  <r>
    <n v="739"/>
    <x v="33"/>
    <x v="0"/>
    <x v="1"/>
    <n v="3"/>
    <x v="0"/>
    <x v="5"/>
    <x v="0"/>
    <n v="7.38"/>
    <n v="0.18"/>
    <n v="0.16669999999999999"/>
    <n v="0.43"/>
    <n v="0.25369999999999998"/>
    <n v="0"/>
    <n v="1"/>
    <n v="1"/>
  </r>
  <r>
    <n v="740"/>
    <x v="33"/>
    <x v="0"/>
    <x v="1"/>
    <n v="5"/>
    <x v="0"/>
    <x v="5"/>
    <x v="0"/>
    <n v="6.5600000000000005"/>
    <n v="0.16"/>
    <n v="0.13639999999999999"/>
    <n v="0.5"/>
    <n v="0.29849999999999999"/>
    <n v="0"/>
    <n v="2"/>
    <n v="2"/>
  </r>
  <r>
    <n v="741"/>
    <x v="33"/>
    <x v="0"/>
    <x v="1"/>
    <n v="6"/>
    <x v="0"/>
    <x v="5"/>
    <x v="0"/>
    <n v="6.5600000000000005"/>
    <n v="0.16"/>
    <n v="0.13639999999999999"/>
    <n v="0.43"/>
    <n v="0.35820000000000002"/>
    <n v="0"/>
    <n v="39"/>
    <n v="39"/>
  </r>
  <r>
    <n v="742"/>
    <x v="33"/>
    <x v="0"/>
    <x v="1"/>
    <n v="7"/>
    <x v="0"/>
    <x v="5"/>
    <x v="0"/>
    <n v="5.74"/>
    <n v="0.14000000000000001"/>
    <n v="0.1212"/>
    <n v="0.5"/>
    <n v="0.32840000000000003"/>
    <n v="1"/>
    <n v="86"/>
    <n v="87"/>
  </r>
  <r>
    <n v="743"/>
    <x v="33"/>
    <x v="0"/>
    <x v="1"/>
    <n v="8"/>
    <x v="0"/>
    <x v="5"/>
    <x v="0"/>
    <n v="5.74"/>
    <n v="0.14000000000000001"/>
    <n v="0.1212"/>
    <n v="0.5"/>
    <n v="0.35820000000000002"/>
    <n v="4"/>
    <n v="184"/>
    <n v="188"/>
  </r>
  <r>
    <n v="744"/>
    <x v="33"/>
    <x v="0"/>
    <x v="1"/>
    <n v="9"/>
    <x v="0"/>
    <x v="5"/>
    <x v="0"/>
    <n v="6.5600000000000005"/>
    <n v="0.16"/>
    <n v="0.13639999999999999"/>
    <n v="0.47"/>
    <n v="0.29849999999999999"/>
    <n v="6"/>
    <n v="127"/>
    <n v="133"/>
  </r>
  <r>
    <n v="745"/>
    <x v="33"/>
    <x v="0"/>
    <x v="1"/>
    <n v="10"/>
    <x v="0"/>
    <x v="5"/>
    <x v="0"/>
    <n v="7.38"/>
    <n v="0.18"/>
    <n v="0.1515"/>
    <n v="0.43"/>
    <n v="0.32840000000000003"/>
    <n v="2"/>
    <n v="50"/>
    <n v="52"/>
  </r>
  <r>
    <n v="746"/>
    <x v="33"/>
    <x v="0"/>
    <x v="1"/>
    <n v="11"/>
    <x v="0"/>
    <x v="5"/>
    <x v="0"/>
    <n v="7.38"/>
    <n v="0.18"/>
    <n v="0.13639999999999999"/>
    <n v="0.43"/>
    <n v="0.44779999999999998"/>
    <n v="9"/>
    <n v="55"/>
    <n v="64"/>
  </r>
  <r>
    <n v="747"/>
    <x v="33"/>
    <x v="0"/>
    <x v="1"/>
    <n v="12"/>
    <x v="0"/>
    <x v="5"/>
    <x v="0"/>
    <n v="8.2000000000000011"/>
    <n v="0.2"/>
    <n v="0.18179999999999999"/>
    <n v="0.4"/>
    <n v="0.35820000000000002"/>
    <n v="2"/>
    <n v="67"/>
    <n v="69"/>
  </r>
  <r>
    <n v="748"/>
    <x v="33"/>
    <x v="0"/>
    <x v="1"/>
    <n v="13"/>
    <x v="0"/>
    <x v="5"/>
    <x v="0"/>
    <n v="8.2000000000000011"/>
    <n v="0.2"/>
    <n v="0.16669999999999999"/>
    <n v="0.4"/>
    <n v="0.41789999999999999"/>
    <n v="4"/>
    <n v="47"/>
    <n v="51"/>
  </r>
  <r>
    <n v="749"/>
    <x v="33"/>
    <x v="0"/>
    <x v="1"/>
    <n v="14"/>
    <x v="0"/>
    <x v="5"/>
    <x v="0"/>
    <n v="9.02"/>
    <n v="0.22"/>
    <n v="0.19700000000000001"/>
    <n v="0.37"/>
    <n v="0.3881"/>
    <n v="4"/>
    <n v="43"/>
    <n v="47"/>
  </r>
  <r>
    <n v="750"/>
    <x v="33"/>
    <x v="0"/>
    <x v="1"/>
    <n v="15"/>
    <x v="0"/>
    <x v="5"/>
    <x v="0"/>
    <n v="9.02"/>
    <n v="0.22"/>
    <n v="0.19700000000000001"/>
    <n v="0.37"/>
    <n v="0.32840000000000003"/>
    <n v="4"/>
    <n v="56"/>
    <n v="60"/>
  </r>
  <r>
    <n v="751"/>
    <x v="33"/>
    <x v="0"/>
    <x v="1"/>
    <n v="16"/>
    <x v="0"/>
    <x v="5"/>
    <x v="0"/>
    <n v="9.02"/>
    <n v="0.22"/>
    <n v="0.21210000000000001"/>
    <n v="0.37"/>
    <n v="0.25369999999999998"/>
    <n v="5"/>
    <n v="73"/>
    <n v="78"/>
  </r>
  <r>
    <n v="752"/>
    <x v="33"/>
    <x v="0"/>
    <x v="1"/>
    <n v="17"/>
    <x v="0"/>
    <x v="5"/>
    <x v="0"/>
    <n v="8.2000000000000011"/>
    <n v="0.2"/>
    <n v="0.19700000000000001"/>
    <n v="0.4"/>
    <n v="0.19400000000000001"/>
    <n v="5"/>
    <n v="170"/>
    <n v="175"/>
  </r>
  <r>
    <n v="753"/>
    <x v="33"/>
    <x v="0"/>
    <x v="1"/>
    <n v="18"/>
    <x v="0"/>
    <x v="5"/>
    <x v="0"/>
    <n v="8.2000000000000011"/>
    <n v="0.2"/>
    <n v="0.21210000000000001"/>
    <n v="0.4"/>
    <n v="0.16420000000000001"/>
    <n v="2"/>
    <n v="145"/>
    <n v="147"/>
  </r>
  <r>
    <n v="754"/>
    <x v="33"/>
    <x v="0"/>
    <x v="1"/>
    <n v="19"/>
    <x v="0"/>
    <x v="5"/>
    <x v="0"/>
    <n v="8.2000000000000011"/>
    <n v="0.2"/>
    <n v="0.2576"/>
    <n v="0.4"/>
    <n v="0"/>
    <n v="4"/>
    <n v="92"/>
    <n v="96"/>
  </r>
  <r>
    <n v="755"/>
    <x v="33"/>
    <x v="0"/>
    <x v="1"/>
    <n v="20"/>
    <x v="0"/>
    <x v="5"/>
    <x v="0"/>
    <n v="8.2000000000000011"/>
    <n v="0.2"/>
    <n v="0.2273"/>
    <n v="0.47"/>
    <n v="8.9599999999999999E-2"/>
    <n v="1"/>
    <n v="108"/>
    <n v="109"/>
  </r>
  <r>
    <n v="756"/>
    <x v="33"/>
    <x v="0"/>
    <x v="1"/>
    <n v="21"/>
    <x v="0"/>
    <x v="5"/>
    <x v="0"/>
    <n v="7.38"/>
    <n v="0.18"/>
    <n v="0.21210000000000001"/>
    <n v="0.55000000000000004"/>
    <n v="0.1045"/>
    <n v="1"/>
    <n v="53"/>
    <n v="54"/>
  </r>
  <r>
    <n v="757"/>
    <x v="33"/>
    <x v="0"/>
    <x v="1"/>
    <n v="22"/>
    <x v="0"/>
    <x v="5"/>
    <x v="0"/>
    <n v="7.38"/>
    <n v="0.18"/>
    <n v="0.21210000000000001"/>
    <n v="0.51"/>
    <n v="8.9599999999999999E-2"/>
    <n v="2"/>
    <n v="39"/>
    <n v="41"/>
  </r>
  <r>
    <n v="758"/>
    <x v="33"/>
    <x v="0"/>
    <x v="1"/>
    <n v="23"/>
    <x v="0"/>
    <x v="5"/>
    <x v="0"/>
    <n v="8.2000000000000011"/>
    <n v="0.2"/>
    <n v="0.2273"/>
    <n v="0.47"/>
    <n v="0.1045"/>
    <n v="4"/>
    <n v="34"/>
    <n v="38"/>
  </r>
  <r>
    <n v="759"/>
    <x v="34"/>
    <x v="0"/>
    <x v="1"/>
    <n v="0"/>
    <x v="0"/>
    <x v="6"/>
    <x v="1"/>
    <n v="8.2000000000000011"/>
    <n v="0.2"/>
    <n v="0.2576"/>
    <n v="0.44"/>
    <n v="0"/>
    <n v="3"/>
    <n v="10"/>
    <n v="13"/>
  </r>
  <r>
    <n v="760"/>
    <x v="34"/>
    <x v="0"/>
    <x v="1"/>
    <n v="1"/>
    <x v="0"/>
    <x v="6"/>
    <x v="1"/>
    <n v="6.5600000000000005"/>
    <n v="0.16"/>
    <n v="0.2273"/>
    <n v="0.59"/>
    <n v="0"/>
    <n v="0"/>
    <n v="7"/>
    <n v="7"/>
  </r>
  <r>
    <n v="761"/>
    <x v="34"/>
    <x v="0"/>
    <x v="1"/>
    <n v="2"/>
    <x v="0"/>
    <x v="6"/>
    <x v="1"/>
    <n v="5.74"/>
    <n v="0.14000000000000001"/>
    <n v="0.16669999999999999"/>
    <n v="0.63"/>
    <n v="0.1045"/>
    <n v="0"/>
    <n v="1"/>
    <n v="1"/>
  </r>
  <r>
    <n v="762"/>
    <x v="34"/>
    <x v="0"/>
    <x v="1"/>
    <n v="3"/>
    <x v="0"/>
    <x v="6"/>
    <x v="1"/>
    <n v="5.74"/>
    <n v="0.14000000000000001"/>
    <n v="0.16669999999999999"/>
    <n v="0.63"/>
    <n v="0.1045"/>
    <n v="0"/>
    <n v="1"/>
    <n v="1"/>
  </r>
  <r>
    <n v="763"/>
    <x v="34"/>
    <x v="0"/>
    <x v="1"/>
    <n v="5"/>
    <x v="0"/>
    <x v="6"/>
    <x v="1"/>
    <n v="5.74"/>
    <n v="0.14000000000000001"/>
    <n v="0.1515"/>
    <n v="0.63"/>
    <n v="0.1343"/>
    <n v="0"/>
    <n v="7"/>
    <n v="7"/>
  </r>
  <r>
    <n v="764"/>
    <x v="34"/>
    <x v="0"/>
    <x v="1"/>
    <n v="6"/>
    <x v="0"/>
    <x v="6"/>
    <x v="1"/>
    <n v="6.5600000000000005"/>
    <n v="0.16"/>
    <n v="0.2273"/>
    <n v="0.55000000000000004"/>
    <n v="0"/>
    <n v="2"/>
    <n v="26"/>
    <n v="28"/>
  </r>
  <r>
    <n v="765"/>
    <x v="34"/>
    <x v="0"/>
    <x v="1"/>
    <n v="7"/>
    <x v="0"/>
    <x v="6"/>
    <x v="0"/>
    <n v="5.74"/>
    <n v="0.14000000000000001"/>
    <n v="0.21210000000000001"/>
    <n v="0.59"/>
    <n v="0"/>
    <n v="0"/>
    <n v="87"/>
    <n v="87"/>
  </r>
  <r>
    <n v="766"/>
    <x v="34"/>
    <x v="0"/>
    <x v="1"/>
    <n v="8"/>
    <x v="0"/>
    <x v="6"/>
    <x v="0"/>
    <n v="5.74"/>
    <n v="0.14000000000000001"/>
    <n v="0.1515"/>
    <n v="0.74"/>
    <n v="0.1343"/>
    <n v="3"/>
    <n v="217"/>
    <n v="220"/>
  </r>
  <r>
    <n v="767"/>
    <x v="34"/>
    <x v="0"/>
    <x v="1"/>
    <n v="9"/>
    <x v="0"/>
    <x v="6"/>
    <x v="1"/>
    <n v="6.5600000000000005"/>
    <n v="0.16"/>
    <n v="0.18179999999999999"/>
    <n v="0.8"/>
    <n v="0.1343"/>
    <n v="3"/>
    <n v="124"/>
    <n v="127"/>
  </r>
  <r>
    <n v="768"/>
    <x v="34"/>
    <x v="0"/>
    <x v="1"/>
    <n v="10"/>
    <x v="0"/>
    <x v="6"/>
    <x v="1"/>
    <n v="8.2000000000000011"/>
    <n v="0.2"/>
    <n v="0.21210000000000001"/>
    <n v="0.51"/>
    <n v="0.1343"/>
    <n v="5"/>
    <n v="46"/>
    <n v="51"/>
  </r>
  <r>
    <n v="769"/>
    <x v="34"/>
    <x v="0"/>
    <x v="1"/>
    <n v="11"/>
    <x v="0"/>
    <x v="6"/>
    <x v="0"/>
    <n v="9.02"/>
    <n v="0.22"/>
    <n v="0.2273"/>
    <n v="0.51"/>
    <n v="0.16420000000000001"/>
    <n v="3"/>
    <n v="61"/>
    <n v="64"/>
  </r>
  <r>
    <n v="770"/>
    <x v="34"/>
    <x v="0"/>
    <x v="1"/>
    <n v="12"/>
    <x v="0"/>
    <x v="6"/>
    <x v="1"/>
    <n v="9.84"/>
    <n v="0.24"/>
    <n v="0.2424"/>
    <n v="0.48"/>
    <n v="0.16420000000000001"/>
    <n v="8"/>
    <n v="78"/>
    <n v="86"/>
  </r>
  <r>
    <n v="771"/>
    <x v="34"/>
    <x v="0"/>
    <x v="1"/>
    <n v="13"/>
    <x v="0"/>
    <x v="6"/>
    <x v="1"/>
    <n v="10.66"/>
    <n v="0.26"/>
    <n v="0.2576"/>
    <n v="0.5"/>
    <n v="0.22389999999999999"/>
    <n v="9"/>
    <n v="73"/>
    <n v="82"/>
  </r>
  <r>
    <n v="772"/>
    <x v="34"/>
    <x v="0"/>
    <x v="1"/>
    <n v="14"/>
    <x v="0"/>
    <x v="6"/>
    <x v="1"/>
    <n v="11.48"/>
    <n v="0.28000000000000003"/>
    <n v="0.2727"/>
    <n v="0.45"/>
    <n v="0.16420000000000001"/>
    <n v="15"/>
    <n v="76"/>
    <n v="91"/>
  </r>
  <r>
    <n v="773"/>
    <x v="34"/>
    <x v="0"/>
    <x v="1"/>
    <n v="15"/>
    <x v="0"/>
    <x v="6"/>
    <x v="1"/>
    <n v="11.48"/>
    <n v="0.28000000000000003"/>
    <n v="0.2727"/>
    <n v="0.48"/>
    <n v="0.25369999999999998"/>
    <n v="9"/>
    <n v="81"/>
    <n v="90"/>
  </r>
  <r>
    <n v="774"/>
    <x v="34"/>
    <x v="0"/>
    <x v="1"/>
    <n v="16"/>
    <x v="0"/>
    <x v="6"/>
    <x v="1"/>
    <n v="12.299999999999999"/>
    <n v="0.3"/>
    <n v="0.28789999999999999"/>
    <n v="0.42"/>
    <n v="0.22389999999999999"/>
    <n v="8"/>
    <n v="91"/>
    <n v="99"/>
  </r>
  <r>
    <n v="775"/>
    <x v="34"/>
    <x v="0"/>
    <x v="1"/>
    <n v="17"/>
    <x v="0"/>
    <x v="6"/>
    <x v="1"/>
    <n v="10.66"/>
    <n v="0.26"/>
    <n v="0.2727"/>
    <n v="0.56000000000000005"/>
    <n v="0.1343"/>
    <n v="10"/>
    <n v="195"/>
    <n v="205"/>
  </r>
  <r>
    <n v="776"/>
    <x v="34"/>
    <x v="0"/>
    <x v="1"/>
    <n v="18"/>
    <x v="0"/>
    <x v="6"/>
    <x v="1"/>
    <n v="9.84"/>
    <n v="0.24"/>
    <n v="0.2576"/>
    <n v="0.6"/>
    <n v="0.1045"/>
    <n v="3"/>
    <n v="152"/>
    <n v="155"/>
  </r>
  <r>
    <n v="777"/>
    <x v="34"/>
    <x v="0"/>
    <x v="1"/>
    <n v="19"/>
    <x v="0"/>
    <x v="6"/>
    <x v="1"/>
    <n v="9.84"/>
    <n v="0.24"/>
    <n v="0.2424"/>
    <n v="0.65"/>
    <n v="0.1343"/>
    <n v="1"/>
    <n v="102"/>
    <n v="103"/>
  </r>
  <r>
    <n v="778"/>
    <x v="34"/>
    <x v="0"/>
    <x v="1"/>
    <n v="20"/>
    <x v="0"/>
    <x v="6"/>
    <x v="1"/>
    <n v="9.84"/>
    <n v="0.24"/>
    <n v="0.2424"/>
    <n v="0.65"/>
    <n v="0.16420000000000001"/>
    <n v="2"/>
    <n v="69"/>
    <n v="71"/>
  </r>
  <r>
    <n v="779"/>
    <x v="34"/>
    <x v="0"/>
    <x v="1"/>
    <n v="21"/>
    <x v="0"/>
    <x v="6"/>
    <x v="1"/>
    <n v="9.84"/>
    <n v="0.24"/>
    <n v="0.2424"/>
    <n v="0.7"/>
    <n v="0.16420000000000001"/>
    <n v="2"/>
    <n v="41"/>
    <n v="43"/>
  </r>
  <r>
    <n v="780"/>
    <x v="34"/>
    <x v="0"/>
    <x v="1"/>
    <n v="22"/>
    <x v="0"/>
    <x v="6"/>
    <x v="1"/>
    <n v="9.84"/>
    <n v="0.24"/>
    <n v="0.2424"/>
    <n v="0.65"/>
    <n v="0.16420000000000001"/>
    <n v="1"/>
    <n v="45"/>
    <n v="46"/>
  </r>
  <r>
    <n v="781"/>
    <x v="34"/>
    <x v="0"/>
    <x v="1"/>
    <n v="23"/>
    <x v="0"/>
    <x v="6"/>
    <x v="1"/>
    <n v="9.84"/>
    <n v="0.24"/>
    <n v="0.2424"/>
    <n v="0.7"/>
    <n v="0.1343"/>
    <n v="1"/>
    <n v="30"/>
    <n v="31"/>
  </r>
  <r>
    <n v="782"/>
    <x v="35"/>
    <x v="0"/>
    <x v="1"/>
    <n v="0"/>
    <x v="0"/>
    <x v="0"/>
    <x v="1"/>
    <n v="9.84"/>
    <n v="0.24"/>
    <n v="0.2424"/>
    <n v="0.7"/>
    <n v="0.16420000000000001"/>
    <n v="3"/>
    <n v="36"/>
    <n v="39"/>
  </r>
  <r>
    <n v="783"/>
    <x v="35"/>
    <x v="0"/>
    <x v="1"/>
    <n v="1"/>
    <x v="0"/>
    <x v="0"/>
    <x v="1"/>
    <n v="9.84"/>
    <n v="0.24"/>
    <n v="0.2424"/>
    <n v="0.65"/>
    <n v="0.16420000000000001"/>
    <n v="1"/>
    <n v="17"/>
    <n v="18"/>
  </r>
  <r>
    <n v="784"/>
    <x v="35"/>
    <x v="0"/>
    <x v="1"/>
    <n v="2"/>
    <x v="0"/>
    <x v="0"/>
    <x v="1"/>
    <n v="9.84"/>
    <n v="0.24"/>
    <n v="0.2424"/>
    <n v="0.75"/>
    <n v="0.16420000000000001"/>
    <n v="5"/>
    <n v="12"/>
    <n v="17"/>
  </r>
  <r>
    <n v="785"/>
    <x v="35"/>
    <x v="0"/>
    <x v="1"/>
    <n v="3"/>
    <x v="0"/>
    <x v="0"/>
    <x v="1"/>
    <n v="9.84"/>
    <n v="0.24"/>
    <n v="0.2424"/>
    <n v="0.75"/>
    <n v="0.16420000000000001"/>
    <n v="1"/>
    <n v="10"/>
    <n v="11"/>
  </r>
  <r>
    <n v="786"/>
    <x v="35"/>
    <x v="0"/>
    <x v="1"/>
    <n v="4"/>
    <x v="0"/>
    <x v="0"/>
    <x v="2"/>
    <n v="9.02"/>
    <n v="0.22"/>
    <n v="0.2273"/>
    <n v="0.93"/>
    <n v="0.1343"/>
    <n v="0"/>
    <n v="8"/>
    <n v="8"/>
  </r>
  <r>
    <n v="787"/>
    <x v="35"/>
    <x v="0"/>
    <x v="1"/>
    <n v="5"/>
    <x v="0"/>
    <x v="0"/>
    <x v="2"/>
    <n v="8.2000000000000011"/>
    <n v="0.2"/>
    <n v="0.2273"/>
    <n v="1"/>
    <n v="8.9599999999999999E-2"/>
    <n v="0"/>
    <n v="9"/>
    <n v="9"/>
  </r>
  <r>
    <n v="788"/>
    <x v="35"/>
    <x v="0"/>
    <x v="1"/>
    <n v="6"/>
    <x v="0"/>
    <x v="0"/>
    <x v="2"/>
    <n v="8.2000000000000011"/>
    <n v="0.2"/>
    <n v="0.2576"/>
    <n v="1"/>
    <n v="0"/>
    <n v="0"/>
    <n v="4"/>
    <n v="4"/>
  </r>
  <r>
    <n v="789"/>
    <x v="35"/>
    <x v="0"/>
    <x v="1"/>
    <n v="7"/>
    <x v="0"/>
    <x v="0"/>
    <x v="2"/>
    <n v="9.02"/>
    <n v="0.22"/>
    <n v="0.2576"/>
    <n v="0.93"/>
    <n v="8.9599999999999999E-2"/>
    <n v="0"/>
    <n v="4"/>
    <n v="4"/>
  </r>
  <r>
    <n v="790"/>
    <x v="35"/>
    <x v="0"/>
    <x v="1"/>
    <n v="8"/>
    <x v="0"/>
    <x v="0"/>
    <x v="2"/>
    <n v="8.2000000000000011"/>
    <n v="0.2"/>
    <n v="0.2273"/>
    <n v="1"/>
    <n v="8.9599999999999999E-2"/>
    <n v="0"/>
    <n v="10"/>
    <n v="10"/>
  </r>
  <r>
    <n v="791"/>
    <x v="35"/>
    <x v="0"/>
    <x v="1"/>
    <n v="9"/>
    <x v="0"/>
    <x v="0"/>
    <x v="2"/>
    <n v="8.2000000000000011"/>
    <n v="0.2"/>
    <n v="0.2273"/>
    <n v="1"/>
    <n v="8.9599999999999999E-2"/>
    <n v="3"/>
    <n v="17"/>
    <n v="20"/>
  </r>
  <r>
    <n v="792"/>
    <x v="35"/>
    <x v="0"/>
    <x v="1"/>
    <n v="10"/>
    <x v="0"/>
    <x v="0"/>
    <x v="2"/>
    <n v="8.2000000000000011"/>
    <n v="0.2"/>
    <n v="0.21210000000000001"/>
    <n v="1"/>
    <n v="0.1343"/>
    <n v="3"/>
    <n v="31"/>
    <n v="34"/>
  </r>
  <r>
    <n v="793"/>
    <x v="35"/>
    <x v="0"/>
    <x v="1"/>
    <n v="11"/>
    <x v="0"/>
    <x v="0"/>
    <x v="2"/>
    <n v="9.02"/>
    <n v="0.22"/>
    <n v="0.2273"/>
    <n v="1"/>
    <n v="0.1343"/>
    <n v="1"/>
    <n v="46"/>
    <n v="47"/>
  </r>
  <r>
    <n v="794"/>
    <x v="35"/>
    <x v="0"/>
    <x v="1"/>
    <n v="12"/>
    <x v="0"/>
    <x v="0"/>
    <x v="2"/>
    <n v="9.02"/>
    <n v="0.22"/>
    <n v="0.2273"/>
    <n v="1"/>
    <n v="0.16420000000000001"/>
    <n v="10"/>
    <n v="42"/>
    <n v="52"/>
  </r>
  <r>
    <n v="795"/>
    <x v="35"/>
    <x v="0"/>
    <x v="1"/>
    <n v="13"/>
    <x v="0"/>
    <x v="0"/>
    <x v="2"/>
    <n v="9.02"/>
    <n v="0.22"/>
    <n v="0.2273"/>
    <n v="1"/>
    <n v="0.16420000000000001"/>
    <n v="10"/>
    <n v="62"/>
    <n v="72"/>
  </r>
  <r>
    <n v="796"/>
    <x v="35"/>
    <x v="0"/>
    <x v="1"/>
    <n v="14"/>
    <x v="0"/>
    <x v="0"/>
    <x v="2"/>
    <n v="9.02"/>
    <n v="0.22"/>
    <n v="0.2727"/>
    <n v="1"/>
    <n v="0"/>
    <n v="5"/>
    <n v="50"/>
    <n v="55"/>
  </r>
  <r>
    <n v="797"/>
    <x v="35"/>
    <x v="0"/>
    <x v="1"/>
    <n v="15"/>
    <x v="0"/>
    <x v="0"/>
    <x v="2"/>
    <n v="9.02"/>
    <n v="0.22"/>
    <n v="0.2727"/>
    <n v="1"/>
    <n v="0"/>
    <n v="11"/>
    <n v="49"/>
    <n v="60"/>
  </r>
  <r>
    <n v="798"/>
    <x v="35"/>
    <x v="0"/>
    <x v="1"/>
    <n v="16"/>
    <x v="0"/>
    <x v="0"/>
    <x v="2"/>
    <n v="9.02"/>
    <n v="0.22"/>
    <n v="0.2273"/>
    <n v="1"/>
    <n v="0.1343"/>
    <n v="8"/>
    <n v="63"/>
    <n v="71"/>
  </r>
  <r>
    <n v="799"/>
    <x v="35"/>
    <x v="0"/>
    <x v="1"/>
    <n v="17"/>
    <x v="0"/>
    <x v="0"/>
    <x v="1"/>
    <n v="9.84"/>
    <n v="0.24"/>
    <n v="0.21210000000000001"/>
    <n v="1"/>
    <n v="0.28360000000000002"/>
    <n v="14"/>
    <n v="64"/>
    <n v="78"/>
  </r>
  <r>
    <n v="800"/>
    <x v="35"/>
    <x v="0"/>
    <x v="1"/>
    <n v="18"/>
    <x v="0"/>
    <x v="0"/>
    <x v="1"/>
    <n v="11.48"/>
    <n v="0.28000000000000003"/>
    <n v="0.2424"/>
    <n v="0.93"/>
    <n v="0.44779999999999998"/>
    <n v="2"/>
    <n v="81"/>
    <n v="83"/>
  </r>
  <r>
    <n v="801"/>
    <x v="35"/>
    <x v="0"/>
    <x v="1"/>
    <n v="19"/>
    <x v="0"/>
    <x v="0"/>
    <x v="1"/>
    <n v="11.48"/>
    <n v="0.28000000000000003"/>
    <n v="0.2424"/>
    <n v="0.93"/>
    <n v="0.44779999999999998"/>
    <n v="6"/>
    <n v="78"/>
    <n v="84"/>
  </r>
  <r>
    <n v="802"/>
    <x v="35"/>
    <x v="0"/>
    <x v="1"/>
    <n v="20"/>
    <x v="0"/>
    <x v="0"/>
    <x v="0"/>
    <n v="12.299999999999999"/>
    <n v="0.3"/>
    <n v="0.28789999999999999"/>
    <n v="0.87"/>
    <n v="0.25369999999999998"/>
    <n v="5"/>
    <n v="64"/>
    <n v="69"/>
  </r>
  <r>
    <n v="803"/>
    <x v="35"/>
    <x v="0"/>
    <x v="1"/>
    <n v="21"/>
    <x v="0"/>
    <x v="0"/>
    <x v="0"/>
    <n v="10.66"/>
    <n v="0.26"/>
    <n v="0.2576"/>
    <n v="1"/>
    <n v="0.19400000000000001"/>
    <n v="3"/>
    <n v="53"/>
    <n v="56"/>
  </r>
  <r>
    <n v="804"/>
    <x v="35"/>
    <x v="0"/>
    <x v="1"/>
    <n v="22"/>
    <x v="0"/>
    <x v="0"/>
    <x v="0"/>
    <n v="10.66"/>
    <n v="0.26"/>
    <n v="0.2727"/>
    <n v="0.93"/>
    <n v="0.1343"/>
    <n v="2"/>
    <n v="43"/>
    <n v="45"/>
  </r>
  <r>
    <n v="805"/>
    <x v="35"/>
    <x v="0"/>
    <x v="1"/>
    <n v="23"/>
    <x v="0"/>
    <x v="0"/>
    <x v="0"/>
    <n v="10.66"/>
    <n v="0.26"/>
    <n v="0.2576"/>
    <n v="0.93"/>
    <n v="0.22389999999999999"/>
    <n v="7"/>
    <n v="52"/>
    <n v="59"/>
  </r>
  <r>
    <n v="806"/>
    <x v="36"/>
    <x v="0"/>
    <x v="1"/>
    <n v="0"/>
    <x v="0"/>
    <x v="1"/>
    <x v="0"/>
    <n v="10.66"/>
    <n v="0.26"/>
    <n v="0.2576"/>
    <n v="0.7"/>
    <n v="0.19400000000000001"/>
    <n v="2"/>
    <n v="37"/>
    <n v="39"/>
  </r>
  <r>
    <n v="807"/>
    <x v="36"/>
    <x v="0"/>
    <x v="1"/>
    <n v="1"/>
    <x v="0"/>
    <x v="1"/>
    <x v="0"/>
    <n v="10.66"/>
    <n v="0.26"/>
    <n v="0.2273"/>
    <n v="0.65"/>
    <n v="0.41789999999999999"/>
    <n v="4"/>
    <n v="40"/>
    <n v="44"/>
  </r>
  <r>
    <n v="808"/>
    <x v="36"/>
    <x v="0"/>
    <x v="1"/>
    <n v="2"/>
    <x v="0"/>
    <x v="1"/>
    <x v="0"/>
    <n v="10.66"/>
    <n v="0.26"/>
    <n v="0.2273"/>
    <n v="0.6"/>
    <n v="0.32840000000000003"/>
    <n v="0"/>
    <n v="20"/>
    <n v="20"/>
  </r>
  <r>
    <n v="809"/>
    <x v="36"/>
    <x v="0"/>
    <x v="1"/>
    <n v="3"/>
    <x v="0"/>
    <x v="1"/>
    <x v="0"/>
    <n v="10.66"/>
    <n v="0.26"/>
    <n v="0.28789999999999999"/>
    <n v="0.6"/>
    <n v="8.9599999999999999E-2"/>
    <n v="3"/>
    <n v="10"/>
    <n v="13"/>
  </r>
  <r>
    <n v="810"/>
    <x v="36"/>
    <x v="0"/>
    <x v="1"/>
    <n v="4"/>
    <x v="0"/>
    <x v="1"/>
    <x v="0"/>
    <n v="10.66"/>
    <n v="0.26"/>
    <n v="0.2273"/>
    <n v="0.6"/>
    <n v="0.35820000000000002"/>
    <n v="0"/>
    <n v="2"/>
    <n v="2"/>
  </r>
  <r>
    <n v="811"/>
    <x v="36"/>
    <x v="0"/>
    <x v="1"/>
    <n v="5"/>
    <x v="0"/>
    <x v="1"/>
    <x v="0"/>
    <n v="10.66"/>
    <n v="0.26"/>
    <n v="0.2576"/>
    <n v="0.6"/>
    <n v="0.22389999999999999"/>
    <n v="0"/>
    <n v="1"/>
    <n v="1"/>
  </r>
  <r>
    <n v="812"/>
    <x v="36"/>
    <x v="0"/>
    <x v="1"/>
    <n v="6"/>
    <x v="0"/>
    <x v="1"/>
    <x v="0"/>
    <n v="10.66"/>
    <n v="0.26"/>
    <n v="0.2576"/>
    <n v="0.6"/>
    <n v="0.22389999999999999"/>
    <n v="0"/>
    <n v="1"/>
    <n v="1"/>
  </r>
  <r>
    <n v="813"/>
    <x v="36"/>
    <x v="0"/>
    <x v="1"/>
    <n v="7"/>
    <x v="0"/>
    <x v="1"/>
    <x v="0"/>
    <n v="9.84"/>
    <n v="0.24"/>
    <n v="0.2424"/>
    <n v="0.65"/>
    <n v="0.16420000000000001"/>
    <n v="0"/>
    <n v="8"/>
    <n v="8"/>
  </r>
  <r>
    <n v="814"/>
    <x v="36"/>
    <x v="0"/>
    <x v="1"/>
    <n v="8"/>
    <x v="0"/>
    <x v="1"/>
    <x v="0"/>
    <n v="9.84"/>
    <n v="0.24"/>
    <n v="0.2576"/>
    <n v="0.65"/>
    <n v="0.1045"/>
    <n v="2"/>
    <n v="21"/>
    <n v="23"/>
  </r>
  <r>
    <n v="815"/>
    <x v="36"/>
    <x v="0"/>
    <x v="1"/>
    <n v="9"/>
    <x v="0"/>
    <x v="1"/>
    <x v="0"/>
    <n v="11.48"/>
    <n v="0.28000000000000003"/>
    <n v="0.28789999999999999"/>
    <n v="0.56000000000000005"/>
    <n v="0.1045"/>
    <n v="7"/>
    <n v="38"/>
    <n v="45"/>
  </r>
  <r>
    <n v="816"/>
    <x v="36"/>
    <x v="0"/>
    <x v="1"/>
    <n v="10"/>
    <x v="0"/>
    <x v="1"/>
    <x v="0"/>
    <n v="12.299999999999999"/>
    <n v="0.3"/>
    <n v="0.28789999999999999"/>
    <n v="0.52"/>
    <n v="0.25369999999999998"/>
    <n v="15"/>
    <n v="74"/>
    <n v="89"/>
  </r>
  <r>
    <n v="817"/>
    <x v="36"/>
    <x v="0"/>
    <x v="1"/>
    <n v="11"/>
    <x v="0"/>
    <x v="1"/>
    <x v="0"/>
    <n v="13.120000000000001"/>
    <n v="0.32"/>
    <n v="0.30299999999999999"/>
    <n v="0.49"/>
    <n v="0.25369999999999998"/>
    <n v="28"/>
    <n v="89"/>
    <n v="117"/>
  </r>
  <r>
    <n v="818"/>
    <x v="36"/>
    <x v="0"/>
    <x v="1"/>
    <n v="12"/>
    <x v="0"/>
    <x v="1"/>
    <x v="0"/>
    <n v="13.940000000000001"/>
    <n v="0.34"/>
    <n v="0.33329999999999999"/>
    <n v="0.46"/>
    <n v="0"/>
    <n v="48"/>
    <n v="126"/>
    <n v="174"/>
  </r>
  <r>
    <n v="819"/>
    <x v="36"/>
    <x v="0"/>
    <x v="1"/>
    <n v="13"/>
    <x v="0"/>
    <x v="1"/>
    <x v="0"/>
    <n v="13.940000000000001"/>
    <n v="0.34"/>
    <n v="0.36359999999999998"/>
    <n v="0.46"/>
    <n v="0"/>
    <n v="47"/>
    <n v="135"/>
    <n v="182"/>
  </r>
  <r>
    <n v="820"/>
    <x v="36"/>
    <x v="0"/>
    <x v="1"/>
    <n v="14"/>
    <x v="0"/>
    <x v="1"/>
    <x v="0"/>
    <n v="13.940000000000001"/>
    <n v="0.34"/>
    <n v="0.34849999999999998"/>
    <n v="0.46"/>
    <n v="8.9599999999999999E-2"/>
    <n v="47"/>
    <n v="114"/>
    <n v="161"/>
  </r>
  <r>
    <n v="821"/>
    <x v="36"/>
    <x v="0"/>
    <x v="1"/>
    <n v="15"/>
    <x v="0"/>
    <x v="1"/>
    <x v="0"/>
    <n v="13.940000000000001"/>
    <n v="0.34"/>
    <n v="0.34849999999999998"/>
    <n v="0.46"/>
    <n v="8.9599999999999999E-2"/>
    <n v="52"/>
    <n v="130"/>
    <n v="182"/>
  </r>
  <r>
    <n v="822"/>
    <x v="36"/>
    <x v="0"/>
    <x v="1"/>
    <n v="16"/>
    <x v="0"/>
    <x v="1"/>
    <x v="0"/>
    <n v="13.940000000000001"/>
    <n v="0.34"/>
    <n v="0.34849999999999998"/>
    <n v="0.49"/>
    <n v="0.1045"/>
    <n v="42"/>
    <n v="115"/>
    <n v="157"/>
  </r>
  <r>
    <n v="823"/>
    <x v="36"/>
    <x v="0"/>
    <x v="1"/>
    <n v="17"/>
    <x v="0"/>
    <x v="1"/>
    <x v="0"/>
    <n v="13.940000000000001"/>
    <n v="0.34"/>
    <n v="0.36359999999999998"/>
    <n v="0.46"/>
    <n v="0"/>
    <n v="24"/>
    <n v="97"/>
    <n v="121"/>
  </r>
  <r>
    <n v="824"/>
    <x v="36"/>
    <x v="0"/>
    <x v="1"/>
    <n v="18"/>
    <x v="0"/>
    <x v="1"/>
    <x v="0"/>
    <n v="12.299999999999999"/>
    <n v="0.3"/>
    <n v="0.30299999999999999"/>
    <n v="0.56000000000000005"/>
    <n v="0.16420000000000001"/>
    <n v="13"/>
    <n v="65"/>
    <n v="78"/>
  </r>
  <r>
    <n v="825"/>
    <x v="36"/>
    <x v="0"/>
    <x v="1"/>
    <n v="19"/>
    <x v="0"/>
    <x v="1"/>
    <x v="0"/>
    <n v="11.48"/>
    <n v="0.28000000000000003"/>
    <n v="0.28789999999999999"/>
    <n v="0.61"/>
    <n v="0.1343"/>
    <n v="1"/>
    <n v="20"/>
    <n v="21"/>
  </r>
  <r>
    <n v="826"/>
    <x v="36"/>
    <x v="0"/>
    <x v="1"/>
    <n v="20"/>
    <x v="0"/>
    <x v="1"/>
    <x v="0"/>
    <n v="11.48"/>
    <n v="0.28000000000000003"/>
    <n v="0.28789999999999999"/>
    <n v="0.61"/>
    <n v="0.1045"/>
    <n v="5"/>
    <n v="21"/>
    <n v="26"/>
  </r>
  <r>
    <n v="827"/>
    <x v="36"/>
    <x v="0"/>
    <x v="1"/>
    <n v="21"/>
    <x v="0"/>
    <x v="1"/>
    <x v="0"/>
    <n v="10.66"/>
    <n v="0.26"/>
    <n v="0.30299999999999999"/>
    <n v="0.6"/>
    <n v="0"/>
    <n v="5"/>
    <n v="22"/>
    <n v="27"/>
  </r>
  <r>
    <n v="828"/>
    <x v="36"/>
    <x v="0"/>
    <x v="1"/>
    <n v="22"/>
    <x v="0"/>
    <x v="1"/>
    <x v="0"/>
    <n v="10.66"/>
    <n v="0.26"/>
    <n v="0.30299999999999999"/>
    <n v="0.6"/>
    <n v="0"/>
    <n v="5"/>
    <n v="57"/>
    <n v="62"/>
  </r>
  <r>
    <n v="829"/>
    <x v="36"/>
    <x v="0"/>
    <x v="1"/>
    <n v="23"/>
    <x v="0"/>
    <x v="1"/>
    <x v="0"/>
    <n v="9.84"/>
    <n v="0.24"/>
    <n v="0.28789999999999999"/>
    <n v="0.65"/>
    <n v="0"/>
    <n v="4"/>
    <n v="26"/>
    <n v="30"/>
  </r>
  <r>
    <n v="830"/>
    <x v="37"/>
    <x v="0"/>
    <x v="1"/>
    <n v="0"/>
    <x v="0"/>
    <x v="2"/>
    <x v="0"/>
    <n v="9.84"/>
    <n v="0.24"/>
    <n v="0.28789999999999999"/>
    <n v="0.65"/>
    <n v="0"/>
    <n v="1"/>
    <n v="14"/>
    <n v="15"/>
  </r>
  <r>
    <n v="831"/>
    <x v="37"/>
    <x v="0"/>
    <x v="1"/>
    <n v="1"/>
    <x v="0"/>
    <x v="2"/>
    <x v="0"/>
    <n v="9.02"/>
    <n v="0.22"/>
    <n v="0.2727"/>
    <n v="0.75"/>
    <n v="0"/>
    <n v="1"/>
    <n v="4"/>
    <n v="5"/>
  </r>
  <r>
    <n v="832"/>
    <x v="37"/>
    <x v="0"/>
    <x v="1"/>
    <n v="2"/>
    <x v="0"/>
    <x v="2"/>
    <x v="0"/>
    <n v="8.2000000000000011"/>
    <n v="0.2"/>
    <n v="0.2576"/>
    <n v="0.8"/>
    <n v="0"/>
    <n v="0"/>
    <n v="3"/>
    <n v="3"/>
  </r>
  <r>
    <n v="833"/>
    <x v="37"/>
    <x v="0"/>
    <x v="1"/>
    <n v="3"/>
    <x v="0"/>
    <x v="2"/>
    <x v="0"/>
    <n v="8.2000000000000011"/>
    <n v="0.2"/>
    <n v="0.2576"/>
    <n v="0.86"/>
    <n v="0"/>
    <n v="0"/>
    <n v="1"/>
    <n v="1"/>
  </r>
  <r>
    <n v="834"/>
    <x v="37"/>
    <x v="0"/>
    <x v="1"/>
    <n v="4"/>
    <x v="0"/>
    <x v="2"/>
    <x v="0"/>
    <n v="8.2000000000000011"/>
    <n v="0.2"/>
    <n v="0.2576"/>
    <n v="0.86"/>
    <n v="0"/>
    <n v="1"/>
    <n v="1"/>
    <n v="2"/>
  </r>
  <r>
    <n v="835"/>
    <x v="37"/>
    <x v="0"/>
    <x v="1"/>
    <n v="5"/>
    <x v="0"/>
    <x v="2"/>
    <x v="0"/>
    <n v="8.2000000000000011"/>
    <n v="0.2"/>
    <n v="0.2576"/>
    <n v="0.86"/>
    <n v="0"/>
    <n v="1"/>
    <n v="9"/>
    <n v="10"/>
  </r>
  <r>
    <n v="836"/>
    <x v="37"/>
    <x v="0"/>
    <x v="1"/>
    <n v="6"/>
    <x v="0"/>
    <x v="2"/>
    <x v="0"/>
    <n v="7.38"/>
    <n v="0.18"/>
    <n v="0.2424"/>
    <n v="0.93"/>
    <n v="0"/>
    <n v="1"/>
    <n v="29"/>
    <n v="30"/>
  </r>
  <r>
    <n v="837"/>
    <x v="37"/>
    <x v="0"/>
    <x v="1"/>
    <n v="7"/>
    <x v="0"/>
    <x v="2"/>
    <x v="0"/>
    <n v="7.38"/>
    <n v="0.18"/>
    <n v="0.2424"/>
    <n v="0.86"/>
    <n v="0"/>
    <n v="6"/>
    <n v="89"/>
    <n v="95"/>
  </r>
  <r>
    <n v="838"/>
    <x v="37"/>
    <x v="0"/>
    <x v="1"/>
    <n v="8"/>
    <x v="0"/>
    <x v="2"/>
    <x v="1"/>
    <n v="6.5600000000000005"/>
    <n v="0.16"/>
    <n v="0.2273"/>
    <n v="1"/>
    <n v="0"/>
    <n v="7"/>
    <n v="223"/>
    <n v="230"/>
  </r>
  <r>
    <n v="839"/>
    <x v="37"/>
    <x v="0"/>
    <x v="1"/>
    <n v="9"/>
    <x v="0"/>
    <x v="2"/>
    <x v="0"/>
    <n v="9.02"/>
    <n v="0.22"/>
    <n v="0.2727"/>
    <n v="0.8"/>
    <n v="0"/>
    <n v="3"/>
    <n v="115"/>
    <n v="118"/>
  </r>
  <r>
    <n v="840"/>
    <x v="37"/>
    <x v="0"/>
    <x v="1"/>
    <n v="10"/>
    <x v="0"/>
    <x v="2"/>
    <x v="0"/>
    <n v="9.84"/>
    <n v="0.24"/>
    <n v="0.2576"/>
    <n v="0.75"/>
    <n v="0.1045"/>
    <n v="6"/>
    <n v="49"/>
    <n v="55"/>
  </r>
  <r>
    <n v="841"/>
    <x v="37"/>
    <x v="0"/>
    <x v="1"/>
    <n v="11"/>
    <x v="0"/>
    <x v="2"/>
    <x v="0"/>
    <n v="12.299999999999999"/>
    <n v="0.3"/>
    <n v="0.31819999999999998"/>
    <n v="0.65"/>
    <n v="8.9599999999999999E-2"/>
    <n v="11"/>
    <n v="36"/>
    <n v="47"/>
  </r>
  <r>
    <n v="842"/>
    <x v="37"/>
    <x v="0"/>
    <x v="1"/>
    <n v="12"/>
    <x v="0"/>
    <x v="2"/>
    <x v="1"/>
    <n v="13.120000000000001"/>
    <n v="0.32"/>
    <n v="0.34849999999999998"/>
    <n v="0.62"/>
    <n v="0"/>
    <n v="7"/>
    <n v="59"/>
    <n v="66"/>
  </r>
  <r>
    <n v="843"/>
    <x v="37"/>
    <x v="0"/>
    <x v="1"/>
    <n v="13"/>
    <x v="0"/>
    <x v="2"/>
    <x v="1"/>
    <n v="14.76"/>
    <n v="0.36"/>
    <n v="0.36359999999999998"/>
    <n v="0.56999999999999995"/>
    <n v="8.9599999999999999E-2"/>
    <n v="10"/>
    <n v="54"/>
    <n v="64"/>
  </r>
  <r>
    <n v="844"/>
    <x v="37"/>
    <x v="0"/>
    <x v="1"/>
    <n v="14"/>
    <x v="0"/>
    <x v="2"/>
    <x v="1"/>
    <n v="14.76"/>
    <n v="0.36"/>
    <n v="0.36359999999999998"/>
    <n v="0.56999999999999995"/>
    <n v="8.9599999999999999E-2"/>
    <n v="8"/>
    <n v="52"/>
    <n v="60"/>
  </r>
  <r>
    <n v="845"/>
    <x v="37"/>
    <x v="0"/>
    <x v="1"/>
    <n v="15"/>
    <x v="0"/>
    <x v="2"/>
    <x v="1"/>
    <n v="15.58"/>
    <n v="0.38"/>
    <n v="0.39389999999999997"/>
    <n v="0.54"/>
    <n v="8.9599999999999999E-2"/>
    <n v="4"/>
    <n v="46"/>
    <n v="50"/>
  </r>
  <r>
    <n v="846"/>
    <x v="37"/>
    <x v="0"/>
    <x v="1"/>
    <n v="16"/>
    <x v="0"/>
    <x v="2"/>
    <x v="1"/>
    <n v="14.76"/>
    <n v="0.36"/>
    <n v="0.34849999999999998"/>
    <n v="0.56999999999999995"/>
    <n v="0.1343"/>
    <n v="16"/>
    <n v="98"/>
    <n v="114"/>
  </r>
  <r>
    <n v="847"/>
    <x v="37"/>
    <x v="0"/>
    <x v="1"/>
    <n v="17"/>
    <x v="0"/>
    <x v="2"/>
    <x v="1"/>
    <n v="13.120000000000001"/>
    <n v="0.32"/>
    <n v="0.31819999999999998"/>
    <n v="0.7"/>
    <n v="0.16420000000000001"/>
    <n v="9"/>
    <n v="207"/>
    <n v="216"/>
  </r>
  <r>
    <n v="848"/>
    <x v="37"/>
    <x v="0"/>
    <x v="1"/>
    <n v="18"/>
    <x v="0"/>
    <x v="2"/>
    <x v="1"/>
    <n v="13.940000000000001"/>
    <n v="0.34"/>
    <n v="0.33329999999999999"/>
    <n v="0.66"/>
    <n v="0.1343"/>
    <n v="5"/>
    <n v="170"/>
    <n v="175"/>
  </r>
  <r>
    <n v="849"/>
    <x v="37"/>
    <x v="0"/>
    <x v="1"/>
    <n v="19"/>
    <x v="0"/>
    <x v="2"/>
    <x v="1"/>
    <n v="13.120000000000001"/>
    <n v="0.32"/>
    <n v="0.34849999999999998"/>
    <n v="0.7"/>
    <n v="0"/>
    <n v="5"/>
    <n v="123"/>
    <n v="128"/>
  </r>
  <r>
    <n v="850"/>
    <x v="37"/>
    <x v="0"/>
    <x v="1"/>
    <n v="20"/>
    <x v="0"/>
    <x v="2"/>
    <x v="1"/>
    <n v="13.120000000000001"/>
    <n v="0.32"/>
    <n v="0.33329999999999999"/>
    <n v="0.7"/>
    <n v="0.1045"/>
    <n v="6"/>
    <n v="82"/>
    <n v="88"/>
  </r>
  <r>
    <n v="851"/>
    <x v="37"/>
    <x v="0"/>
    <x v="1"/>
    <n v="21"/>
    <x v="0"/>
    <x v="2"/>
    <x v="0"/>
    <n v="13.120000000000001"/>
    <n v="0.32"/>
    <n v="0.34849999999999998"/>
    <n v="0.7"/>
    <n v="0"/>
    <n v="3"/>
    <n v="75"/>
    <n v="78"/>
  </r>
  <r>
    <n v="852"/>
    <x v="37"/>
    <x v="0"/>
    <x v="1"/>
    <n v="22"/>
    <x v="0"/>
    <x v="2"/>
    <x v="0"/>
    <n v="11.48"/>
    <n v="0.28000000000000003"/>
    <n v="0.30299999999999999"/>
    <n v="0.81"/>
    <n v="8.9599999999999999E-2"/>
    <n v="3"/>
    <n v="34"/>
    <n v="37"/>
  </r>
  <r>
    <n v="853"/>
    <x v="37"/>
    <x v="0"/>
    <x v="1"/>
    <n v="23"/>
    <x v="0"/>
    <x v="2"/>
    <x v="1"/>
    <n v="12.299999999999999"/>
    <n v="0.3"/>
    <n v="0.33329999999999999"/>
    <n v="0.81"/>
    <n v="0"/>
    <n v="6"/>
    <n v="19"/>
    <n v="25"/>
  </r>
  <r>
    <n v="854"/>
    <x v="38"/>
    <x v="0"/>
    <x v="1"/>
    <n v="0"/>
    <x v="0"/>
    <x v="3"/>
    <x v="1"/>
    <n v="11.48"/>
    <n v="0.28000000000000003"/>
    <n v="0.31819999999999998"/>
    <n v="0.87"/>
    <n v="0"/>
    <n v="4"/>
    <n v="6"/>
    <n v="10"/>
  </r>
  <r>
    <n v="855"/>
    <x v="38"/>
    <x v="0"/>
    <x v="1"/>
    <n v="1"/>
    <x v="0"/>
    <x v="3"/>
    <x v="1"/>
    <n v="11.48"/>
    <n v="0.28000000000000003"/>
    <n v="0.31819999999999998"/>
    <n v="0.87"/>
    <n v="0"/>
    <n v="0"/>
    <n v="4"/>
    <n v="4"/>
  </r>
  <r>
    <n v="856"/>
    <x v="38"/>
    <x v="0"/>
    <x v="1"/>
    <n v="2"/>
    <x v="0"/>
    <x v="3"/>
    <x v="1"/>
    <n v="10.66"/>
    <n v="0.26"/>
    <n v="0.2727"/>
    <n v="0.93"/>
    <n v="0.1045"/>
    <n v="1"/>
    <n v="1"/>
    <n v="2"/>
  </r>
  <r>
    <n v="857"/>
    <x v="38"/>
    <x v="0"/>
    <x v="1"/>
    <n v="3"/>
    <x v="0"/>
    <x v="3"/>
    <x v="2"/>
    <n v="11.48"/>
    <n v="0.28000000000000003"/>
    <n v="0.2727"/>
    <n v="0.93"/>
    <n v="0.16420000000000001"/>
    <n v="0"/>
    <n v="1"/>
    <n v="1"/>
  </r>
  <r>
    <n v="858"/>
    <x v="38"/>
    <x v="0"/>
    <x v="1"/>
    <n v="4"/>
    <x v="0"/>
    <x v="3"/>
    <x v="0"/>
    <n v="10.66"/>
    <n v="0.26"/>
    <n v="0.2576"/>
    <n v="0.93"/>
    <n v="0.16420000000000001"/>
    <n v="0"/>
    <n v="3"/>
    <n v="3"/>
  </r>
  <r>
    <n v="859"/>
    <x v="38"/>
    <x v="0"/>
    <x v="1"/>
    <n v="5"/>
    <x v="0"/>
    <x v="3"/>
    <x v="0"/>
    <n v="10.66"/>
    <n v="0.26"/>
    <n v="0.2273"/>
    <n v="0.81"/>
    <n v="0.32840000000000003"/>
    <n v="0"/>
    <n v="2"/>
    <n v="2"/>
  </r>
  <r>
    <n v="860"/>
    <x v="38"/>
    <x v="0"/>
    <x v="1"/>
    <n v="6"/>
    <x v="0"/>
    <x v="3"/>
    <x v="0"/>
    <n v="10.66"/>
    <n v="0.26"/>
    <n v="0.2273"/>
    <n v="0.7"/>
    <n v="0.32840000000000003"/>
    <n v="0"/>
    <n v="39"/>
    <n v="39"/>
  </r>
  <r>
    <n v="861"/>
    <x v="38"/>
    <x v="0"/>
    <x v="1"/>
    <n v="7"/>
    <x v="0"/>
    <x v="3"/>
    <x v="0"/>
    <n v="9.84"/>
    <n v="0.24"/>
    <n v="0.19700000000000001"/>
    <n v="0.65"/>
    <n v="0.41789999999999999"/>
    <n v="3"/>
    <n v="97"/>
    <n v="100"/>
  </r>
  <r>
    <n v="862"/>
    <x v="38"/>
    <x v="0"/>
    <x v="1"/>
    <n v="8"/>
    <x v="0"/>
    <x v="3"/>
    <x v="0"/>
    <n v="9.84"/>
    <n v="0.24"/>
    <n v="0.19700000000000001"/>
    <n v="0.56000000000000005"/>
    <n v="0.49249999999999999"/>
    <n v="7"/>
    <n v="236"/>
    <n v="243"/>
  </r>
  <r>
    <n v="863"/>
    <x v="38"/>
    <x v="0"/>
    <x v="1"/>
    <n v="9"/>
    <x v="0"/>
    <x v="3"/>
    <x v="0"/>
    <n v="9.84"/>
    <n v="0.24"/>
    <n v="0.19700000000000001"/>
    <n v="0.52"/>
    <n v="0.49249999999999999"/>
    <n v="7"/>
    <n v="128"/>
    <n v="135"/>
  </r>
  <r>
    <n v="864"/>
    <x v="38"/>
    <x v="0"/>
    <x v="1"/>
    <n v="10"/>
    <x v="0"/>
    <x v="3"/>
    <x v="0"/>
    <n v="9.02"/>
    <n v="0.22"/>
    <n v="0.18179999999999999"/>
    <n v="0.47"/>
    <n v="0.55220000000000002"/>
    <n v="4"/>
    <n v="44"/>
    <n v="48"/>
  </r>
  <r>
    <n v="865"/>
    <x v="38"/>
    <x v="0"/>
    <x v="1"/>
    <n v="11"/>
    <x v="0"/>
    <x v="3"/>
    <x v="0"/>
    <n v="9.02"/>
    <n v="0.22"/>
    <n v="0.18179999999999999"/>
    <n v="0.47"/>
    <n v="0.4627"/>
    <n v="1"/>
    <n v="49"/>
    <n v="50"/>
  </r>
  <r>
    <n v="866"/>
    <x v="38"/>
    <x v="0"/>
    <x v="1"/>
    <n v="12"/>
    <x v="0"/>
    <x v="3"/>
    <x v="0"/>
    <n v="9.84"/>
    <n v="0.24"/>
    <n v="0.19700000000000001"/>
    <n v="0.38"/>
    <n v="0.49249999999999999"/>
    <n v="2"/>
    <n v="63"/>
    <n v="65"/>
  </r>
  <r>
    <n v="867"/>
    <x v="38"/>
    <x v="0"/>
    <x v="1"/>
    <n v="13"/>
    <x v="0"/>
    <x v="3"/>
    <x v="1"/>
    <n v="9.84"/>
    <n v="0.24"/>
    <n v="0.19700000000000001"/>
    <n v="0.32"/>
    <n v="0.44779999999999998"/>
    <n v="2"/>
    <n v="48"/>
    <n v="50"/>
  </r>
  <r>
    <n v="868"/>
    <x v="38"/>
    <x v="0"/>
    <x v="1"/>
    <n v="14"/>
    <x v="0"/>
    <x v="3"/>
    <x v="0"/>
    <n v="9.02"/>
    <n v="0.22"/>
    <n v="0.19700000000000001"/>
    <n v="0.37"/>
    <n v="0.41789999999999999"/>
    <n v="3"/>
    <n v="61"/>
    <n v="64"/>
  </r>
  <r>
    <n v="869"/>
    <x v="38"/>
    <x v="0"/>
    <x v="1"/>
    <n v="15"/>
    <x v="0"/>
    <x v="3"/>
    <x v="0"/>
    <n v="9.02"/>
    <n v="0.22"/>
    <n v="0.19700000000000001"/>
    <n v="0.35"/>
    <n v="0.3881"/>
    <n v="6"/>
    <n v="45"/>
    <n v="51"/>
  </r>
  <r>
    <n v="870"/>
    <x v="38"/>
    <x v="0"/>
    <x v="1"/>
    <n v="16"/>
    <x v="0"/>
    <x v="3"/>
    <x v="0"/>
    <n v="9.02"/>
    <n v="0.22"/>
    <n v="0.18179999999999999"/>
    <n v="0.35"/>
    <n v="0.52239999999999998"/>
    <n v="4"/>
    <n v="79"/>
    <n v="83"/>
  </r>
  <r>
    <n v="871"/>
    <x v="38"/>
    <x v="0"/>
    <x v="1"/>
    <n v="17"/>
    <x v="0"/>
    <x v="3"/>
    <x v="0"/>
    <n v="9.02"/>
    <n v="0.22"/>
    <n v="0.18179999999999999"/>
    <n v="0.32"/>
    <n v="0.58209999999999995"/>
    <n v="4"/>
    <n v="172"/>
    <n v="176"/>
  </r>
  <r>
    <n v="872"/>
    <x v="38"/>
    <x v="0"/>
    <x v="1"/>
    <n v="18"/>
    <x v="0"/>
    <x v="3"/>
    <x v="0"/>
    <n v="8.2000000000000011"/>
    <n v="0.2"/>
    <n v="0.18179999999999999"/>
    <n v="0.32"/>
    <n v="0.3881"/>
    <n v="1"/>
    <n v="151"/>
    <n v="152"/>
  </r>
  <r>
    <n v="873"/>
    <x v="38"/>
    <x v="0"/>
    <x v="1"/>
    <n v="19"/>
    <x v="0"/>
    <x v="3"/>
    <x v="0"/>
    <n v="6.5600000000000005"/>
    <n v="0.16"/>
    <n v="0.1212"/>
    <n v="0.4"/>
    <n v="0.4627"/>
    <n v="1"/>
    <n v="100"/>
    <n v="101"/>
  </r>
  <r>
    <n v="874"/>
    <x v="38"/>
    <x v="0"/>
    <x v="1"/>
    <n v="20"/>
    <x v="0"/>
    <x v="3"/>
    <x v="0"/>
    <n v="6.5600000000000005"/>
    <n v="0.16"/>
    <n v="0.13639999999999999"/>
    <n v="0.4"/>
    <n v="0.32840000000000003"/>
    <n v="3"/>
    <n v="53"/>
    <n v="56"/>
  </r>
  <r>
    <n v="875"/>
    <x v="38"/>
    <x v="0"/>
    <x v="1"/>
    <n v="21"/>
    <x v="0"/>
    <x v="3"/>
    <x v="0"/>
    <n v="5.74"/>
    <n v="0.14000000000000001"/>
    <n v="0.1061"/>
    <n v="0.33"/>
    <n v="0.4627"/>
    <n v="8"/>
    <n v="46"/>
    <n v="54"/>
  </r>
  <r>
    <n v="876"/>
    <x v="38"/>
    <x v="0"/>
    <x v="1"/>
    <n v="22"/>
    <x v="0"/>
    <x v="3"/>
    <x v="0"/>
    <n v="4.92"/>
    <n v="0.12"/>
    <n v="0.1061"/>
    <n v="0.33"/>
    <n v="0.35820000000000002"/>
    <n v="0"/>
    <n v="29"/>
    <n v="29"/>
  </r>
  <r>
    <n v="877"/>
    <x v="38"/>
    <x v="0"/>
    <x v="1"/>
    <n v="23"/>
    <x v="0"/>
    <x v="3"/>
    <x v="0"/>
    <n v="4.92"/>
    <n v="0.12"/>
    <n v="0.1061"/>
    <n v="0.33"/>
    <n v="0.32840000000000003"/>
    <n v="3"/>
    <n v="9"/>
    <n v="12"/>
  </r>
  <r>
    <n v="878"/>
    <x v="39"/>
    <x v="0"/>
    <x v="1"/>
    <n v="0"/>
    <x v="0"/>
    <x v="4"/>
    <x v="0"/>
    <n v="4.1000000000000005"/>
    <n v="0.1"/>
    <n v="7.5800000000000006E-2"/>
    <n v="0.36"/>
    <n v="0.35820000000000002"/>
    <n v="0"/>
    <n v="17"/>
    <n v="17"/>
  </r>
  <r>
    <n v="879"/>
    <x v="39"/>
    <x v="0"/>
    <x v="1"/>
    <n v="1"/>
    <x v="0"/>
    <x v="4"/>
    <x v="0"/>
    <n v="4.1000000000000005"/>
    <n v="0.1"/>
    <n v="0.1061"/>
    <n v="0.36"/>
    <n v="0.22389999999999999"/>
    <n v="0"/>
    <n v="7"/>
    <n v="7"/>
  </r>
  <r>
    <n v="880"/>
    <x v="39"/>
    <x v="0"/>
    <x v="1"/>
    <n v="2"/>
    <x v="0"/>
    <x v="4"/>
    <x v="0"/>
    <n v="3.2800000000000002"/>
    <n v="0.08"/>
    <n v="7.5800000000000006E-2"/>
    <n v="0.38"/>
    <n v="0.28360000000000002"/>
    <n v="1"/>
    <n v="2"/>
    <n v="3"/>
  </r>
  <r>
    <n v="881"/>
    <x v="39"/>
    <x v="0"/>
    <x v="1"/>
    <n v="3"/>
    <x v="0"/>
    <x v="4"/>
    <x v="0"/>
    <n v="2.46"/>
    <n v="0.06"/>
    <n v="7.5800000000000006E-2"/>
    <n v="0.45"/>
    <n v="0.1343"/>
    <n v="0"/>
    <n v="2"/>
    <n v="2"/>
  </r>
  <r>
    <n v="882"/>
    <x v="39"/>
    <x v="0"/>
    <x v="1"/>
    <n v="5"/>
    <x v="0"/>
    <x v="4"/>
    <x v="0"/>
    <n v="2.46"/>
    <n v="0.06"/>
    <n v="0.1061"/>
    <n v="0.45"/>
    <n v="0.1045"/>
    <n v="0"/>
    <n v="7"/>
    <n v="7"/>
  </r>
  <r>
    <n v="883"/>
    <x v="39"/>
    <x v="0"/>
    <x v="1"/>
    <n v="6"/>
    <x v="0"/>
    <x v="4"/>
    <x v="0"/>
    <n v="2.46"/>
    <n v="0.06"/>
    <n v="0.1515"/>
    <n v="0.45"/>
    <n v="0"/>
    <n v="0"/>
    <n v="43"/>
    <n v="43"/>
  </r>
  <r>
    <n v="884"/>
    <x v="39"/>
    <x v="0"/>
    <x v="1"/>
    <n v="7"/>
    <x v="0"/>
    <x v="4"/>
    <x v="0"/>
    <n v="2.46"/>
    <n v="0.06"/>
    <n v="0.1061"/>
    <n v="0.49"/>
    <n v="0.1045"/>
    <n v="4"/>
    <n v="95"/>
    <n v="99"/>
  </r>
  <r>
    <n v="885"/>
    <x v="39"/>
    <x v="0"/>
    <x v="1"/>
    <n v="8"/>
    <x v="0"/>
    <x v="4"/>
    <x v="0"/>
    <n v="4.1000000000000005"/>
    <n v="0.1"/>
    <n v="0.13639999999999999"/>
    <n v="0.42"/>
    <n v="0"/>
    <n v="1"/>
    <n v="198"/>
    <n v="199"/>
  </r>
  <r>
    <n v="886"/>
    <x v="39"/>
    <x v="0"/>
    <x v="1"/>
    <n v="9"/>
    <x v="0"/>
    <x v="4"/>
    <x v="0"/>
    <n v="4.92"/>
    <n v="0.12"/>
    <n v="0.13639999999999999"/>
    <n v="0.39"/>
    <n v="0.16420000000000001"/>
    <n v="4"/>
    <n v="119"/>
    <n v="123"/>
  </r>
  <r>
    <n v="887"/>
    <x v="39"/>
    <x v="0"/>
    <x v="1"/>
    <n v="10"/>
    <x v="0"/>
    <x v="4"/>
    <x v="0"/>
    <n v="5.74"/>
    <n v="0.14000000000000001"/>
    <n v="0.18179999999999999"/>
    <n v="0.36"/>
    <n v="0"/>
    <n v="8"/>
    <n v="51"/>
    <n v="59"/>
  </r>
  <r>
    <n v="888"/>
    <x v="39"/>
    <x v="0"/>
    <x v="1"/>
    <n v="11"/>
    <x v="0"/>
    <x v="4"/>
    <x v="1"/>
    <n v="5.74"/>
    <n v="0.14000000000000001"/>
    <n v="0.1515"/>
    <n v="0.43"/>
    <n v="0.16420000000000001"/>
    <n v="1"/>
    <n v="40"/>
    <n v="41"/>
  </r>
  <r>
    <n v="889"/>
    <x v="39"/>
    <x v="0"/>
    <x v="1"/>
    <n v="12"/>
    <x v="0"/>
    <x v="4"/>
    <x v="1"/>
    <n v="7.38"/>
    <n v="0.18"/>
    <n v="0.18179999999999999"/>
    <n v="0.4"/>
    <n v="0.22389999999999999"/>
    <n v="4"/>
    <n v="57"/>
    <n v="61"/>
  </r>
  <r>
    <n v="890"/>
    <x v="39"/>
    <x v="0"/>
    <x v="1"/>
    <n v="13"/>
    <x v="0"/>
    <x v="4"/>
    <x v="0"/>
    <n v="7.38"/>
    <n v="0.18"/>
    <n v="0.16669999999999999"/>
    <n v="0.4"/>
    <n v="0.25369999999999998"/>
    <n v="2"/>
    <n v="67"/>
    <n v="69"/>
  </r>
  <r>
    <n v="891"/>
    <x v="39"/>
    <x v="0"/>
    <x v="1"/>
    <n v="14"/>
    <x v="0"/>
    <x v="4"/>
    <x v="0"/>
    <n v="8.2000000000000011"/>
    <n v="0.2"/>
    <n v="0.18179999999999999"/>
    <n v="0.34"/>
    <n v="0.29849999999999999"/>
    <n v="2"/>
    <n v="56"/>
    <n v="58"/>
  </r>
  <r>
    <n v="892"/>
    <x v="39"/>
    <x v="0"/>
    <x v="1"/>
    <n v="15"/>
    <x v="0"/>
    <x v="4"/>
    <x v="1"/>
    <n v="8.2000000000000011"/>
    <n v="0.2"/>
    <n v="0.18179999999999999"/>
    <n v="0.34"/>
    <n v="0.28360000000000002"/>
    <n v="3"/>
    <n v="61"/>
    <n v="64"/>
  </r>
  <r>
    <n v="893"/>
    <x v="39"/>
    <x v="0"/>
    <x v="1"/>
    <n v="16"/>
    <x v="0"/>
    <x v="4"/>
    <x v="1"/>
    <n v="8.2000000000000011"/>
    <n v="0.2"/>
    <n v="0.19700000000000001"/>
    <n v="0.37"/>
    <n v="0.25369999999999998"/>
    <n v="7"/>
    <n v="72"/>
    <n v="79"/>
  </r>
  <r>
    <n v="894"/>
    <x v="39"/>
    <x v="0"/>
    <x v="1"/>
    <n v="17"/>
    <x v="0"/>
    <x v="4"/>
    <x v="1"/>
    <n v="8.2000000000000011"/>
    <n v="0.2"/>
    <n v="0.19700000000000001"/>
    <n v="0.34"/>
    <n v="0.25369999999999998"/>
    <n v="9"/>
    <n v="157"/>
    <n v="166"/>
  </r>
  <r>
    <n v="895"/>
    <x v="39"/>
    <x v="0"/>
    <x v="1"/>
    <n v="18"/>
    <x v="0"/>
    <x v="4"/>
    <x v="1"/>
    <n v="7.38"/>
    <n v="0.18"/>
    <n v="0.16669999999999999"/>
    <n v="0.47"/>
    <n v="0.29849999999999999"/>
    <n v="2"/>
    <n v="168"/>
    <n v="170"/>
  </r>
  <r>
    <n v="896"/>
    <x v="39"/>
    <x v="0"/>
    <x v="1"/>
    <n v="19"/>
    <x v="0"/>
    <x v="4"/>
    <x v="2"/>
    <n v="5.74"/>
    <n v="0.14000000000000001"/>
    <n v="0.1212"/>
    <n v="0.86"/>
    <n v="0.25369999999999998"/>
    <n v="1"/>
    <n v="87"/>
    <n v="88"/>
  </r>
  <r>
    <n v="897"/>
    <x v="39"/>
    <x v="0"/>
    <x v="1"/>
    <n v="20"/>
    <x v="0"/>
    <x v="4"/>
    <x v="2"/>
    <n v="5.74"/>
    <n v="0.14000000000000001"/>
    <n v="0.1515"/>
    <n v="0.86"/>
    <n v="0.16420000000000001"/>
    <n v="0"/>
    <n v="84"/>
    <n v="84"/>
  </r>
  <r>
    <n v="898"/>
    <x v="39"/>
    <x v="0"/>
    <x v="1"/>
    <n v="21"/>
    <x v="0"/>
    <x v="4"/>
    <x v="1"/>
    <n v="5.74"/>
    <n v="0.14000000000000001"/>
    <n v="0.1515"/>
    <n v="0.86"/>
    <n v="0.16420000000000001"/>
    <n v="0"/>
    <n v="83"/>
    <n v="83"/>
  </r>
  <r>
    <n v="899"/>
    <x v="39"/>
    <x v="0"/>
    <x v="1"/>
    <n v="22"/>
    <x v="0"/>
    <x v="4"/>
    <x v="2"/>
    <n v="6.5600000000000005"/>
    <n v="0.16"/>
    <n v="0.16669999999999999"/>
    <n v="0.8"/>
    <n v="0.16420000000000001"/>
    <n v="4"/>
    <n v="42"/>
    <n v="46"/>
  </r>
  <r>
    <n v="900"/>
    <x v="39"/>
    <x v="0"/>
    <x v="1"/>
    <n v="23"/>
    <x v="0"/>
    <x v="4"/>
    <x v="2"/>
    <n v="6.5600000000000005"/>
    <n v="0.16"/>
    <n v="0.1515"/>
    <n v="0.8"/>
    <n v="0.19400000000000001"/>
    <n v="0"/>
    <n v="37"/>
    <n v="37"/>
  </r>
  <r>
    <n v="901"/>
    <x v="40"/>
    <x v="0"/>
    <x v="1"/>
    <n v="0"/>
    <x v="0"/>
    <x v="5"/>
    <x v="2"/>
    <n v="5.74"/>
    <n v="0.14000000000000001"/>
    <n v="0.13639999999999999"/>
    <n v="0.86"/>
    <n v="0.19400000000000001"/>
    <n v="0"/>
    <n v="16"/>
    <n v="16"/>
  </r>
  <r>
    <n v="902"/>
    <x v="40"/>
    <x v="0"/>
    <x v="1"/>
    <n v="1"/>
    <x v="0"/>
    <x v="5"/>
    <x v="2"/>
    <n v="5.74"/>
    <n v="0.14000000000000001"/>
    <n v="0.1515"/>
    <n v="0.8"/>
    <n v="0.1343"/>
    <n v="0"/>
    <n v="7"/>
    <n v="7"/>
  </r>
  <r>
    <n v="903"/>
    <x v="40"/>
    <x v="0"/>
    <x v="1"/>
    <n v="2"/>
    <x v="0"/>
    <x v="5"/>
    <x v="2"/>
    <n v="5.74"/>
    <n v="0.14000000000000001"/>
    <n v="0.1515"/>
    <n v="0.8"/>
    <n v="0.1343"/>
    <n v="0"/>
    <n v="3"/>
    <n v="3"/>
  </r>
  <r>
    <n v="904"/>
    <x v="40"/>
    <x v="0"/>
    <x v="1"/>
    <n v="4"/>
    <x v="0"/>
    <x v="5"/>
    <x v="1"/>
    <n v="5.74"/>
    <n v="0.14000000000000001"/>
    <n v="0.13639999999999999"/>
    <n v="0.59"/>
    <n v="0.22389999999999999"/>
    <n v="0"/>
    <n v="1"/>
    <n v="1"/>
  </r>
  <r>
    <n v="905"/>
    <x v="40"/>
    <x v="0"/>
    <x v="1"/>
    <n v="5"/>
    <x v="0"/>
    <x v="5"/>
    <x v="1"/>
    <n v="4.92"/>
    <n v="0.12"/>
    <n v="0.1212"/>
    <n v="0.5"/>
    <n v="0.22389999999999999"/>
    <n v="0"/>
    <n v="6"/>
    <n v="6"/>
  </r>
  <r>
    <n v="906"/>
    <x v="40"/>
    <x v="0"/>
    <x v="1"/>
    <n v="6"/>
    <x v="0"/>
    <x v="5"/>
    <x v="1"/>
    <n v="4.92"/>
    <n v="0.12"/>
    <n v="0.1212"/>
    <n v="0.54"/>
    <n v="0.28360000000000002"/>
    <n v="0"/>
    <n v="26"/>
    <n v="26"/>
  </r>
  <r>
    <n v="907"/>
    <x v="40"/>
    <x v="0"/>
    <x v="1"/>
    <n v="7"/>
    <x v="0"/>
    <x v="5"/>
    <x v="0"/>
    <n v="4.1000000000000005"/>
    <n v="0.1"/>
    <n v="7.5800000000000006E-2"/>
    <n v="0.5"/>
    <n v="0.41789999999999999"/>
    <n v="0"/>
    <n v="99"/>
    <n v="99"/>
  </r>
  <r>
    <n v="908"/>
    <x v="40"/>
    <x v="0"/>
    <x v="1"/>
    <n v="8"/>
    <x v="0"/>
    <x v="5"/>
    <x v="0"/>
    <n v="4.1000000000000005"/>
    <n v="0.1"/>
    <n v="7.5800000000000006E-2"/>
    <n v="0.49"/>
    <n v="0.32840000000000003"/>
    <n v="5"/>
    <n v="173"/>
    <n v="178"/>
  </r>
  <r>
    <n v="909"/>
    <x v="40"/>
    <x v="0"/>
    <x v="1"/>
    <n v="9"/>
    <x v="0"/>
    <x v="5"/>
    <x v="0"/>
    <n v="4.92"/>
    <n v="0.12"/>
    <n v="0.1061"/>
    <n v="0.42"/>
    <n v="0.35820000000000002"/>
    <n v="1"/>
    <n v="121"/>
    <n v="122"/>
  </r>
  <r>
    <n v="910"/>
    <x v="40"/>
    <x v="0"/>
    <x v="1"/>
    <n v="10"/>
    <x v="0"/>
    <x v="5"/>
    <x v="0"/>
    <n v="4.92"/>
    <n v="0.12"/>
    <n v="0.1061"/>
    <n v="0.42"/>
    <n v="0.29849999999999999"/>
    <n v="1"/>
    <n v="34"/>
    <n v="35"/>
  </r>
  <r>
    <n v="911"/>
    <x v="40"/>
    <x v="0"/>
    <x v="1"/>
    <n v="11"/>
    <x v="0"/>
    <x v="5"/>
    <x v="0"/>
    <n v="5.74"/>
    <n v="0.14000000000000001"/>
    <n v="0.1212"/>
    <n v="0.39"/>
    <n v="0.35820000000000002"/>
    <n v="1"/>
    <n v="44"/>
    <n v="45"/>
  </r>
  <r>
    <n v="912"/>
    <x v="40"/>
    <x v="0"/>
    <x v="1"/>
    <n v="12"/>
    <x v="0"/>
    <x v="5"/>
    <x v="0"/>
    <n v="6.5600000000000005"/>
    <n v="0.16"/>
    <n v="0.13639999999999999"/>
    <n v="0.34"/>
    <n v="0.3881"/>
    <n v="4"/>
    <n v="65"/>
    <n v="69"/>
  </r>
  <r>
    <n v="913"/>
    <x v="40"/>
    <x v="0"/>
    <x v="1"/>
    <n v="13"/>
    <x v="0"/>
    <x v="5"/>
    <x v="0"/>
    <n v="7.38"/>
    <n v="0.18"/>
    <n v="0.16669999999999999"/>
    <n v="0.28999999999999998"/>
    <n v="0.29849999999999999"/>
    <n v="3"/>
    <n v="59"/>
    <n v="62"/>
  </r>
  <r>
    <n v="914"/>
    <x v="40"/>
    <x v="0"/>
    <x v="1"/>
    <n v="14"/>
    <x v="0"/>
    <x v="5"/>
    <x v="0"/>
    <n v="8.2000000000000011"/>
    <n v="0.2"/>
    <n v="0.18179999999999999"/>
    <n v="0.27"/>
    <n v="0.28360000000000002"/>
    <n v="6"/>
    <n v="42"/>
    <n v="48"/>
  </r>
  <r>
    <n v="915"/>
    <x v="40"/>
    <x v="0"/>
    <x v="1"/>
    <n v="15"/>
    <x v="0"/>
    <x v="5"/>
    <x v="0"/>
    <n v="8.2000000000000011"/>
    <n v="0.2"/>
    <n v="0.19700000000000001"/>
    <n v="0.25"/>
    <n v="0.25369999999999998"/>
    <n v="0"/>
    <n v="50"/>
    <n v="50"/>
  </r>
  <r>
    <n v="916"/>
    <x v="40"/>
    <x v="0"/>
    <x v="1"/>
    <n v="16"/>
    <x v="0"/>
    <x v="5"/>
    <x v="0"/>
    <n v="8.2000000000000011"/>
    <n v="0.2"/>
    <n v="0.18179999999999999"/>
    <n v="0.27"/>
    <n v="0.29849999999999999"/>
    <n v="4"/>
    <n v="76"/>
    <n v="80"/>
  </r>
  <r>
    <n v="917"/>
    <x v="40"/>
    <x v="0"/>
    <x v="1"/>
    <n v="17"/>
    <x v="0"/>
    <x v="5"/>
    <x v="0"/>
    <n v="7.38"/>
    <n v="0.18"/>
    <n v="0.18179999999999999"/>
    <n v="0.26"/>
    <n v="0.19400000000000001"/>
    <n v="6"/>
    <n v="159"/>
    <n v="165"/>
  </r>
  <r>
    <n v="918"/>
    <x v="40"/>
    <x v="0"/>
    <x v="1"/>
    <n v="18"/>
    <x v="0"/>
    <x v="5"/>
    <x v="0"/>
    <n v="6.5600000000000005"/>
    <n v="0.16"/>
    <n v="0.18179999999999999"/>
    <n v="0.28000000000000003"/>
    <n v="0.1343"/>
    <n v="3"/>
    <n v="157"/>
    <n v="160"/>
  </r>
  <r>
    <n v="919"/>
    <x v="40"/>
    <x v="0"/>
    <x v="1"/>
    <n v="19"/>
    <x v="0"/>
    <x v="5"/>
    <x v="0"/>
    <n v="5.74"/>
    <n v="0.14000000000000001"/>
    <n v="0.16669999999999999"/>
    <n v="0.28000000000000003"/>
    <n v="0.1045"/>
    <n v="2"/>
    <n v="110"/>
    <n v="112"/>
  </r>
  <r>
    <n v="920"/>
    <x v="40"/>
    <x v="0"/>
    <x v="1"/>
    <n v="20"/>
    <x v="0"/>
    <x v="5"/>
    <x v="0"/>
    <n v="5.74"/>
    <n v="0.14000000000000001"/>
    <n v="0.18179999999999999"/>
    <n v="0.31"/>
    <n v="8.9599999999999999E-2"/>
    <n v="4"/>
    <n v="93"/>
    <n v="97"/>
  </r>
  <r>
    <n v="921"/>
    <x v="40"/>
    <x v="0"/>
    <x v="1"/>
    <n v="21"/>
    <x v="0"/>
    <x v="5"/>
    <x v="0"/>
    <n v="5.74"/>
    <n v="0.14000000000000001"/>
    <n v="0.21210000000000001"/>
    <n v="0.39"/>
    <n v="0"/>
    <n v="2"/>
    <n v="70"/>
    <n v="72"/>
  </r>
  <r>
    <n v="922"/>
    <x v="40"/>
    <x v="0"/>
    <x v="1"/>
    <n v="22"/>
    <x v="0"/>
    <x v="5"/>
    <x v="0"/>
    <n v="4.92"/>
    <n v="0.12"/>
    <n v="0.19700000000000001"/>
    <n v="0.39"/>
    <n v="0"/>
    <n v="4"/>
    <n v="47"/>
    <n v="51"/>
  </r>
  <r>
    <n v="923"/>
    <x v="40"/>
    <x v="0"/>
    <x v="1"/>
    <n v="23"/>
    <x v="0"/>
    <x v="5"/>
    <x v="0"/>
    <n v="4.92"/>
    <n v="0.12"/>
    <n v="0.1515"/>
    <n v="0.42"/>
    <n v="0.1045"/>
    <n v="1"/>
    <n v="33"/>
    <n v="34"/>
  </r>
  <r>
    <n v="924"/>
    <x v="41"/>
    <x v="0"/>
    <x v="1"/>
    <n v="0"/>
    <x v="0"/>
    <x v="6"/>
    <x v="0"/>
    <n v="4.1000000000000005"/>
    <n v="0.1"/>
    <n v="0.13639999999999999"/>
    <n v="0.49"/>
    <n v="0.1045"/>
    <n v="2"/>
    <n v="12"/>
    <n v="14"/>
  </r>
  <r>
    <n v="925"/>
    <x v="41"/>
    <x v="0"/>
    <x v="1"/>
    <n v="1"/>
    <x v="0"/>
    <x v="6"/>
    <x v="0"/>
    <n v="4.1000000000000005"/>
    <n v="0.1"/>
    <n v="0.13639999999999999"/>
    <n v="0.54"/>
    <n v="8.9599999999999999E-2"/>
    <n v="1"/>
    <n v="6"/>
    <n v="7"/>
  </r>
  <r>
    <n v="926"/>
    <x v="41"/>
    <x v="0"/>
    <x v="1"/>
    <n v="2"/>
    <x v="0"/>
    <x v="6"/>
    <x v="0"/>
    <n v="4.1000000000000005"/>
    <n v="0.1"/>
    <n v="0.13639999999999999"/>
    <n v="0.54"/>
    <n v="8.9599999999999999E-2"/>
    <n v="0"/>
    <n v="3"/>
    <n v="3"/>
  </r>
  <r>
    <n v="927"/>
    <x v="41"/>
    <x v="0"/>
    <x v="1"/>
    <n v="5"/>
    <x v="0"/>
    <x v="6"/>
    <x v="0"/>
    <n v="3.2800000000000002"/>
    <n v="0.08"/>
    <n v="0.1212"/>
    <n v="0.63"/>
    <n v="8.9599999999999999E-2"/>
    <n v="0"/>
    <n v="4"/>
    <n v="4"/>
  </r>
  <r>
    <n v="928"/>
    <x v="41"/>
    <x v="0"/>
    <x v="1"/>
    <n v="6"/>
    <x v="0"/>
    <x v="6"/>
    <x v="0"/>
    <n v="4.1000000000000005"/>
    <n v="0.1"/>
    <n v="0.18179999999999999"/>
    <n v="0.68"/>
    <n v="0"/>
    <n v="1"/>
    <n v="23"/>
    <n v="24"/>
  </r>
  <r>
    <n v="929"/>
    <x v="41"/>
    <x v="0"/>
    <x v="1"/>
    <n v="7"/>
    <x v="0"/>
    <x v="6"/>
    <x v="0"/>
    <n v="3.2800000000000002"/>
    <n v="0.08"/>
    <n v="0.16669999999999999"/>
    <n v="0.73"/>
    <n v="0"/>
    <n v="1"/>
    <n v="73"/>
    <n v="74"/>
  </r>
  <r>
    <n v="930"/>
    <x v="41"/>
    <x v="0"/>
    <x v="1"/>
    <n v="8"/>
    <x v="0"/>
    <x v="6"/>
    <x v="0"/>
    <n v="4.1000000000000005"/>
    <n v="0.1"/>
    <n v="0.1212"/>
    <n v="0.74"/>
    <n v="0.16420000000000001"/>
    <n v="4"/>
    <n v="212"/>
    <n v="216"/>
  </r>
  <r>
    <n v="931"/>
    <x v="41"/>
    <x v="0"/>
    <x v="1"/>
    <n v="9"/>
    <x v="0"/>
    <x v="6"/>
    <x v="0"/>
    <n v="4.92"/>
    <n v="0.12"/>
    <n v="0.1212"/>
    <n v="0.74"/>
    <n v="0.22389999999999999"/>
    <n v="8"/>
    <n v="132"/>
    <n v="140"/>
  </r>
  <r>
    <n v="932"/>
    <x v="41"/>
    <x v="0"/>
    <x v="1"/>
    <n v="10"/>
    <x v="0"/>
    <x v="6"/>
    <x v="0"/>
    <n v="5.74"/>
    <n v="0.14000000000000001"/>
    <n v="0.13639999999999999"/>
    <n v="0.69"/>
    <n v="0.19400000000000001"/>
    <n v="5"/>
    <n v="39"/>
    <n v="44"/>
  </r>
  <r>
    <n v="933"/>
    <x v="41"/>
    <x v="0"/>
    <x v="1"/>
    <n v="11"/>
    <x v="0"/>
    <x v="6"/>
    <x v="0"/>
    <n v="9.02"/>
    <n v="0.22"/>
    <n v="0.2273"/>
    <n v="0.47"/>
    <n v="0.1343"/>
    <n v="12"/>
    <n v="52"/>
    <n v="64"/>
  </r>
  <r>
    <n v="934"/>
    <x v="41"/>
    <x v="0"/>
    <x v="1"/>
    <n v="12"/>
    <x v="0"/>
    <x v="6"/>
    <x v="0"/>
    <n v="9.02"/>
    <n v="0.22"/>
    <n v="0.2273"/>
    <n v="0.47"/>
    <n v="0.1343"/>
    <n v="7"/>
    <n v="64"/>
    <n v="71"/>
  </r>
  <r>
    <n v="935"/>
    <x v="41"/>
    <x v="0"/>
    <x v="1"/>
    <n v="13"/>
    <x v="0"/>
    <x v="6"/>
    <x v="0"/>
    <n v="9.84"/>
    <n v="0.24"/>
    <n v="0.2273"/>
    <n v="0.35"/>
    <n v="0.19400000000000001"/>
    <n v="21"/>
    <n v="89"/>
    <n v="110"/>
  </r>
  <r>
    <n v="936"/>
    <x v="41"/>
    <x v="0"/>
    <x v="1"/>
    <n v="14"/>
    <x v="0"/>
    <x v="6"/>
    <x v="0"/>
    <n v="12.299999999999999"/>
    <n v="0.3"/>
    <n v="0.28789999999999999"/>
    <n v="0.26"/>
    <n v="0.25369999999999998"/>
    <n v="17"/>
    <n v="67"/>
    <n v="84"/>
  </r>
  <r>
    <n v="937"/>
    <x v="41"/>
    <x v="0"/>
    <x v="1"/>
    <n v="15"/>
    <x v="0"/>
    <x v="6"/>
    <x v="0"/>
    <n v="13.120000000000001"/>
    <n v="0.32"/>
    <n v="0.31819999999999998"/>
    <n v="0.21"/>
    <n v="0.16420000000000001"/>
    <n v="12"/>
    <n v="62"/>
    <n v="74"/>
  </r>
  <r>
    <n v="938"/>
    <x v="41"/>
    <x v="0"/>
    <x v="1"/>
    <n v="16"/>
    <x v="0"/>
    <x v="6"/>
    <x v="0"/>
    <n v="12.299999999999999"/>
    <n v="0.3"/>
    <n v="0.28789999999999999"/>
    <n v="0.28000000000000003"/>
    <n v="0.19400000000000001"/>
    <n v="14"/>
    <n v="111"/>
    <n v="125"/>
  </r>
  <r>
    <n v="939"/>
    <x v="41"/>
    <x v="0"/>
    <x v="1"/>
    <n v="17"/>
    <x v="0"/>
    <x v="6"/>
    <x v="0"/>
    <n v="12.299999999999999"/>
    <n v="0.3"/>
    <n v="0.33329999999999999"/>
    <n v="0.24"/>
    <n v="0"/>
    <n v="18"/>
    <n v="193"/>
    <n v="211"/>
  </r>
  <r>
    <n v="940"/>
    <x v="41"/>
    <x v="0"/>
    <x v="1"/>
    <n v="18"/>
    <x v="0"/>
    <x v="6"/>
    <x v="0"/>
    <n v="11.48"/>
    <n v="0.28000000000000003"/>
    <n v="0.31819999999999998"/>
    <n v="0.28000000000000003"/>
    <n v="0"/>
    <n v="9"/>
    <n v="165"/>
    <n v="174"/>
  </r>
  <r>
    <n v="941"/>
    <x v="41"/>
    <x v="0"/>
    <x v="1"/>
    <n v="19"/>
    <x v="0"/>
    <x v="6"/>
    <x v="0"/>
    <n v="10.66"/>
    <n v="0.26"/>
    <n v="0.30299999999999999"/>
    <n v="0.33"/>
    <n v="0"/>
    <n v="7"/>
    <n v="94"/>
    <n v="101"/>
  </r>
  <r>
    <n v="942"/>
    <x v="41"/>
    <x v="0"/>
    <x v="1"/>
    <n v="20"/>
    <x v="0"/>
    <x v="6"/>
    <x v="0"/>
    <n v="9.02"/>
    <n v="0.22"/>
    <n v="0.2273"/>
    <n v="0.55000000000000004"/>
    <n v="0.1343"/>
    <n v="2"/>
    <n v="61"/>
    <n v="63"/>
  </r>
  <r>
    <n v="943"/>
    <x v="41"/>
    <x v="0"/>
    <x v="1"/>
    <n v="21"/>
    <x v="0"/>
    <x v="6"/>
    <x v="0"/>
    <n v="8.2000000000000011"/>
    <n v="0.2"/>
    <n v="0.21210000000000001"/>
    <n v="0.59"/>
    <n v="0.1343"/>
    <n v="1"/>
    <n v="46"/>
    <n v="47"/>
  </r>
  <r>
    <n v="944"/>
    <x v="41"/>
    <x v="0"/>
    <x v="1"/>
    <n v="22"/>
    <x v="0"/>
    <x v="6"/>
    <x v="0"/>
    <n v="8.2000000000000011"/>
    <n v="0.2"/>
    <n v="0.2273"/>
    <n v="0.64"/>
    <n v="8.9599999999999999E-2"/>
    <n v="2"/>
    <n v="41"/>
    <n v="43"/>
  </r>
  <r>
    <n v="945"/>
    <x v="41"/>
    <x v="0"/>
    <x v="1"/>
    <n v="23"/>
    <x v="0"/>
    <x v="6"/>
    <x v="0"/>
    <n v="7.38"/>
    <n v="0.18"/>
    <n v="0.2424"/>
    <n v="0.69"/>
    <n v="0"/>
    <n v="5"/>
    <n v="48"/>
    <n v="53"/>
  </r>
  <r>
    <n v="946"/>
    <x v="42"/>
    <x v="0"/>
    <x v="1"/>
    <n v="0"/>
    <x v="0"/>
    <x v="0"/>
    <x v="0"/>
    <n v="6.5600000000000005"/>
    <n v="0.16"/>
    <n v="0.19700000000000001"/>
    <n v="0.69"/>
    <n v="8.9599999999999999E-2"/>
    <n v="3"/>
    <n v="27"/>
    <n v="30"/>
  </r>
  <r>
    <n v="947"/>
    <x v="42"/>
    <x v="0"/>
    <x v="1"/>
    <n v="1"/>
    <x v="0"/>
    <x v="0"/>
    <x v="0"/>
    <n v="5.74"/>
    <n v="0.14000000000000001"/>
    <n v="0.21210000000000001"/>
    <n v="0.86"/>
    <n v="0"/>
    <n v="2"/>
    <n v="22"/>
    <n v="24"/>
  </r>
  <r>
    <n v="948"/>
    <x v="42"/>
    <x v="0"/>
    <x v="1"/>
    <n v="2"/>
    <x v="0"/>
    <x v="0"/>
    <x v="0"/>
    <n v="5.74"/>
    <n v="0.14000000000000001"/>
    <n v="0.21210000000000001"/>
    <n v="0.8"/>
    <n v="0"/>
    <n v="2"/>
    <n v="13"/>
    <n v="15"/>
  </r>
  <r>
    <n v="949"/>
    <x v="42"/>
    <x v="0"/>
    <x v="1"/>
    <n v="3"/>
    <x v="0"/>
    <x v="0"/>
    <x v="0"/>
    <n v="4.92"/>
    <n v="0.12"/>
    <n v="0.19700000000000001"/>
    <n v="0.8"/>
    <n v="0"/>
    <n v="3"/>
    <n v="7"/>
    <n v="10"/>
  </r>
  <r>
    <n v="950"/>
    <x v="42"/>
    <x v="0"/>
    <x v="1"/>
    <n v="4"/>
    <x v="0"/>
    <x v="0"/>
    <x v="0"/>
    <n v="4.92"/>
    <n v="0.12"/>
    <n v="0.16669999999999999"/>
    <n v="0.74"/>
    <n v="8.9599999999999999E-2"/>
    <n v="0"/>
    <n v="4"/>
    <n v="4"/>
  </r>
  <r>
    <n v="951"/>
    <x v="42"/>
    <x v="0"/>
    <x v="1"/>
    <n v="5"/>
    <x v="0"/>
    <x v="0"/>
    <x v="0"/>
    <n v="4.92"/>
    <n v="0.12"/>
    <n v="0.16669999999999999"/>
    <n v="0.74"/>
    <n v="8.9599999999999999E-2"/>
    <n v="0"/>
    <n v="1"/>
    <n v="1"/>
  </r>
  <r>
    <n v="952"/>
    <x v="42"/>
    <x v="0"/>
    <x v="1"/>
    <n v="6"/>
    <x v="0"/>
    <x v="0"/>
    <x v="0"/>
    <n v="4.92"/>
    <n v="0.12"/>
    <n v="0.13639999999999999"/>
    <n v="0.93"/>
    <n v="0.19400000000000001"/>
    <n v="1"/>
    <n v="1"/>
    <n v="2"/>
  </r>
  <r>
    <n v="953"/>
    <x v="42"/>
    <x v="0"/>
    <x v="1"/>
    <n v="7"/>
    <x v="0"/>
    <x v="0"/>
    <x v="0"/>
    <n v="4.92"/>
    <n v="0.12"/>
    <n v="0.1515"/>
    <n v="0.8"/>
    <n v="0.1045"/>
    <n v="2"/>
    <n v="9"/>
    <n v="11"/>
  </r>
  <r>
    <n v="954"/>
    <x v="42"/>
    <x v="0"/>
    <x v="1"/>
    <n v="8"/>
    <x v="0"/>
    <x v="0"/>
    <x v="0"/>
    <n v="5.74"/>
    <n v="0.14000000000000001"/>
    <n v="0.1515"/>
    <n v="0.86"/>
    <n v="0.1343"/>
    <n v="2"/>
    <n v="28"/>
    <n v="30"/>
  </r>
  <r>
    <n v="955"/>
    <x v="42"/>
    <x v="0"/>
    <x v="1"/>
    <n v="9"/>
    <x v="0"/>
    <x v="0"/>
    <x v="0"/>
    <n v="6.5600000000000005"/>
    <n v="0.16"/>
    <n v="0.18179999999999999"/>
    <n v="0.64"/>
    <n v="0.1343"/>
    <n v="5"/>
    <n v="38"/>
    <n v="43"/>
  </r>
  <r>
    <n v="956"/>
    <x v="42"/>
    <x v="0"/>
    <x v="1"/>
    <n v="10"/>
    <x v="0"/>
    <x v="0"/>
    <x v="0"/>
    <n v="9.02"/>
    <n v="0.22"/>
    <n v="0.21210000000000001"/>
    <n v="0.41"/>
    <n v="0.25369999999999998"/>
    <n v="13"/>
    <n v="71"/>
    <n v="84"/>
  </r>
  <r>
    <n v="957"/>
    <x v="42"/>
    <x v="0"/>
    <x v="1"/>
    <n v="11"/>
    <x v="0"/>
    <x v="0"/>
    <x v="0"/>
    <n v="12.299999999999999"/>
    <n v="0.3"/>
    <n v="0.2727"/>
    <n v="0.28000000000000003"/>
    <n v="0.32840000000000003"/>
    <n v="30"/>
    <n v="84"/>
    <n v="114"/>
  </r>
  <r>
    <n v="958"/>
    <x v="42"/>
    <x v="0"/>
    <x v="1"/>
    <n v="12"/>
    <x v="0"/>
    <x v="0"/>
    <x v="0"/>
    <n v="12.299999999999999"/>
    <n v="0.3"/>
    <n v="0.2727"/>
    <n v="0.39"/>
    <n v="0.4627"/>
    <n v="27"/>
    <n v="93"/>
    <n v="120"/>
  </r>
  <r>
    <n v="959"/>
    <x v="42"/>
    <x v="0"/>
    <x v="1"/>
    <n v="13"/>
    <x v="0"/>
    <x v="0"/>
    <x v="0"/>
    <n v="12.299999999999999"/>
    <n v="0.3"/>
    <n v="0.2727"/>
    <n v="0.39"/>
    <n v="0.41789999999999999"/>
    <n v="32"/>
    <n v="103"/>
    <n v="135"/>
  </r>
  <r>
    <n v="960"/>
    <x v="42"/>
    <x v="0"/>
    <x v="1"/>
    <n v="14"/>
    <x v="0"/>
    <x v="0"/>
    <x v="0"/>
    <n v="13.940000000000001"/>
    <n v="0.34"/>
    <n v="0.31819999999999998"/>
    <n v="0.31"/>
    <n v="0.28360000000000002"/>
    <n v="30"/>
    <n v="90"/>
    <n v="120"/>
  </r>
  <r>
    <n v="961"/>
    <x v="42"/>
    <x v="0"/>
    <x v="1"/>
    <n v="15"/>
    <x v="0"/>
    <x v="0"/>
    <x v="0"/>
    <n v="13.940000000000001"/>
    <n v="0.34"/>
    <n v="0.30299999999999999"/>
    <n v="0.28999999999999998"/>
    <n v="0.41789999999999999"/>
    <n v="47"/>
    <n v="127"/>
    <n v="174"/>
  </r>
  <r>
    <n v="962"/>
    <x v="42"/>
    <x v="0"/>
    <x v="1"/>
    <n v="16"/>
    <x v="0"/>
    <x v="0"/>
    <x v="0"/>
    <n v="13.940000000000001"/>
    <n v="0.34"/>
    <n v="0.30299999999999999"/>
    <n v="0.28999999999999998"/>
    <n v="0.41789999999999999"/>
    <n v="42"/>
    <n v="103"/>
    <n v="145"/>
  </r>
  <r>
    <n v="963"/>
    <x v="42"/>
    <x v="0"/>
    <x v="1"/>
    <n v="17"/>
    <x v="0"/>
    <x v="0"/>
    <x v="0"/>
    <n v="13.120000000000001"/>
    <n v="0.32"/>
    <n v="0.28789999999999999"/>
    <n v="0.31"/>
    <n v="0.52239999999999998"/>
    <n v="24"/>
    <n v="113"/>
    <n v="137"/>
  </r>
  <r>
    <n v="964"/>
    <x v="42"/>
    <x v="0"/>
    <x v="1"/>
    <n v="18"/>
    <x v="0"/>
    <x v="0"/>
    <x v="0"/>
    <n v="11.48"/>
    <n v="0.28000000000000003"/>
    <n v="0.2576"/>
    <n v="0.38"/>
    <n v="0.32840000000000003"/>
    <n v="4"/>
    <n v="60"/>
    <n v="64"/>
  </r>
  <r>
    <n v="965"/>
    <x v="42"/>
    <x v="0"/>
    <x v="1"/>
    <n v="19"/>
    <x v="0"/>
    <x v="0"/>
    <x v="0"/>
    <n v="11.48"/>
    <n v="0.28000000000000003"/>
    <n v="0.2727"/>
    <n v="0.38"/>
    <n v="0.16420000000000001"/>
    <n v="2"/>
    <n v="39"/>
    <n v="41"/>
  </r>
  <r>
    <n v="966"/>
    <x v="42"/>
    <x v="0"/>
    <x v="1"/>
    <n v="20"/>
    <x v="0"/>
    <x v="0"/>
    <x v="0"/>
    <n v="10.66"/>
    <n v="0.26"/>
    <n v="0.2576"/>
    <n v="0.41"/>
    <n v="0.22389999999999999"/>
    <n v="1"/>
    <n v="39"/>
    <n v="40"/>
  </r>
  <r>
    <n v="967"/>
    <x v="42"/>
    <x v="0"/>
    <x v="1"/>
    <n v="21"/>
    <x v="0"/>
    <x v="0"/>
    <x v="0"/>
    <n v="10.66"/>
    <n v="0.26"/>
    <n v="0.30299999999999999"/>
    <n v="0.41"/>
    <n v="0"/>
    <n v="9"/>
    <n v="42"/>
    <n v="51"/>
  </r>
  <r>
    <n v="968"/>
    <x v="42"/>
    <x v="0"/>
    <x v="1"/>
    <n v="22"/>
    <x v="0"/>
    <x v="0"/>
    <x v="0"/>
    <n v="9.84"/>
    <n v="0.24"/>
    <n v="0.2576"/>
    <n v="0.44"/>
    <n v="8.9599999999999999E-2"/>
    <n v="6"/>
    <n v="39"/>
    <n v="45"/>
  </r>
  <r>
    <n v="969"/>
    <x v="42"/>
    <x v="0"/>
    <x v="1"/>
    <n v="23"/>
    <x v="0"/>
    <x v="0"/>
    <x v="0"/>
    <n v="9.02"/>
    <n v="0.22"/>
    <n v="0.2273"/>
    <n v="0.51"/>
    <n v="0.1343"/>
    <n v="1"/>
    <n v="31"/>
    <n v="32"/>
  </r>
  <r>
    <n v="970"/>
    <x v="43"/>
    <x v="0"/>
    <x v="1"/>
    <n v="0"/>
    <x v="0"/>
    <x v="1"/>
    <x v="0"/>
    <n v="8.2000000000000011"/>
    <n v="0.2"/>
    <n v="0.2273"/>
    <n v="0.64"/>
    <n v="0.1045"/>
    <n v="5"/>
    <n v="34"/>
    <n v="39"/>
  </r>
  <r>
    <n v="971"/>
    <x v="43"/>
    <x v="0"/>
    <x v="1"/>
    <n v="1"/>
    <x v="0"/>
    <x v="1"/>
    <x v="0"/>
    <n v="8.2000000000000011"/>
    <n v="0.2"/>
    <n v="0.2273"/>
    <n v="0.59"/>
    <n v="8.9599999999999999E-2"/>
    <n v="1"/>
    <n v="23"/>
    <n v="24"/>
  </r>
  <r>
    <n v="972"/>
    <x v="43"/>
    <x v="0"/>
    <x v="1"/>
    <n v="2"/>
    <x v="0"/>
    <x v="1"/>
    <x v="1"/>
    <n v="8.2000000000000011"/>
    <n v="0.2"/>
    <n v="0.2273"/>
    <n v="0.75"/>
    <n v="8.9599999999999999E-2"/>
    <n v="1"/>
    <n v="19"/>
    <n v="20"/>
  </r>
  <r>
    <n v="973"/>
    <x v="43"/>
    <x v="0"/>
    <x v="1"/>
    <n v="3"/>
    <x v="0"/>
    <x v="1"/>
    <x v="1"/>
    <n v="8.2000000000000011"/>
    <n v="0.2"/>
    <n v="0.2273"/>
    <n v="0.69"/>
    <n v="0.1045"/>
    <n v="4"/>
    <n v="8"/>
    <n v="12"/>
  </r>
  <r>
    <n v="974"/>
    <x v="43"/>
    <x v="0"/>
    <x v="1"/>
    <n v="4"/>
    <x v="0"/>
    <x v="1"/>
    <x v="1"/>
    <n v="8.2000000000000011"/>
    <n v="0.2"/>
    <n v="0.21210000000000001"/>
    <n v="0.69"/>
    <n v="0.16420000000000001"/>
    <n v="0"/>
    <n v="2"/>
    <n v="2"/>
  </r>
  <r>
    <n v="975"/>
    <x v="43"/>
    <x v="0"/>
    <x v="1"/>
    <n v="6"/>
    <x v="0"/>
    <x v="1"/>
    <x v="1"/>
    <n v="8.2000000000000011"/>
    <n v="0.2"/>
    <n v="0.21210000000000001"/>
    <n v="0.69"/>
    <n v="0.1343"/>
    <n v="2"/>
    <n v="3"/>
    <n v="5"/>
  </r>
  <r>
    <n v="976"/>
    <x v="43"/>
    <x v="0"/>
    <x v="1"/>
    <n v="7"/>
    <x v="0"/>
    <x v="1"/>
    <x v="1"/>
    <n v="9.02"/>
    <n v="0.22"/>
    <n v="0.2727"/>
    <n v="0.55000000000000004"/>
    <n v="0"/>
    <n v="0"/>
    <n v="3"/>
    <n v="3"/>
  </r>
  <r>
    <n v="977"/>
    <x v="43"/>
    <x v="0"/>
    <x v="1"/>
    <n v="8"/>
    <x v="0"/>
    <x v="1"/>
    <x v="1"/>
    <n v="9.02"/>
    <n v="0.22"/>
    <n v="0.2273"/>
    <n v="0.64"/>
    <n v="0.19400000000000001"/>
    <n v="1"/>
    <n v="11"/>
    <n v="12"/>
  </r>
  <r>
    <n v="978"/>
    <x v="43"/>
    <x v="0"/>
    <x v="1"/>
    <n v="9"/>
    <x v="0"/>
    <x v="1"/>
    <x v="1"/>
    <n v="9.84"/>
    <n v="0.24"/>
    <n v="0.2273"/>
    <n v="0.6"/>
    <n v="0.22389999999999999"/>
    <n v="12"/>
    <n v="35"/>
    <n v="47"/>
  </r>
  <r>
    <n v="979"/>
    <x v="43"/>
    <x v="0"/>
    <x v="1"/>
    <n v="10"/>
    <x v="0"/>
    <x v="1"/>
    <x v="0"/>
    <n v="12.299999999999999"/>
    <n v="0.3"/>
    <n v="0.2727"/>
    <n v="0.45"/>
    <n v="0.32840000000000003"/>
    <n v="19"/>
    <n v="86"/>
    <n v="105"/>
  </r>
  <r>
    <n v="980"/>
    <x v="43"/>
    <x v="0"/>
    <x v="1"/>
    <n v="11"/>
    <x v="0"/>
    <x v="1"/>
    <x v="0"/>
    <n v="13.120000000000001"/>
    <n v="0.32"/>
    <n v="0.28789999999999999"/>
    <n v="0.39"/>
    <n v="0.44779999999999998"/>
    <n v="26"/>
    <n v="86"/>
    <n v="112"/>
  </r>
  <r>
    <n v="981"/>
    <x v="43"/>
    <x v="0"/>
    <x v="1"/>
    <n v="12"/>
    <x v="0"/>
    <x v="1"/>
    <x v="0"/>
    <n v="14.76"/>
    <n v="0.36"/>
    <n v="0.31819999999999998"/>
    <n v="0.32"/>
    <n v="0.4627"/>
    <n v="58"/>
    <n v="94"/>
    <n v="152"/>
  </r>
  <r>
    <n v="982"/>
    <x v="43"/>
    <x v="0"/>
    <x v="1"/>
    <n v="13"/>
    <x v="0"/>
    <x v="1"/>
    <x v="0"/>
    <n v="15.58"/>
    <n v="0.38"/>
    <n v="0.39389999999999997"/>
    <n v="0.28999999999999998"/>
    <n v="0.35820000000000002"/>
    <n v="62"/>
    <n v="92"/>
    <n v="154"/>
  </r>
  <r>
    <n v="983"/>
    <x v="43"/>
    <x v="0"/>
    <x v="1"/>
    <n v="14"/>
    <x v="0"/>
    <x v="1"/>
    <x v="1"/>
    <n v="16.400000000000002"/>
    <n v="0.4"/>
    <n v="0.40910000000000002"/>
    <n v="0.3"/>
    <n v="0.41789999999999999"/>
    <n v="51"/>
    <n v="110"/>
    <n v="161"/>
  </r>
  <r>
    <n v="984"/>
    <x v="43"/>
    <x v="0"/>
    <x v="1"/>
    <n v="15"/>
    <x v="0"/>
    <x v="1"/>
    <x v="1"/>
    <n v="16.400000000000002"/>
    <n v="0.4"/>
    <n v="0.40910000000000002"/>
    <n v="0.3"/>
    <n v="0.29849999999999999"/>
    <n v="40"/>
    <n v="122"/>
    <n v="162"/>
  </r>
  <r>
    <n v="985"/>
    <x v="43"/>
    <x v="0"/>
    <x v="1"/>
    <n v="16"/>
    <x v="0"/>
    <x v="1"/>
    <x v="1"/>
    <n v="17.22"/>
    <n v="0.42"/>
    <n v="0.42420000000000002"/>
    <n v="0.28000000000000003"/>
    <n v="0.32840000000000003"/>
    <n v="28"/>
    <n v="106"/>
    <n v="134"/>
  </r>
  <r>
    <n v="986"/>
    <x v="43"/>
    <x v="0"/>
    <x v="1"/>
    <n v="17"/>
    <x v="0"/>
    <x v="1"/>
    <x v="0"/>
    <n v="17.22"/>
    <n v="0.42"/>
    <n v="0.42420000000000002"/>
    <n v="0.28000000000000003"/>
    <n v="0.32840000000000003"/>
    <n v="30"/>
    <n v="95"/>
    <n v="125"/>
  </r>
  <r>
    <n v="987"/>
    <x v="43"/>
    <x v="0"/>
    <x v="1"/>
    <n v="18"/>
    <x v="0"/>
    <x v="1"/>
    <x v="0"/>
    <n v="16.400000000000002"/>
    <n v="0.4"/>
    <n v="0.40910000000000002"/>
    <n v="0.32"/>
    <n v="0.29849999999999999"/>
    <n v="17"/>
    <n v="78"/>
    <n v="95"/>
  </r>
  <r>
    <n v="988"/>
    <x v="43"/>
    <x v="0"/>
    <x v="1"/>
    <n v="19"/>
    <x v="0"/>
    <x v="1"/>
    <x v="0"/>
    <n v="16.400000000000002"/>
    <n v="0.4"/>
    <n v="0.40910000000000002"/>
    <n v="0.35"/>
    <n v="0.28360000000000002"/>
    <n v="11"/>
    <n v="50"/>
    <n v="61"/>
  </r>
  <r>
    <n v="989"/>
    <x v="43"/>
    <x v="0"/>
    <x v="1"/>
    <n v="20"/>
    <x v="0"/>
    <x v="1"/>
    <x v="0"/>
    <n v="16.400000000000002"/>
    <n v="0.4"/>
    <n v="0.40910000000000002"/>
    <n v="0.35"/>
    <n v="0.32840000000000003"/>
    <n v="15"/>
    <n v="32"/>
    <n v="47"/>
  </r>
  <r>
    <n v="990"/>
    <x v="43"/>
    <x v="0"/>
    <x v="1"/>
    <n v="21"/>
    <x v="0"/>
    <x v="1"/>
    <x v="0"/>
    <n v="16.400000000000002"/>
    <n v="0.4"/>
    <n v="0.40910000000000002"/>
    <n v="0.35"/>
    <n v="0.35820000000000002"/>
    <n v="6"/>
    <n v="45"/>
    <n v="51"/>
  </r>
  <r>
    <n v="991"/>
    <x v="43"/>
    <x v="0"/>
    <x v="1"/>
    <n v="22"/>
    <x v="0"/>
    <x v="1"/>
    <x v="0"/>
    <n v="16.400000000000002"/>
    <n v="0.4"/>
    <n v="0.40910000000000002"/>
    <n v="0.35"/>
    <n v="0.29849999999999999"/>
    <n v="5"/>
    <n v="31"/>
    <n v="36"/>
  </r>
  <r>
    <n v="992"/>
    <x v="43"/>
    <x v="0"/>
    <x v="1"/>
    <n v="23"/>
    <x v="0"/>
    <x v="1"/>
    <x v="0"/>
    <n v="16.400000000000002"/>
    <n v="0.4"/>
    <n v="0.40910000000000002"/>
    <n v="0.35"/>
    <n v="0.35820000000000002"/>
    <n v="3"/>
    <n v="27"/>
    <n v="30"/>
  </r>
  <r>
    <n v="993"/>
    <x v="44"/>
    <x v="0"/>
    <x v="1"/>
    <n v="0"/>
    <x v="0"/>
    <x v="2"/>
    <x v="0"/>
    <n v="15.58"/>
    <n v="0.38"/>
    <n v="0.39389999999999997"/>
    <n v="0.37"/>
    <n v="0.35820000000000002"/>
    <n v="3"/>
    <n v="8"/>
    <n v="11"/>
  </r>
  <r>
    <n v="994"/>
    <x v="44"/>
    <x v="0"/>
    <x v="1"/>
    <n v="1"/>
    <x v="0"/>
    <x v="2"/>
    <x v="0"/>
    <n v="15.58"/>
    <n v="0.38"/>
    <n v="0.39389999999999997"/>
    <n v="0.37"/>
    <n v="0.35820000000000002"/>
    <n v="1"/>
    <n v="6"/>
    <n v="7"/>
  </r>
  <r>
    <n v="995"/>
    <x v="44"/>
    <x v="0"/>
    <x v="1"/>
    <n v="2"/>
    <x v="0"/>
    <x v="2"/>
    <x v="0"/>
    <n v="14.76"/>
    <n v="0.36"/>
    <n v="0.33329999999999999"/>
    <n v="0.4"/>
    <n v="0.29849999999999999"/>
    <n v="0"/>
    <n v="2"/>
    <n v="2"/>
  </r>
  <r>
    <n v="996"/>
    <x v="44"/>
    <x v="0"/>
    <x v="1"/>
    <n v="3"/>
    <x v="0"/>
    <x v="2"/>
    <x v="0"/>
    <n v="13.940000000000001"/>
    <n v="0.34"/>
    <n v="0.31819999999999998"/>
    <n v="0.46"/>
    <n v="0.22389999999999999"/>
    <n v="1"/>
    <n v="1"/>
    <n v="2"/>
  </r>
  <r>
    <n v="997"/>
    <x v="44"/>
    <x v="0"/>
    <x v="1"/>
    <n v="4"/>
    <x v="0"/>
    <x v="2"/>
    <x v="0"/>
    <n v="13.120000000000001"/>
    <n v="0.32"/>
    <n v="0.30299999999999999"/>
    <n v="0.53"/>
    <n v="0.28360000000000002"/>
    <n v="0"/>
    <n v="2"/>
    <n v="2"/>
  </r>
  <r>
    <n v="998"/>
    <x v="44"/>
    <x v="0"/>
    <x v="1"/>
    <n v="5"/>
    <x v="0"/>
    <x v="2"/>
    <x v="0"/>
    <n v="13.120000000000001"/>
    <n v="0.32"/>
    <n v="0.30299999999999999"/>
    <n v="0.53"/>
    <n v="0.28360000000000002"/>
    <n v="0"/>
    <n v="3"/>
    <n v="3"/>
  </r>
  <r>
    <n v="999"/>
    <x v="44"/>
    <x v="0"/>
    <x v="1"/>
    <n v="6"/>
    <x v="0"/>
    <x v="2"/>
    <x v="0"/>
    <n v="13.940000000000001"/>
    <n v="0.34"/>
    <n v="0.30299999999999999"/>
    <n v="0.46"/>
    <n v="0.29849999999999999"/>
    <n v="1"/>
    <n v="25"/>
    <n v="26"/>
  </r>
  <r>
    <n v="1000"/>
    <x v="44"/>
    <x v="0"/>
    <x v="1"/>
    <n v="7"/>
    <x v="0"/>
    <x v="2"/>
    <x v="0"/>
    <n v="13.940000000000001"/>
    <n v="0.34"/>
    <n v="0.30299999999999999"/>
    <n v="0.46"/>
    <n v="0.29849999999999999"/>
    <n v="2"/>
    <n v="96"/>
    <n v="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s v="winter"/>
    <s v="JANUARY"/>
    <n v="0"/>
    <x v="0"/>
    <x v="0"/>
    <x v="0"/>
    <n v="9.84"/>
    <n v="0.81"/>
    <n v="0"/>
    <n v="3"/>
    <n v="13"/>
    <n v="16"/>
  </r>
  <r>
    <n v="2"/>
    <d v="2011-01-01T00:00:00"/>
    <s v="winter"/>
    <s v="JANUARY"/>
    <n v="1"/>
    <x v="0"/>
    <x v="0"/>
    <x v="0"/>
    <n v="9.02"/>
    <n v="0.8"/>
    <n v="0"/>
    <n v="8"/>
    <n v="32"/>
    <n v="40"/>
  </r>
  <r>
    <n v="3"/>
    <d v="2011-01-01T00:00:00"/>
    <s v="winter"/>
    <s v="JANUARY"/>
    <n v="2"/>
    <x v="0"/>
    <x v="0"/>
    <x v="0"/>
    <n v="9.02"/>
    <n v="0.8"/>
    <n v="0"/>
    <n v="5"/>
    <n v="27"/>
    <n v="32"/>
  </r>
  <r>
    <n v="4"/>
    <d v="2011-01-01T00:00:00"/>
    <s v="winter"/>
    <s v="JANUARY"/>
    <n v="3"/>
    <x v="0"/>
    <x v="0"/>
    <x v="0"/>
    <n v="9.84"/>
    <n v="0.75"/>
    <n v="0"/>
    <n v="3"/>
    <n v="10"/>
    <n v="13"/>
  </r>
  <r>
    <n v="5"/>
    <d v="2011-01-01T00:00:00"/>
    <s v="winter"/>
    <s v="JANUARY"/>
    <n v="4"/>
    <x v="0"/>
    <x v="0"/>
    <x v="0"/>
    <n v="9.84"/>
    <n v="0.75"/>
    <n v="0"/>
    <n v="0"/>
    <n v="1"/>
    <n v="1"/>
  </r>
  <r>
    <n v="6"/>
    <d v="2011-01-01T00:00:00"/>
    <s v="winter"/>
    <s v="JANUARY"/>
    <n v="5"/>
    <x v="0"/>
    <x v="0"/>
    <x v="1"/>
    <n v="9.84"/>
    <n v="0.75"/>
    <n v="8.9599999999999999E-2"/>
    <n v="0"/>
    <n v="1"/>
    <n v="1"/>
  </r>
  <r>
    <n v="7"/>
    <d v="2011-01-01T00:00:00"/>
    <s v="winter"/>
    <s v="JANUARY"/>
    <n v="6"/>
    <x v="0"/>
    <x v="0"/>
    <x v="0"/>
    <n v="9.02"/>
    <n v="0.8"/>
    <n v="0"/>
    <n v="2"/>
    <n v="0"/>
    <n v="2"/>
  </r>
  <r>
    <n v="8"/>
    <d v="2011-01-01T00:00:00"/>
    <s v="winter"/>
    <s v="JANUARY"/>
    <n v="7"/>
    <x v="0"/>
    <x v="0"/>
    <x v="0"/>
    <n v="8.2000000000000011"/>
    <n v="0.86"/>
    <n v="0"/>
    <n v="1"/>
    <n v="2"/>
    <n v="3"/>
  </r>
  <r>
    <n v="9"/>
    <d v="2011-01-01T00:00:00"/>
    <s v="winter"/>
    <s v="JANUARY"/>
    <n v="8"/>
    <x v="0"/>
    <x v="0"/>
    <x v="0"/>
    <n v="9.84"/>
    <n v="0.75"/>
    <n v="0"/>
    <n v="1"/>
    <n v="7"/>
    <n v="8"/>
  </r>
  <r>
    <n v="10"/>
    <d v="2011-01-01T00:00:00"/>
    <s v="winter"/>
    <s v="JANUARY"/>
    <n v="9"/>
    <x v="0"/>
    <x v="0"/>
    <x v="0"/>
    <n v="13.120000000000001"/>
    <n v="0.76"/>
    <n v="0"/>
    <n v="8"/>
    <n v="6"/>
    <n v="14"/>
  </r>
  <r>
    <n v="11"/>
    <d v="2011-01-01T00:00:00"/>
    <s v="winter"/>
    <s v="JANUARY"/>
    <n v="10"/>
    <x v="0"/>
    <x v="0"/>
    <x v="0"/>
    <n v="15.58"/>
    <n v="0.76"/>
    <n v="0.25369999999999998"/>
    <n v="12"/>
    <n v="24"/>
    <n v="36"/>
  </r>
  <r>
    <n v="12"/>
    <d v="2011-01-01T00:00:00"/>
    <s v="winter"/>
    <s v="JANUARY"/>
    <n v="11"/>
    <x v="0"/>
    <x v="0"/>
    <x v="0"/>
    <n v="14.76"/>
    <n v="0.81"/>
    <n v="0.28360000000000002"/>
    <n v="26"/>
    <n v="30"/>
    <n v="56"/>
  </r>
  <r>
    <n v="13"/>
    <d v="2011-01-01T00:00:00"/>
    <s v="winter"/>
    <s v="JANUARY"/>
    <n v="12"/>
    <x v="0"/>
    <x v="0"/>
    <x v="0"/>
    <n v="17.22"/>
    <n v="0.77"/>
    <n v="0.28360000000000002"/>
    <n v="29"/>
    <n v="55"/>
    <n v="84"/>
  </r>
  <r>
    <n v="14"/>
    <d v="2011-01-01T00:00:00"/>
    <s v="winter"/>
    <s v="JANUARY"/>
    <n v="13"/>
    <x v="0"/>
    <x v="0"/>
    <x v="1"/>
    <n v="18.86"/>
    <n v="0.72"/>
    <n v="0.29849999999999999"/>
    <n v="47"/>
    <n v="47"/>
    <n v="94"/>
  </r>
  <r>
    <n v="15"/>
    <d v="2011-01-01T00:00:00"/>
    <s v="winter"/>
    <s v="JANUARY"/>
    <n v="14"/>
    <x v="0"/>
    <x v="0"/>
    <x v="1"/>
    <n v="18.86"/>
    <n v="0.72"/>
    <n v="0.28360000000000002"/>
    <n v="35"/>
    <n v="71"/>
    <n v="106"/>
  </r>
  <r>
    <n v="16"/>
    <d v="2011-01-01T00:00:00"/>
    <s v="winter"/>
    <s v="JANUARY"/>
    <n v="15"/>
    <x v="0"/>
    <x v="0"/>
    <x v="1"/>
    <n v="18.04"/>
    <n v="0.77"/>
    <n v="0.29849999999999999"/>
    <n v="40"/>
    <n v="70"/>
    <n v="110"/>
  </r>
  <r>
    <n v="17"/>
    <d v="2011-01-01T00:00:00"/>
    <s v="winter"/>
    <s v="JANUARY"/>
    <n v="16"/>
    <x v="0"/>
    <x v="0"/>
    <x v="1"/>
    <n v="17.22"/>
    <n v="0.82"/>
    <n v="0.29849999999999999"/>
    <n v="41"/>
    <n v="52"/>
    <n v="93"/>
  </r>
  <r>
    <n v="18"/>
    <d v="2011-01-01T00:00:00"/>
    <s v="winter"/>
    <s v="JANUARY"/>
    <n v="17"/>
    <x v="0"/>
    <x v="0"/>
    <x v="1"/>
    <n v="18.04"/>
    <n v="0.82"/>
    <n v="0.28360000000000002"/>
    <n v="15"/>
    <n v="52"/>
    <n v="67"/>
  </r>
  <r>
    <n v="19"/>
    <d v="2011-01-01T00:00:00"/>
    <s v="winter"/>
    <s v="JANUARY"/>
    <n v="18"/>
    <x v="0"/>
    <x v="0"/>
    <x v="2"/>
    <n v="17.22"/>
    <n v="0.88"/>
    <n v="0.25369999999999998"/>
    <n v="9"/>
    <n v="26"/>
    <n v="35"/>
  </r>
  <r>
    <n v="20"/>
    <d v="2011-01-01T00:00:00"/>
    <s v="winter"/>
    <s v="JANUARY"/>
    <n v="19"/>
    <x v="0"/>
    <x v="0"/>
    <x v="2"/>
    <n v="17.22"/>
    <n v="0.88"/>
    <n v="0.25369999999999998"/>
    <n v="6"/>
    <n v="31"/>
    <n v="37"/>
  </r>
  <r>
    <n v="21"/>
    <d v="2011-01-01T00:00:00"/>
    <s v="winter"/>
    <s v="JANUARY"/>
    <n v="20"/>
    <x v="0"/>
    <x v="0"/>
    <x v="1"/>
    <n v="16.400000000000002"/>
    <n v="0.87"/>
    <n v="0.25369999999999998"/>
    <n v="11"/>
    <n v="25"/>
    <n v="36"/>
  </r>
  <r>
    <n v="22"/>
    <d v="2011-01-01T00:00:00"/>
    <s v="winter"/>
    <s v="JANUARY"/>
    <n v="21"/>
    <x v="0"/>
    <x v="0"/>
    <x v="1"/>
    <n v="16.400000000000002"/>
    <n v="0.87"/>
    <n v="0.19400000000000001"/>
    <n v="3"/>
    <n v="31"/>
    <n v="34"/>
  </r>
  <r>
    <n v="23"/>
    <d v="2011-01-01T00:00:00"/>
    <s v="winter"/>
    <s v="JANUARY"/>
    <n v="22"/>
    <x v="0"/>
    <x v="0"/>
    <x v="1"/>
    <n v="16.400000000000002"/>
    <n v="0.94"/>
    <n v="0.22389999999999999"/>
    <n v="11"/>
    <n v="17"/>
    <n v="28"/>
  </r>
  <r>
    <n v="24"/>
    <d v="2011-01-01T00:00:00"/>
    <s v="winter"/>
    <s v="JANUARY"/>
    <n v="23"/>
    <x v="0"/>
    <x v="0"/>
    <x v="1"/>
    <n v="18.86"/>
    <n v="0.88"/>
    <n v="0.29849999999999999"/>
    <n v="15"/>
    <n v="24"/>
    <n v="39"/>
  </r>
  <r>
    <n v="25"/>
    <d v="2011-01-02T00:00:00"/>
    <s v="winter"/>
    <s v="JANUARY"/>
    <n v="0"/>
    <x v="0"/>
    <x v="1"/>
    <x v="1"/>
    <n v="18.86"/>
    <n v="0.88"/>
    <n v="0.29849999999999999"/>
    <n v="4"/>
    <n v="13"/>
    <n v="17"/>
  </r>
  <r>
    <n v="26"/>
    <d v="2011-01-02T00:00:00"/>
    <s v="winter"/>
    <s v="JANUARY"/>
    <n v="1"/>
    <x v="0"/>
    <x v="1"/>
    <x v="1"/>
    <n v="18.04"/>
    <n v="0.94"/>
    <n v="0.25369999999999998"/>
    <n v="1"/>
    <n v="16"/>
    <n v="17"/>
  </r>
  <r>
    <n v="27"/>
    <d v="2011-01-02T00:00:00"/>
    <s v="winter"/>
    <s v="JANUARY"/>
    <n v="2"/>
    <x v="0"/>
    <x v="1"/>
    <x v="1"/>
    <n v="17.22"/>
    <n v="1"/>
    <n v="0.28360000000000002"/>
    <n v="1"/>
    <n v="8"/>
    <n v="9"/>
  </r>
  <r>
    <n v="28"/>
    <d v="2011-01-02T00:00:00"/>
    <s v="winter"/>
    <s v="JANUARY"/>
    <n v="3"/>
    <x v="0"/>
    <x v="1"/>
    <x v="1"/>
    <n v="18.86"/>
    <n v="0.94"/>
    <n v="0.19400000000000001"/>
    <n v="2"/>
    <n v="4"/>
    <n v="6"/>
  </r>
  <r>
    <n v="29"/>
    <d v="2011-01-02T00:00:00"/>
    <s v="winter"/>
    <s v="JANUARY"/>
    <n v="4"/>
    <x v="0"/>
    <x v="1"/>
    <x v="1"/>
    <n v="18.86"/>
    <n v="0.94"/>
    <n v="0.19400000000000001"/>
    <n v="2"/>
    <n v="1"/>
    <n v="3"/>
  </r>
  <r>
    <n v="30"/>
    <d v="2011-01-02T00:00:00"/>
    <s v="winter"/>
    <s v="JANUARY"/>
    <n v="6"/>
    <x v="0"/>
    <x v="1"/>
    <x v="2"/>
    <n v="17.22"/>
    <n v="0.77"/>
    <n v="0.29849999999999999"/>
    <n v="0"/>
    <n v="2"/>
    <n v="2"/>
  </r>
  <r>
    <n v="31"/>
    <d v="2011-01-02T00:00:00"/>
    <s v="winter"/>
    <s v="JANUARY"/>
    <n v="7"/>
    <x v="0"/>
    <x v="1"/>
    <x v="1"/>
    <n v="16.400000000000002"/>
    <n v="0.76"/>
    <n v="0.19400000000000001"/>
    <n v="0"/>
    <n v="1"/>
    <n v="1"/>
  </r>
  <r>
    <n v="32"/>
    <d v="2011-01-02T00:00:00"/>
    <s v="winter"/>
    <s v="JANUARY"/>
    <n v="8"/>
    <x v="0"/>
    <x v="1"/>
    <x v="2"/>
    <n v="16.400000000000002"/>
    <n v="0.71"/>
    <n v="0.22389999999999999"/>
    <n v="0"/>
    <n v="8"/>
    <n v="8"/>
  </r>
  <r>
    <n v="33"/>
    <d v="2011-01-02T00:00:00"/>
    <s v="winter"/>
    <s v="JANUARY"/>
    <n v="9"/>
    <x v="0"/>
    <x v="1"/>
    <x v="1"/>
    <n v="15.58"/>
    <n v="0.76"/>
    <n v="0.22389999999999999"/>
    <n v="1"/>
    <n v="19"/>
    <n v="20"/>
  </r>
  <r>
    <n v="34"/>
    <d v="2011-01-02T00:00:00"/>
    <s v="winter"/>
    <s v="JANUARY"/>
    <n v="10"/>
    <x v="0"/>
    <x v="1"/>
    <x v="1"/>
    <n v="14.76"/>
    <n v="0.81"/>
    <n v="0.22389999999999999"/>
    <n v="7"/>
    <n v="46"/>
    <n v="53"/>
  </r>
  <r>
    <n v="35"/>
    <d v="2011-01-02T00:00:00"/>
    <s v="winter"/>
    <s v="JANUARY"/>
    <n v="11"/>
    <x v="0"/>
    <x v="1"/>
    <x v="1"/>
    <n v="14.76"/>
    <n v="0.71"/>
    <n v="0.25369999999999998"/>
    <n v="16"/>
    <n v="54"/>
    <n v="70"/>
  </r>
  <r>
    <n v="36"/>
    <d v="2011-01-02T00:00:00"/>
    <s v="winter"/>
    <s v="JANUARY"/>
    <n v="12"/>
    <x v="0"/>
    <x v="1"/>
    <x v="1"/>
    <n v="14.76"/>
    <n v="0.66"/>
    <n v="0.29849999999999999"/>
    <n v="20"/>
    <n v="73"/>
    <n v="93"/>
  </r>
  <r>
    <n v="37"/>
    <d v="2011-01-02T00:00:00"/>
    <s v="winter"/>
    <s v="JANUARY"/>
    <n v="13"/>
    <x v="0"/>
    <x v="1"/>
    <x v="1"/>
    <n v="14.76"/>
    <n v="0.66"/>
    <n v="0.1343"/>
    <n v="11"/>
    <n v="64"/>
    <n v="75"/>
  </r>
  <r>
    <n v="38"/>
    <d v="2011-01-02T00:00:00"/>
    <s v="winter"/>
    <s v="JANUARY"/>
    <n v="14"/>
    <x v="0"/>
    <x v="1"/>
    <x v="2"/>
    <n v="14.76"/>
    <n v="0.76"/>
    <n v="0.19400000000000001"/>
    <n v="4"/>
    <n v="55"/>
    <n v="59"/>
  </r>
  <r>
    <n v="39"/>
    <d v="2011-01-02T00:00:00"/>
    <s v="winter"/>
    <s v="JANUARY"/>
    <n v="15"/>
    <x v="0"/>
    <x v="1"/>
    <x v="2"/>
    <n v="13.940000000000001"/>
    <n v="0.81"/>
    <n v="0.16420000000000001"/>
    <n v="19"/>
    <n v="55"/>
    <n v="74"/>
  </r>
  <r>
    <n v="40"/>
    <d v="2011-01-02T00:00:00"/>
    <s v="winter"/>
    <s v="JANUARY"/>
    <n v="16"/>
    <x v="0"/>
    <x v="1"/>
    <x v="2"/>
    <n v="13.940000000000001"/>
    <n v="0.71"/>
    <n v="0.16420000000000001"/>
    <n v="9"/>
    <n v="67"/>
    <n v="76"/>
  </r>
  <r>
    <n v="41"/>
    <d v="2011-01-02T00:00:00"/>
    <s v="winter"/>
    <s v="JANUARY"/>
    <n v="17"/>
    <x v="0"/>
    <x v="1"/>
    <x v="0"/>
    <n v="13.940000000000001"/>
    <n v="0.56999999999999995"/>
    <n v="0.19400000000000001"/>
    <n v="7"/>
    <n v="58"/>
    <n v="65"/>
  </r>
  <r>
    <n v="42"/>
    <d v="2011-01-02T00:00:00"/>
    <s v="winter"/>
    <s v="JANUARY"/>
    <n v="18"/>
    <x v="0"/>
    <x v="1"/>
    <x v="1"/>
    <n v="14.76"/>
    <n v="0.46"/>
    <n v="0.32840000000000003"/>
    <n v="10"/>
    <n v="43"/>
    <n v="53"/>
  </r>
  <r>
    <n v="43"/>
    <d v="2011-01-02T00:00:00"/>
    <s v="winter"/>
    <s v="JANUARY"/>
    <n v="19"/>
    <x v="0"/>
    <x v="1"/>
    <x v="0"/>
    <n v="13.120000000000001"/>
    <n v="0.42"/>
    <n v="0.44779999999999998"/>
    <n v="1"/>
    <n v="29"/>
    <n v="30"/>
  </r>
  <r>
    <n v="44"/>
    <d v="2011-01-02T00:00:00"/>
    <s v="winter"/>
    <s v="JANUARY"/>
    <n v="20"/>
    <x v="0"/>
    <x v="1"/>
    <x v="0"/>
    <n v="12.299999999999999"/>
    <n v="0.39"/>
    <n v="0.35820000000000002"/>
    <n v="5"/>
    <n v="17"/>
    <n v="22"/>
  </r>
  <r>
    <n v="45"/>
    <d v="2011-01-02T00:00:00"/>
    <s v="winter"/>
    <s v="JANUARY"/>
    <n v="21"/>
    <x v="0"/>
    <x v="1"/>
    <x v="0"/>
    <n v="10.66"/>
    <n v="0.44"/>
    <n v="0.32840000000000003"/>
    <n v="11"/>
    <n v="20"/>
    <n v="31"/>
  </r>
  <r>
    <n v="46"/>
    <d v="2011-01-02T00:00:00"/>
    <s v="winter"/>
    <s v="JANUARY"/>
    <n v="22"/>
    <x v="0"/>
    <x v="1"/>
    <x v="0"/>
    <n v="9.84"/>
    <n v="0.44"/>
    <n v="0.29849999999999999"/>
    <n v="0"/>
    <n v="9"/>
    <n v="9"/>
  </r>
  <r>
    <n v="47"/>
    <d v="2011-01-02T00:00:00"/>
    <s v="winter"/>
    <s v="JANUARY"/>
    <n v="23"/>
    <x v="0"/>
    <x v="1"/>
    <x v="0"/>
    <n v="9.02"/>
    <n v="0.47"/>
    <n v="0.16420000000000001"/>
    <n v="0"/>
    <n v="8"/>
    <n v="8"/>
  </r>
  <r>
    <n v="48"/>
    <d v="2011-01-03T00:00:00"/>
    <s v="winter"/>
    <s v="JANUARY"/>
    <n v="0"/>
    <x v="0"/>
    <x v="2"/>
    <x v="0"/>
    <n v="9.02"/>
    <n v="0.44"/>
    <n v="0.35820000000000002"/>
    <n v="0"/>
    <n v="5"/>
    <n v="5"/>
  </r>
  <r>
    <n v="49"/>
    <d v="2011-01-03T00:00:00"/>
    <s v="winter"/>
    <s v="JANUARY"/>
    <n v="1"/>
    <x v="0"/>
    <x v="2"/>
    <x v="0"/>
    <n v="8.2000000000000011"/>
    <n v="0.44"/>
    <n v="0.41789999999999999"/>
    <n v="0"/>
    <n v="2"/>
    <n v="2"/>
  </r>
  <r>
    <n v="50"/>
    <d v="2011-01-03T00:00:00"/>
    <s v="winter"/>
    <s v="JANUARY"/>
    <n v="4"/>
    <x v="0"/>
    <x v="2"/>
    <x v="0"/>
    <n v="6.5600000000000005"/>
    <n v="0.47"/>
    <n v="0.3881"/>
    <n v="0"/>
    <n v="1"/>
    <n v="1"/>
  </r>
  <r>
    <n v="51"/>
    <d v="2011-01-03T00:00:00"/>
    <s v="winter"/>
    <s v="JANUARY"/>
    <n v="5"/>
    <x v="0"/>
    <x v="2"/>
    <x v="0"/>
    <n v="6.5600000000000005"/>
    <n v="0.47"/>
    <n v="0.28360000000000002"/>
    <n v="0"/>
    <n v="3"/>
    <n v="3"/>
  </r>
  <r>
    <n v="52"/>
    <d v="2011-01-03T00:00:00"/>
    <s v="winter"/>
    <s v="JANUARY"/>
    <n v="6"/>
    <x v="0"/>
    <x v="2"/>
    <x v="0"/>
    <n v="5.74"/>
    <n v="0.5"/>
    <n v="0.3881"/>
    <n v="0"/>
    <n v="30"/>
    <n v="30"/>
  </r>
  <r>
    <n v="53"/>
    <d v="2011-01-03T00:00:00"/>
    <s v="winter"/>
    <s v="JANUARY"/>
    <n v="7"/>
    <x v="0"/>
    <x v="2"/>
    <x v="0"/>
    <n v="5.74"/>
    <n v="0.5"/>
    <n v="0.19400000000000001"/>
    <n v="1"/>
    <n v="63"/>
    <n v="64"/>
  </r>
  <r>
    <n v="54"/>
    <d v="2011-01-03T00:00:00"/>
    <s v="winter"/>
    <s v="JANUARY"/>
    <n v="8"/>
    <x v="0"/>
    <x v="2"/>
    <x v="0"/>
    <n v="5.74"/>
    <n v="0.5"/>
    <n v="0.28360000000000002"/>
    <n v="1"/>
    <n v="153"/>
    <n v="154"/>
  </r>
  <r>
    <n v="55"/>
    <d v="2011-01-03T00:00:00"/>
    <s v="winter"/>
    <s v="JANUARY"/>
    <n v="9"/>
    <x v="0"/>
    <x v="2"/>
    <x v="0"/>
    <n v="6.5600000000000005"/>
    <n v="0.43"/>
    <n v="0.3881"/>
    <n v="7"/>
    <n v="81"/>
    <n v="88"/>
  </r>
  <r>
    <n v="56"/>
    <d v="2011-01-03T00:00:00"/>
    <s v="winter"/>
    <s v="JANUARY"/>
    <n v="10"/>
    <x v="0"/>
    <x v="2"/>
    <x v="0"/>
    <n v="7.38"/>
    <n v="0.43"/>
    <n v="0.25369999999999998"/>
    <n v="11"/>
    <n v="33"/>
    <n v="44"/>
  </r>
  <r>
    <n v="57"/>
    <d v="2011-01-03T00:00:00"/>
    <s v="winter"/>
    <s v="JANUARY"/>
    <n v="11"/>
    <x v="0"/>
    <x v="2"/>
    <x v="0"/>
    <n v="8.2000000000000011"/>
    <n v="0.4"/>
    <n v="0.32840000000000003"/>
    <n v="10"/>
    <n v="41"/>
    <n v="51"/>
  </r>
  <r>
    <n v="58"/>
    <d v="2011-01-03T00:00:00"/>
    <s v="winter"/>
    <s v="JANUARY"/>
    <n v="12"/>
    <x v="0"/>
    <x v="2"/>
    <x v="0"/>
    <n v="9.02"/>
    <n v="0.35"/>
    <n v="0.29849999999999999"/>
    <n v="13"/>
    <n v="48"/>
    <n v="61"/>
  </r>
  <r>
    <n v="59"/>
    <d v="2011-01-03T00:00:00"/>
    <s v="winter"/>
    <s v="JANUARY"/>
    <n v="13"/>
    <x v="0"/>
    <x v="2"/>
    <x v="0"/>
    <n v="9.84"/>
    <n v="0.35"/>
    <n v="0.28360000000000002"/>
    <n v="8"/>
    <n v="53"/>
    <n v="61"/>
  </r>
  <r>
    <n v="60"/>
    <d v="2011-01-03T00:00:00"/>
    <s v="winter"/>
    <s v="JANUARY"/>
    <n v="14"/>
    <x v="0"/>
    <x v="2"/>
    <x v="0"/>
    <n v="10.66"/>
    <n v="0.3"/>
    <n v="0.28360000000000002"/>
    <n v="11"/>
    <n v="66"/>
    <n v="77"/>
  </r>
  <r>
    <n v="61"/>
    <d v="2011-01-03T00:00:00"/>
    <s v="winter"/>
    <s v="JANUARY"/>
    <n v="15"/>
    <x v="0"/>
    <x v="2"/>
    <x v="0"/>
    <n v="10.66"/>
    <n v="0.3"/>
    <n v="0.25369999999999998"/>
    <n v="14"/>
    <n v="58"/>
    <n v="72"/>
  </r>
  <r>
    <n v="62"/>
    <d v="2011-01-03T00:00:00"/>
    <s v="winter"/>
    <s v="JANUARY"/>
    <n v="16"/>
    <x v="0"/>
    <x v="2"/>
    <x v="0"/>
    <n v="10.66"/>
    <n v="0.3"/>
    <n v="0.25369999999999998"/>
    <n v="9"/>
    <n v="67"/>
    <n v="76"/>
  </r>
  <r>
    <n v="63"/>
    <d v="2011-01-03T00:00:00"/>
    <s v="winter"/>
    <s v="JANUARY"/>
    <n v="17"/>
    <x v="0"/>
    <x v="2"/>
    <x v="0"/>
    <n v="9.84"/>
    <n v="0.3"/>
    <n v="0.22389999999999999"/>
    <n v="11"/>
    <n v="146"/>
    <n v="157"/>
  </r>
  <r>
    <n v="64"/>
    <d v="2011-01-03T00:00:00"/>
    <s v="winter"/>
    <s v="JANUARY"/>
    <n v="18"/>
    <x v="0"/>
    <x v="2"/>
    <x v="0"/>
    <n v="9.84"/>
    <n v="0.32"/>
    <n v="0.1045"/>
    <n v="9"/>
    <n v="148"/>
    <n v="157"/>
  </r>
  <r>
    <n v="65"/>
    <d v="2011-01-03T00:00:00"/>
    <s v="winter"/>
    <s v="JANUARY"/>
    <n v="19"/>
    <x v="0"/>
    <x v="2"/>
    <x v="0"/>
    <n v="8.2000000000000011"/>
    <n v="0.47"/>
    <n v="0"/>
    <n v="8"/>
    <n v="102"/>
    <n v="110"/>
  </r>
  <r>
    <n v="66"/>
    <d v="2011-01-03T00:00:00"/>
    <s v="winter"/>
    <s v="JANUARY"/>
    <n v="20"/>
    <x v="0"/>
    <x v="2"/>
    <x v="0"/>
    <n v="8.2000000000000011"/>
    <n v="0.47"/>
    <n v="0.1045"/>
    <n v="3"/>
    <n v="49"/>
    <n v="52"/>
  </r>
  <r>
    <n v="67"/>
    <d v="2011-01-03T00:00:00"/>
    <s v="winter"/>
    <s v="JANUARY"/>
    <n v="21"/>
    <x v="0"/>
    <x v="2"/>
    <x v="0"/>
    <n v="7.38"/>
    <n v="0.64"/>
    <n v="0.1343"/>
    <n v="3"/>
    <n v="49"/>
    <n v="52"/>
  </r>
  <r>
    <n v="68"/>
    <d v="2011-01-03T00:00:00"/>
    <s v="winter"/>
    <s v="JANUARY"/>
    <n v="22"/>
    <x v="0"/>
    <x v="2"/>
    <x v="0"/>
    <n v="5.74"/>
    <n v="0.69"/>
    <n v="0.1343"/>
    <n v="0"/>
    <n v="20"/>
    <n v="20"/>
  </r>
  <r>
    <n v="69"/>
    <d v="2011-01-03T00:00:00"/>
    <s v="winter"/>
    <s v="JANUARY"/>
    <n v="23"/>
    <x v="0"/>
    <x v="2"/>
    <x v="0"/>
    <n v="7.38"/>
    <n v="0.55000000000000004"/>
    <n v="0.1045"/>
    <n v="1"/>
    <n v="11"/>
    <n v="12"/>
  </r>
  <r>
    <n v="70"/>
    <d v="2011-01-04T00:00:00"/>
    <s v="winter"/>
    <s v="JANUARY"/>
    <n v="0"/>
    <x v="0"/>
    <x v="3"/>
    <x v="0"/>
    <n v="6.5600000000000005"/>
    <n v="0.55000000000000004"/>
    <n v="0.1045"/>
    <n v="0"/>
    <n v="5"/>
    <n v="5"/>
  </r>
  <r>
    <n v="71"/>
    <d v="2011-01-04T00:00:00"/>
    <s v="winter"/>
    <s v="JANUARY"/>
    <n v="1"/>
    <x v="0"/>
    <x v="3"/>
    <x v="0"/>
    <n v="6.5600000000000005"/>
    <n v="0.59"/>
    <n v="0.1045"/>
    <n v="0"/>
    <n v="2"/>
    <n v="2"/>
  </r>
  <r>
    <n v="72"/>
    <d v="2011-01-04T00:00:00"/>
    <s v="winter"/>
    <s v="JANUARY"/>
    <n v="2"/>
    <x v="0"/>
    <x v="3"/>
    <x v="0"/>
    <n v="5.74"/>
    <n v="0.63"/>
    <n v="0.1343"/>
    <n v="0"/>
    <n v="1"/>
    <n v="1"/>
  </r>
  <r>
    <n v="73"/>
    <d v="2011-01-04T00:00:00"/>
    <s v="winter"/>
    <s v="JANUARY"/>
    <n v="4"/>
    <x v="0"/>
    <x v="3"/>
    <x v="0"/>
    <n v="5.74"/>
    <n v="0.63"/>
    <n v="8.9599999999999999E-2"/>
    <n v="0"/>
    <n v="2"/>
    <n v="2"/>
  </r>
  <r>
    <n v="74"/>
    <d v="2011-01-04T00:00:00"/>
    <s v="winter"/>
    <s v="JANUARY"/>
    <n v="5"/>
    <x v="0"/>
    <x v="3"/>
    <x v="0"/>
    <n v="4.92"/>
    <n v="0.68"/>
    <n v="0.1045"/>
    <n v="0"/>
    <n v="4"/>
    <n v="4"/>
  </r>
  <r>
    <n v="75"/>
    <d v="2011-01-04T00:00:00"/>
    <s v="winter"/>
    <s v="JANUARY"/>
    <n v="6"/>
    <x v="0"/>
    <x v="3"/>
    <x v="0"/>
    <n v="4.92"/>
    <n v="0.74"/>
    <n v="0.1045"/>
    <n v="0"/>
    <n v="36"/>
    <n v="36"/>
  </r>
  <r>
    <n v="76"/>
    <d v="2011-01-04T00:00:00"/>
    <s v="winter"/>
    <s v="JANUARY"/>
    <n v="7"/>
    <x v="0"/>
    <x v="3"/>
    <x v="0"/>
    <n v="4.92"/>
    <n v="0.74"/>
    <n v="0.1343"/>
    <n v="2"/>
    <n v="92"/>
    <n v="94"/>
  </r>
  <r>
    <n v="77"/>
    <d v="2011-01-04T00:00:00"/>
    <s v="winter"/>
    <s v="JANUARY"/>
    <n v="8"/>
    <x v="0"/>
    <x v="3"/>
    <x v="0"/>
    <n v="5.74"/>
    <n v="0.69"/>
    <n v="0.16420000000000001"/>
    <n v="2"/>
    <n v="177"/>
    <n v="179"/>
  </r>
  <r>
    <n v="78"/>
    <d v="2011-01-04T00:00:00"/>
    <s v="winter"/>
    <s v="JANUARY"/>
    <n v="9"/>
    <x v="0"/>
    <x v="3"/>
    <x v="0"/>
    <n v="6.5600000000000005"/>
    <n v="0.64"/>
    <n v="0.22389999999999999"/>
    <n v="2"/>
    <n v="98"/>
    <n v="100"/>
  </r>
  <r>
    <n v="79"/>
    <d v="2011-01-04T00:00:00"/>
    <s v="winter"/>
    <s v="JANUARY"/>
    <n v="10"/>
    <x v="0"/>
    <x v="3"/>
    <x v="1"/>
    <n v="6.5600000000000005"/>
    <n v="0.69"/>
    <n v="0.32840000000000003"/>
    <n v="5"/>
    <n v="37"/>
    <n v="42"/>
  </r>
  <r>
    <n v="80"/>
    <d v="2011-01-04T00:00:00"/>
    <s v="winter"/>
    <s v="JANUARY"/>
    <n v="11"/>
    <x v="0"/>
    <x v="3"/>
    <x v="0"/>
    <n v="9.02"/>
    <n v="0.51"/>
    <n v="0.29849999999999999"/>
    <n v="7"/>
    <n v="50"/>
    <n v="57"/>
  </r>
  <r>
    <n v="81"/>
    <d v="2011-01-04T00:00:00"/>
    <s v="winter"/>
    <s v="JANUARY"/>
    <n v="12"/>
    <x v="0"/>
    <x v="3"/>
    <x v="0"/>
    <n v="9.02"/>
    <n v="0.51"/>
    <n v="0.16420000000000001"/>
    <n v="12"/>
    <n v="66"/>
    <n v="78"/>
  </r>
  <r>
    <n v="82"/>
    <d v="2011-01-04T00:00:00"/>
    <s v="winter"/>
    <s v="JANUARY"/>
    <n v="13"/>
    <x v="0"/>
    <x v="3"/>
    <x v="0"/>
    <n v="9.84"/>
    <n v="0.56000000000000005"/>
    <n v="0.19400000000000001"/>
    <n v="18"/>
    <n v="79"/>
    <n v="97"/>
  </r>
  <r>
    <n v="83"/>
    <d v="2011-01-04T00:00:00"/>
    <s v="winter"/>
    <s v="JANUARY"/>
    <n v="14"/>
    <x v="0"/>
    <x v="3"/>
    <x v="0"/>
    <n v="10.66"/>
    <n v="0.52"/>
    <n v="0.22389999999999999"/>
    <n v="9"/>
    <n v="54"/>
    <n v="63"/>
  </r>
  <r>
    <n v="84"/>
    <d v="2011-01-04T00:00:00"/>
    <s v="winter"/>
    <s v="JANUARY"/>
    <n v="15"/>
    <x v="0"/>
    <x v="3"/>
    <x v="0"/>
    <n v="11.48"/>
    <n v="0.52"/>
    <n v="0.25369999999999998"/>
    <n v="17"/>
    <n v="48"/>
    <n v="65"/>
  </r>
  <r>
    <n v="85"/>
    <d v="2011-01-04T00:00:00"/>
    <s v="winter"/>
    <s v="JANUARY"/>
    <n v="16"/>
    <x v="0"/>
    <x v="3"/>
    <x v="0"/>
    <n v="12.299999999999999"/>
    <n v="0.49"/>
    <n v="0.25369999999999998"/>
    <n v="15"/>
    <n v="68"/>
    <n v="83"/>
  </r>
  <r>
    <n v="86"/>
    <d v="2011-01-04T00:00:00"/>
    <s v="winter"/>
    <s v="JANUARY"/>
    <n v="17"/>
    <x v="0"/>
    <x v="3"/>
    <x v="0"/>
    <n v="11.48"/>
    <n v="0.48"/>
    <n v="0.22389999999999999"/>
    <n v="10"/>
    <n v="202"/>
    <n v="212"/>
  </r>
  <r>
    <n v="87"/>
    <d v="2011-01-04T00:00:00"/>
    <s v="winter"/>
    <s v="JANUARY"/>
    <n v="18"/>
    <x v="0"/>
    <x v="3"/>
    <x v="0"/>
    <n v="10.66"/>
    <n v="0.48"/>
    <n v="0.19400000000000001"/>
    <n v="3"/>
    <n v="179"/>
    <n v="182"/>
  </r>
  <r>
    <n v="88"/>
    <d v="2011-01-04T00:00:00"/>
    <s v="winter"/>
    <s v="JANUARY"/>
    <n v="19"/>
    <x v="0"/>
    <x v="3"/>
    <x v="0"/>
    <n v="9.84"/>
    <n v="0.48"/>
    <n v="0.1045"/>
    <n v="2"/>
    <n v="110"/>
    <n v="112"/>
  </r>
  <r>
    <n v="89"/>
    <d v="2011-01-04T00:00:00"/>
    <s v="winter"/>
    <s v="JANUARY"/>
    <n v="20"/>
    <x v="0"/>
    <x v="3"/>
    <x v="0"/>
    <n v="9.84"/>
    <n v="0.48"/>
    <n v="0.1045"/>
    <n v="1"/>
    <n v="53"/>
    <n v="54"/>
  </r>
  <r>
    <n v="90"/>
    <d v="2011-01-04T00:00:00"/>
    <s v="winter"/>
    <s v="JANUARY"/>
    <n v="21"/>
    <x v="0"/>
    <x v="3"/>
    <x v="0"/>
    <n v="9.02"/>
    <n v="0.64"/>
    <n v="0"/>
    <n v="0"/>
    <n v="48"/>
    <n v="48"/>
  </r>
  <r>
    <n v="91"/>
    <d v="2011-01-04T00:00:00"/>
    <s v="winter"/>
    <s v="JANUARY"/>
    <n v="22"/>
    <x v="0"/>
    <x v="3"/>
    <x v="0"/>
    <n v="9.02"/>
    <n v="0.64"/>
    <n v="8.9599999999999999E-2"/>
    <n v="1"/>
    <n v="34"/>
    <n v="35"/>
  </r>
  <r>
    <n v="92"/>
    <d v="2011-01-04T00:00:00"/>
    <s v="winter"/>
    <s v="JANUARY"/>
    <n v="23"/>
    <x v="0"/>
    <x v="3"/>
    <x v="0"/>
    <n v="8.2000000000000011"/>
    <n v="0.69"/>
    <n v="8.9599999999999999E-2"/>
    <n v="2"/>
    <n v="9"/>
    <n v="11"/>
  </r>
  <r>
    <n v="93"/>
    <d v="2011-01-05T00:00:00"/>
    <s v="winter"/>
    <s v="JANUARY"/>
    <n v="0"/>
    <x v="0"/>
    <x v="4"/>
    <x v="0"/>
    <n v="8.2000000000000011"/>
    <n v="0.64"/>
    <n v="0"/>
    <n v="0"/>
    <n v="6"/>
    <n v="6"/>
  </r>
  <r>
    <n v="94"/>
    <d v="2011-01-05T00:00:00"/>
    <s v="winter"/>
    <s v="JANUARY"/>
    <n v="1"/>
    <x v="0"/>
    <x v="4"/>
    <x v="0"/>
    <n v="6.5600000000000005"/>
    <n v="0.74"/>
    <n v="8.9599999999999999E-2"/>
    <n v="0"/>
    <n v="6"/>
    <n v="6"/>
  </r>
  <r>
    <n v="95"/>
    <d v="2011-01-05T00:00:00"/>
    <s v="winter"/>
    <s v="JANUARY"/>
    <n v="2"/>
    <x v="0"/>
    <x v="4"/>
    <x v="0"/>
    <n v="6.5600000000000005"/>
    <n v="0.74"/>
    <n v="8.9599999999999999E-2"/>
    <n v="0"/>
    <n v="2"/>
    <n v="2"/>
  </r>
  <r>
    <n v="96"/>
    <d v="2011-01-05T00:00:00"/>
    <s v="winter"/>
    <s v="JANUARY"/>
    <n v="4"/>
    <x v="0"/>
    <x v="4"/>
    <x v="0"/>
    <n v="9.84"/>
    <n v="0.48"/>
    <n v="0.22389999999999999"/>
    <n v="0"/>
    <n v="2"/>
    <n v="2"/>
  </r>
  <r>
    <n v="97"/>
    <d v="2011-01-05T00:00:00"/>
    <s v="winter"/>
    <s v="JANUARY"/>
    <n v="5"/>
    <x v="0"/>
    <x v="4"/>
    <x v="0"/>
    <n v="9.02"/>
    <n v="0.47"/>
    <n v="0.16420000000000001"/>
    <n v="0"/>
    <n v="3"/>
    <n v="3"/>
  </r>
  <r>
    <n v="98"/>
    <d v="2011-01-05T00:00:00"/>
    <s v="winter"/>
    <s v="JANUARY"/>
    <n v="6"/>
    <x v="0"/>
    <x v="4"/>
    <x v="0"/>
    <n v="8.2000000000000011"/>
    <n v="0.47"/>
    <n v="0.22389999999999999"/>
    <n v="0"/>
    <n v="33"/>
    <n v="33"/>
  </r>
  <r>
    <n v="99"/>
    <d v="2011-01-05T00:00:00"/>
    <s v="winter"/>
    <s v="JANUARY"/>
    <n v="7"/>
    <x v="0"/>
    <x v="4"/>
    <x v="0"/>
    <n v="7.38"/>
    <n v="0.43"/>
    <n v="0.19400000000000001"/>
    <n v="1"/>
    <n v="87"/>
    <n v="88"/>
  </r>
  <r>
    <n v="100"/>
    <d v="2011-01-05T00:00:00"/>
    <s v="winter"/>
    <s v="JANUARY"/>
    <n v="8"/>
    <x v="0"/>
    <x v="4"/>
    <x v="0"/>
    <n v="8.2000000000000011"/>
    <n v="0.4"/>
    <n v="0.29849999999999999"/>
    <n v="3"/>
    <n v="192"/>
    <n v="195"/>
  </r>
  <r>
    <n v="101"/>
    <d v="2011-01-05T00:00:00"/>
    <s v="winter"/>
    <s v="JANUARY"/>
    <n v="9"/>
    <x v="0"/>
    <x v="4"/>
    <x v="0"/>
    <n v="9.02"/>
    <n v="0.37"/>
    <n v="0.32840000000000003"/>
    <n v="6"/>
    <n v="109"/>
    <n v="115"/>
  </r>
  <r>
    <n v="102"/>
    <d v="2011-01-05T00:00:00"/>
    <s v="winter"/>
    <s v="JANUARY"/>
    <n v="10"/>
    <x v="0"/>
    <x v="4"/>
    <x v="0"/>
    <n v="9.02"/>
    <n v="0.37"/>
    <n v="0.32840000000000003"/>
    <n v="4"/>
    <n v="53"/>
    <n v="57"/>
  </r>
  <r>
    <n v="103"/>
    <d v="2011-01-05T00:00:00"/>
    <s v="winter"/>
    <s v="JANUARY"/>
    <n v="11"/>
    <x v="0"/>
    <x v="4"/>
    <x v="0"/>
    <n v="10.66"/>
    <n v="0.33"/>
    <n v="0.32840000000000003"/>
    <n v="12"/>
    <n v="34"/>
    <n v="46"/>
  </r>
  <r>
    <n v="104"/>
    <d v="2011-01-05T00:00:00"/>
    <s v="winter"/>
    <s v="JANUARY"/>
    <n v="12"/>
    <x v="0"/>
    <x v="4"/>
    <x v="0"/>
    <n v="10.66"/>
    <n v="0.33"/>
    <n v="0.32840000000000003"/>
    <n v="5"/>
    <n v="74"/>
    <n v="79"/>
  </r>
  <r>
    <n v="105"/>
    <d v="2011-01-05T00:00:00"/>
    <s v="winter"/>
    <s v="JANUARY"/>
    <n v="13"/>
    <x v="0"/>
    <x v="4"/>
    <x v="0"/>
    <n v="11.48"/>
    <n v="0.3"/>
    <n v="0.29849999999999999"/>
    <n v="6"/>
    <n v="65"/>
    <n v="71"/>
  </r>
  <r>
    <n v="106"/>
    <d v="2011-01-05T00:00:00"/>
    <s v="winter"/>
    <s v="JANUARY"/>
    <n v="14"/>
    <x v="0"/>
    <x v="4"/>
    <x v="0"/>
    <n v="12.299999999999999"/>
    <n v="0.28000000000000003"/>
    <n v="0.19400000000000001"/>
    <n v="10"/>
    <n v="52"/>
    <n v="62"/>
  </r>
  <r>
    <n v="107"/>
    <d v="2011-01-05T00:00:00"/>
    <s v="winter"/>
    <s v="JANUARY"/>
    <n v="15"/>
    <x v="0"/>
    <x v="4"/>
    <x v="0"/>
    <n v="12.299999999999999"/>
    <n v="0.28000000000000003"/>
    <n v="0.19400000000000001"/>
    <n v="7"/>
    <n v="55"/>
    <n v="62"/>
  </r>
  <r>
    <n v="108"/>
    <d v="2011-01-05T00:00:00"/>
    <s v="winter"/>
    <s v="JANUARY"/>
    <n v="16"/>
    <x v="0"/>
    <x v="4"/>
    <x v="0"/>
    <n v="12.299999999999999"/>
    <n v="0.28000000000000003"/>
    <n v="8.9599999999999999E-2"/>
    <n v="4"/>
    <n v="85"/>
    <n v="89"/>
  </r>
  <r>
    <n v="109"/>
    <d v="2011-01-05T00:00:00"/>
    <s v="winter"/>
    <s v="JANUARY"/>
    <n v="17"/>
    <x v="0"/>
    <x v="4"/>
    <x v="0"/>
    <n v="9.84"/>
    <n v="0.38"/>
    <n v="0.19400000000000001"/>
    <n v="4"/>
    <n v="186"/>
    <n v="190"/>
  </r>
  <r>
    <n v="110"/>
    <d v="2011-01-05T00:00:00"/>
    <s v="winter"/>
    <s v="JANUARY"/>
    <n v="18"/>
    <x v="0"/>
    <x v="4"/>
    <x v="0"/>
    <n v="9.84"/>
    <n v="0.38"/>
    <n v="0.1343"/>
    <n v="3"/>
    <n v="166"/>
    <n v="169"/>
  </r>
  <r>
    <n v="111"/>
    <d v="2011-01-05T00:00:00"/>
    <s v="winter"/>
    <s v="JANUARY"/>
    <n v="19"/>
    <x v="0"/>
    <x v="4"/>
    <x v="0"/>
    <n v="9.84"/>
    <n v="0.38"/>
    <n v="0.1045"/>
    <n v="5"/>
    <n v="127"/>
    <n v="132"/>
  </r>
  <r>
    <n v="112"/>
    <d v="2011-01-05T00:00:00"/>
    <s v="winter"/>
    <s v="JANUARY"/>
    <n v="20"/>
    <x v="0"/>
    <x v="4"/>
    <x v="0"/>
    <n v="9.02"/>
    <n v="0.47"/>
    <n v="0.16420000000000001"/>
    <n v="7"/>
    <n v="82"/>
    <n v="89"/>
  </r>
  <r>
    <n v="113"/>
    <d v="2011-01-05T00:00:00"/>
    <s v="winter"/>
    <s v="JANUARY"/>
    <n v="21"/>
    <x v="0"/>
    <x v="4"/>
    <x v="0"/>
    <n v="8.2000000000000011"/>
    <n v="0.51"/>
    <n v="0.19400000000000001"/>
    <n v="3"/>
    <n v="40"/>
    <n v="43"/>
  </r>
  <r>
    <n v="114"/>
    <d v="2011-01-05T00:00:00"/>
    <s v="winter"/>
    <s v="JANUARY"/>
    <n v="22"/>
    <x v="0"/>
    <x v="4"/>
    <x v="0"/>
    <n v="7.38"/>
    <n v="0.55000000000000004"/>
    <n v="0.1343"/>
    <n v="1"/>
    <n v="41"/>
    <n v="42"/>
  </r>
  <r>
    <n v="115"/>
    <d v="2011-01-05T00:00:00"/>
    <s v="winter"/>
    <s v="JANUARY"/>
    <n v="23"/>
    <x v="0"/>
    <x v="4"/>
    <x v="0"/>
    <n v="8.2000000000000011"/>
    <n v="0.47"/>
    <n v="0"/>
    <n v="1"/>
    <n v="18"/>
    <n v="19"/>
  </r>
  <r>
    <n v="116"/>
    <d v="2011-01-06T00:00:00"/>
    <s v="winter"/>
    <s v="JANUARY"/>
    <n v="0"/>
    <x v="0"/>
    <x v="5"/>
    <x v="0"/>
    <n v="7.38"/>
    <n v="0.55000000000000004"/>
    <n v="0"/>
    <n v="0"/>
    <n v="11"/>
    <n v="11"/>
  </r>
  <r>
    <n v="117"/>
    <d v="2011-01-06T00:00:00"/>
    <s v="winter"/>
    <s v="JANUARY"/>
    <n v="1"/>
    <x v="0"/>
    <x v="5"/>
    <x v="0"/>
    <n v="6.5600000000000005"/>
    <n v="0.64"/>
    <n v="0"/>
    <n v="0"/>
    <n v="4"/>
    <n v="4"/>
  </r>
  <r>
    <n v="118"/>
    <d v="2011-01-06T00:00:00"/>
    <s v="winter"/>
    <s v="JANUARY"/>
    <n v="2"/>
    <x v="0"/>
    <x v="5"/>
    <x v="0"/>
    <n v="6.5600000000000005"/>
    <n v="0.64"/>
    <n v="0"/>
    <n v="0"/>
    <n v="2"/>
    <n v="2"/>
  </r>
  <r>
    <n v="119"/>
    <d v="2011-01-06T00:00:00"/>
    <s v="winter"/>
    <s v="JANUARY"/>
    <n v="4"/>
    <x v="0"/>
    <x v="5"/>
    <x v="1"/>
    <n v="6.5600000000000005"/>
    <n v="0.64"/>
    <n v="8.9599999999999999E-2"/>
    <n v="0"/>
    <n v="1"/>
    <n v="1"/>
  </r>
  <r>
    <n v="120"/>
    <d v="2011-01-06T00:00:00"/>
    <s v="winter"/>
    <s v="JANUARY"/>
    <n v="5"/>
    <x v="0"/>
    <x v="5"/>
    <x v="1"/>
    <n v="5.74"/>
    <n v="0.69"/>
    <n v="8.9599999999999999E-2"/>
    <n v="0"/>
    <n v="4"/>
    <n v="4"/>
  </r>
  <r>
    <n v="121"/>
    <d v="2011-01-06T00:00:00"/>
    <s v="winter"/>
    <s v="JANUARY"/>
    <n v="6"/>
    <x v="0"/>
    <x v="5"/>
    <x v="1"/>
    <n v="5.74"/>
    <n v="0.63"/>
    <n v="0.1045"/>
    <n v="0"/>
    <n v="36"/>
    <n v="36"/>
  </r>
  <r>
    <n v="122"/>
    <d v="2011-01-06T00:00:00"/>
    <s v="winter"/>
    <s v="JANUARY"/>
    <n v="7"/>
    <x v="0"/>
    <x v="5"/>
    <x v="1"/>
    <n v="6.5600000000000005"/>
    <n v="0.59"/>
    <n v="0"/>
    <n v="0"/>
    <n v="95"/>
    <n v="95"/>
  </r>
  <r>
    <n v="123"/>
    <d v="2011-01-06T00:00:00"/>
    <s v="winter"/>
    <s v="JANUARY"/>
    <n v="8"/>
    <x v="0"/>
    <x v="5"/>
    <x v="0"/>
    <n v="6.5600000000000005"/>
    <n v="0.59"/>
    <n v="0"/>
    <n v="3"/>
    <n v="216"/>
    <n v="219"/>
  </r>
  <r>
    <n v="124"/>
    <d v="2011-01-06T00:00:00"/>
    <s v="winter"/>
    <s v="JANUARY"/>
    <n v="9"/>
    <x v="0"/>
    <x v="5"/>
    <x v="1"/>
    <n v="7.38"/>
    <n v="0.51"/>
    <n v="0"/>
    <n v="6"/>
    <n v="116"/>
    <n v="122"/>
  </r>
  <r>
    <n v="125"/>
    <d v="2011-01-06T00:00:00"/>
    <s v="winter"/>
    <s v="JANUARY"/>
    <n v="10"/>
    <x v="0"/>
    <x v="5"/>
    <x v="0"/>
    <n v="8.2000000000000011"/>
    <n v="0.47"/>
    <n v="0"/>
    <n v="3"/>
    <n v="42"/>
    <n v="45"/>
  </r>
  <r>
    <n v="126"/>
    <d v="2011-01-06T00:00:00"/>
    <s v="winter"/>
    <s v="JANUARY"/>
    <n v="11"/>
    <x v="0"/>
    <x v="5"/>
    <x v="0"/>
    <n v="9.02"/>
    <n v="0.44"/>
    <n v="8.9599999999999999E-2"/>
    <n v="2"/>
    <n v="57"/>
    <n v="59"/>
  </r>
  <r>
    <n v="127"/>
    <d v="2011-01-06T00:00:00"/>
    <s v="winter"/>
    <s v="JANUARY"/>
    <n v="12"/>
    <x v="0"/>
    <x v="5"/>
    <x v="0"/>
    <n v="10.66"/>
    <n v="0.35"/>
    <n v="0"/>
    <n v="6"/>
    <n v="78"/>
    <n v="84"/>
  </r>
  <r>
    <n v="128"/>
    <d v="2011-01-06T00:00:00"/>
    <s v="winter"/>
    <s v="JANUARY"/>
    <n v="13"/>
    <x v="0"/>
    <x v="5"/>
    <x v="0"/>
    <n v="10.66"/>
    <n v="0.35"/>
    <n v="0.1045"/>
    <n v="12"/>
    <n v="55"/>
    <n v="67"/>
  </r>
  <r>
    <n v="129"/>
    <d v="2011-01-06T00:00:00"/>
    <s v="winter"/>
    <s v="JANUARY"/>
    <n v="14"/>
    <x v="0"/>
    <x v="5"/>
    <x v="0"/>
    <n v="11.48"/>
    <n v="0.36"/>
    <n v="0.16420000000000001"/>
    <n v="11"/>
    <n v="59"/>
    <n v="70"/>
  </r>
  <r>
    <n v="130"/>
    <d v="2011-01-06T00:00:00"/>
    <s v="winter"/>
    <s v="JANUARY"/>
    <n v="15"/>
    <x v="0"/>
    <x v="5"/>
    <x v="0"/>
    <n v="11.48"/>
    <n v="0.36"/>
    <n v="0"/>
    <n v="8"/>
    <n v="54"/>
    <n v="62"/>
  </r>
  <r>
    <n v="131"/>
    <d v="2011-01-06T00:00:00"/>
    <s v="winter"/>
    <s v="JANUARY"/>
    <n v="16"/>
    <x v="0"/>
    <x v="5"/>
    <x v="0"/>
    <n v="10.66"/>
    <n v="0.38"/>
    <n v="0.16420000000000001"/>
    <n v="12"/>
    <n v="74"/>
    <n v="86"/>
  </r>
  <r>
    <n v="132"/>
    <d v="2011-01-06T00:00:00"/>
    <s v="winter"/>
    <s v="JANUARY"/>
    <n v="17"/>
    <x v="0"/>
    <x v="5"/>
    <x v="0"/>
    <n v="9.02"/>
    <n v="0.51"/>
    <n v="0.16420000000000001"/>
    <n v="9"/>
    <n v="163"/>
    <n v="172"/>
  </r>
  <r>
    <n v="133"/>
    <d v="2011-01-06T00:00:00"/>
    <s v="winter"/>
    <s v="JANUARY"/>
    <n v="18"/>
    <x v="0"/>
    <x v="5"/>
    <x v="0"/>
    <n v="9.02"/>
    <n v="0.51"/>
    <n v="0.1343"/>
    <n v="5"/>
    <n v="158"/>
    <n v="163"/>
  </r>
  <r>
    <n v="134"/>
    <d v="2011-01-06T00:00:00"/>
    <s v="winter"/>
    <s v="JANUARY"/>
    <n v="19"/>
    <x v="0"/>
    <x v="5"/>
    <x v="0"/>
    <n v="9.02"/>
    <n v="0.55000000000000004"/>
    <n v="8.9599999999999999E-2"/>
    <n v="3"/>
    <n v="109"/>
    <n v="112"/>
  </r>
  <r>
    <n v="135"/>
    <d v="2011-01-06T00:00:00"/>
    <s v="winter"/>
    <s v="JANUARY"/>
    <n v="20"/>
    <x v="0"/>
    <x v="5"/>
    <x v="0"/>
    <n v="8.2000000000000011"/>
    <n v="0.51"/>
    <n v="0.16420000000000001"/>
    <n v="3"/>
    <n v="66"/>
    <n v="69"/>
  </r>
  <r>
    <n v="136"/>
    <d v="2011-01-06T00:00:00"/>
    <s v="winter"/>
    <s v="JANUARY"/>
    <n v="21"/>
    <x v="0"/>
    <x v="5"/>
    <x v="1"/>
    <n v="9.02"/>
    <n v="0.55000000000000004"/>
    <n v="0.22389999999999999"/>
    <n v="0"/>
    <n v="48"/>
    <n v="48"/>
  </r>
  <r>
    <n v="137"/>
    <d v="2011-01-06T00:00:00"/>
    <s v="winter"/>
    <s v="JANUARY"/>
    <n v="22"/>
    <x v="0"/>
    <x v="5"/>
    <x v="1"/>
    <n v="9.02"/>
    <n v="0.51"/>
    <n v="0.28360000000000002"/>
    <n v="1"/>
    <n v="51"/>
    <n v="52"/>
  </r>
  <r>
    <n v="138"/>
    <d v="2011-01-06T00:00:00"/>
    <s v="winter"/>
    <s v="JANUARY"/>
    <n v="23"/>
    <x v="0"/>
    <x v="5"/>
    <x v="1"/>
    <n v="8.2000000000000011"/>
    <n v="0.59"/>
    <n v="0.19400000000000001"/>
    <n v="4"/>
    <n v="19"/>
    <n v="23"/>
  </r>
  <r>
    <n v="139"/>
    <d v="2011-01-07T00:00:00"/>
    <s v="winter"/>
    <s v="JANUARY"/>
    <n v="0"/>
    <x v="0"/>
    <x v="6"/>
    <x v="1"/>
    <n v="8.2000000000000011"/>
    <n v="0.64"/>
    <n v="0.19400000000000001"/>
    <n v="4"/>
    <n v="13"/>
    <n v="17"/>
  </r>
  <r>
    <n v="140"/>
    <d v="2011-01-07T00:00:00"/>
    <s v="winter"/>
    <s v="JANUARY"/>
    <n v="1"/>
    <x v="0"/>
    <x v="6"/>
    <x v="1"/>
    <n v="8.2000000000000011"/>
    <n v="0.69"/>
    <n v="0.22389999999999999"/>
    <n v="2"/>
    <n v="5"/>
    <n v="7"/>
  </r>
  <r>
    <n v="141"/>
    <d v="2011-01-07T00:00:00"/>
    <s v="winter"/>
    <s v="JANUARY"/>
    <n v="2"/>
    <x v="0"/>
    <x v="6"/>
    <x v="1"/>
    <n v="8.2000000000000011"/>
    <n v="0.69"/>
    <n v="0.22389999999999999"/>
    <n v="0"/>
    <n v="1"/>
    <n v="1"/>
  </r>
  <r>
    <n v="142"/>
    <d v="2011-01-07T00:00:00"/>
    <s v="winter"/>
    <s v="JANUARY"/>
    <n v="4"/>
    <x v="0"/>
    <x v="6"/>
    <x v="1"/>
    <n v="8.2000000000000011"/>
    <n v="0.69"/>
    <n v="0.1343"/>
    <n v="0"/>
    <n v="1"/>
    <n v="1"/>
  </r>
  <r>
    <n v="143"/>
    <d v="2011-01-07T00:00:00"/>
    <s v="winter"/>
    <s v="JANUARY"/>
    <n v="5"/>
    <x v="0"/>
    <x v="6"/>
    <x v="2"/>
    <n v="9.02"/>
    <n v="0.55000000000000004"/>
    <n v="0"/>
    <n v="0"/>
    <n v="5"/>
    <n v="5"/>
  </r>
  <r>
    <n v="144"/>
    <d v="2011-01-07T00:00:00"/>
    <s v="winter"/>
    <s v="JANUARY"/>
    <n v="6"/>
    <x v="0"/>
    <x v="6"/>
    <x v="1"/>
    <n v="8.2000000000000011"/>
    <n v="0.69"/>
    <n v="0"/>
    <n v="8"/>
    <n v="26"/>
    <n v="34"/>
  </r>
  <r>
    <n v="145"/>
    <d v="2011-01-07T00:00:00"/>
    <s v="winter"/>
    <s v="JANUARY"/>
    <n v="7"/>
    <x v="0"/>
    <x v="6"/>
    <x v="0"/>
    <n v="8.2000000000000011"/>
    <n v="0.69"/>
    <n v="0.1343"/>
    <n v="8"/>
    <n v="76"/>
    <n v="84"/>
  </r>
  <r>
    <n v="146"/>
    <d v="2011-01-07T00:00:00"/>
    <s v="winter"/>
    <s v="JANUARY"/>
    <n v="8"/>
    <x v="0"/>
    <x v="6"/>
    <x v="0"/>
    <n v="8.2000000000000011"/>
    <n v="0.51"/>
    <n v="0.25369999999999998"/>
    <n v="20"/>
    <n v="190"/>
    <n v="210"/>
  </r>
  <r>
    <n v="147"/>
    <d v="2011-01-07T00:00:00"/>
    <s v="winter"/>
    <s v="JANUARY"/>
    <n v="9"/>
    <x v="0"/>
    <x v="6"/>
    <x v="0"/>
    <n v="8.2000000000000011"/>
    <n v="0.47"/>
    <n v="0.29849999999999999"/>
    <n v="9"/>
    <n v="125"/>
    <n v="134"/>
  </r>
  <r>
    <n v="148"/>
    <d v="2011-01-07T00:00:00"/>
    <s v="winter"/>
    <s v="JANUARY"/>
    <n v="10"/>
    <x v="0"/>
    <x v="6"/>
    <x v="0"/>
    <n v="9.02"/>
    <n v="0.37"/>
    <n v="0.32840000000000003"/>
    <n v="16"/>
    <n v="47"/>
    <n v="63"/>
  </r>
  <r>
    <n v="149"/>
    <d v="2011-01-07T00:00:00"/>
    <s v="winter"/>
    <s v="JANUARY"/>
    <n v="11"/>
    <x v="0"/>
    <x v="6"/>
    <x v="1"/>
    <n v="8.2000000000000011"/>
    <n v="0.4"/>
    <n v="0.22389999999999999"/>
    <n v="19"/>
    <n v="48"/>
    <n v="67"/>
  </r>
  <r>
    <n v="150"/>
    <d v="2011-01-07T00:00:00"/>
    <s v="winter"/>
    <s v="JANUARY"/>
    <n v="12"/>
    <x v="0"/>
    <x v="6"/>
    <x v="1"/>
    <n v="8.2000000000000011"/>
    <n v="0.37"/>
    <n v="0.25369999999999998"/>
    <n v="9"/>
    <n v="50"/>
    <n v="59"/>
  </r>
  <r>
    <n v="151"/>
    <d v="2011-01-07T00:00:00"/>
    <s v="winter"/>
    <s v="JANUARY"/>
    <n v="13"/>
    <x v="0"/>
    <x v="6"/>
    <x v="1"/>
    <n v="8.2000000000000011"/>
    <n v="0.37"/>
    <n v="0.28360000000000002"/>
    <n v="9"/>
    <n v="64"/>
    <n v="73"/>
  </r>
  <r>
    <n v="152"/>
    <d v="2011-01-07T00:00:00"/>
    <s v="winter"/>
    <s v="JANUARY"/>
    <n v="14"/>
    <x v="0"/>
    <x v="6"/>
    <x v="1"/>
    <n v="8.2000000000000011"/>
    <n v="0.4"/>
    <n v="0.25369999999999998"/>
    <n v="7"/>
    <n v="43"/>
    <n v="50"/>
  </r>
  <r>
    <n v="153"/>
    <d v="2011-01-07T00:00:00"/>
    <s v="winter"/>
    <s v="JANUARY"/>
    <n v="15"/>
    <x v="0"/>
    <x v="6"/>
    <x v="1"/>
    <n v="8.2000000000000011"/>
    <n v="0.37"/>
    <n v="0.16420000000000001"/>
    <n v="9"/>
    <n v="63"/>
    <n v="72"/>
  </r>
  <r>
    <n v="154"/>
    <d v="2011-01-07T00:00:00"/>
    <s v="winter"/>
    <s v="JANUARY"/>
    <n v="16"/>
    <x v="0"/>
    <x v="6"/>
    <x v="1"/>
    <n v="8.2000000000000011"/>
    <n v="0.37"/>
    <n v="0.16420000000000001"/>
    <n v="5"/>
    <n v="82"/>
    <n v="87"/>
  </r>
  <r>
    <n v="155"/>
    <d v="2011-01-07T00:00:00"/>
    <s v="winter"/>
    <s v="JANUARY"/>
    <n v="17"/>
    <x v="0"/>
    <x v="6"/>
    <x v="1"/>
    <n v="8.2000000000000011"/>
    <n v="0.37"/>
    <n v="0"/>
    <n v="9"/>
    <n v="178"/>
    <n v="187"/>
  </r>
  <r>
    <n v="156"/>
    <d v="2011-01-07T00:00:00"/>
    <s v="winter"/>
    <s v="JANUARY"/>
    <n v="18"/>
    <x v="0"/>
    <x v="6"/>
    <x v="0"/>
    <n v="8.2000000000000011"/>
    <n v="0.4"/>
    <n v="8.9599999999999999E-2"/>
    <n v="7"/>
    <n v="116"/>
    <n v="123"/>
  </r>
  <r>
    <n v="157"/>
    <d v="2011-01-07T00:00:00"/>
    <s v="winter"/>
    <s v="JANUARY"/>
    <n v="19"/>
    <x v="0"/>
    <x v="6"/>
    <x v="0"/>
    <n v="6.5600000000000005"/>
    <n v="0.55000000000000004"/>
    <n v="8.9599999999999999E-2"/>
    <n v="3"/>
    <n v="92"/>
    <n v="95"/>
  </r>
  <r>
    <n v="158"/>
    <d v="2011-01-07T00:00:00"/>
    <s v="winter"/>
    <s v="JANUARY"/>
    <n v="20"/>
    <x v="0"/>
    <x v="6"/>
    <x v="0"/>
    <n v="7.38"/>
    <n v="0.47"/>
    <n v="0.1045"/>
    <n v="1"/>
    <n v="50"/>
    <n v="51"/>
  </r>
  <r>
    <n v="159"/>
    <d v="2011-01-07T00:00:00"/>
    <s v="winter"/>
    <s v="JANUARY"/>
    <n v="21"/>
    <x v="0"/>
    <x v="6"/>
    <x v="0"/>
    <n v="7.38"/>
    <n v="0.47"/>
    <n v="0.1343"/>
    <n v="0"/>
    <n v="39"/>
    <n v="39"/>
  </r>
  <r>
    <n v="160"/>
    <d v="2011-01-07T00:00:00"/>
    <s v="winter"/>
    <s v="JANUARY"/>
    <n v="22"/>
    <x v="0"/>
    <x v="6"/>
    <x v="1"/>
    <n v="7.38"/>
    <n v="0.43"/>
    <n v="0.16420000000000001"/>
    <n v="2"/>
    <n v="34"/>
    <n v="36"/>
  </r>
  <r>
    <n v="161"/>
    <d v="2011-01-07T00:00:00"/>
    <s v="winter"/>
    <s v="JANUARY"/>
    <n v="23"/>
    <x v="0"/>
    <x v="6"/>
    <x v="1"/>
    <n v="7.38"/>
    <n v="0.51"/>
    <n v="0.16420000000000001"/>
    <n v="1"/>
    <n v="14"/>
    <n v="15"/>
  </r>
  <r>
    <n v="162"/>
    <d v="2011-01-08T00:00:00"/>
    <s v="winter"/>
    <s v="JANUARY"/>
    <n v="0"/>
    <x v="0"/>
    <x v="0"/>
    <x v="1"/>
    <n v="7.38"/>
    <n v="0.51"/>
    <n v="0.16420000000000001"/>
    <n v="1"/>
    <n v="24"/>
    <n v="25"/>
  </r>
  <r>
    <n v="163"/>
    <d v="2011-01-08T00:00:00"/>
    <s v="winter"/>
    <s v="JANUARY"/>
    <n v="1"/>
    <x v="0"/>
    <x v="0"/>
    <x v="1"/>
    <n v="7.38"/>
    <n v="0.55000000000000004"/>
    <n v="8.9599999999999999E-2"/>
    <n v="1"/>
    <n v="15"/>
    <n v="16"/>
  </r>
  <r>
    <n v="164"/>
    <d v="2011-01-08T00:00:00"/>
    <s v="winter"/>
    <s v="JANUARY"/>
    <n v="2"/>
    <x v="0"/>
    <x v="0"/>
    <x v="1"/>
    <n v="7.38"/>
    <n v="0.55000000000000004"/>
    <n v="0"/>
    <n v="3"/>
    <n v="13"/>
    <n v="16"/>
  </r>
  <r>
    <n v="165"/>
    <d v="2011-01-08T00:00:00"/>
    <s v="winter"/>
    <s v="JANUARY"/>
    <n v="3"/>
    <x v="0"/>
    <x v="0"/>
    <x v="2"/>
    <n v="7.38"/>
    <n v="0.55000000000000004"/>
    <n v="0.16420000000000001"/>
    <n v="0"/>
    <n v="7"/>
    <n v="7"/>
  </r>
  <r>
    <n v="166"/>
    <d v="2011-01-08T00:00:00"/>
    <s v="winter"/>
    <s v="JANUARY"/>
    <n v="4"/>
    <x v="0"/>
    <x v="0"/>
    <x v="2"/>
    <n v="7.38"/>
    <n v="0.55000000000000004"/>
    <n v="0.16420000000000001"/>
    <n v="0"/>
    <n v="1"/>
    <n v="1"/>
  </r>
  <r>
    <n v="167"/>
    <d v="2011-01-08T00:00:00"/>
    <s v="winter"/>
    <s v="JANUARY"/>
    <n v="5"/>
    <x v="0"/>
    <x v="0"/>
    <x v="1"/>
    <n v="6.5600000000000005"/>
    <n v="0.74"/>
    <n v="0.16420000000000001"/>
    <n v="0"/>
    <n v="5"/>
    <n v="5"/>
  </r>
  <r>
    <n v="168"/>
    <d v="2011-01-08T00:00:00"/>
    <s v="winter"/>
    <s v="JANUARY"/>
    <n v="6"/>
    <x v="0"/>
    <x v="0"/>
    <x v="1"/>
    <n v="6.5600000000000005"/>
    <n v="0.74"/>
    <n v="0.16420000000000001"/>
    <n v="0"/>
    <n v="2"/>
    <n v="2"/>
  </r>
  <r>
    <n v="169"/>
    <d v="2011-01-08T00:00:00"/>
    <s v="winter"/>
    <s v="JANUARY"/>
    <n v="7"/>
    <x v="0"/>
    <x v="0"/>
    <x v="1"/>
    <n v="6.5600000000000005"/>
    <n v="0.74"/>
    <n v="0.1045"/>
    <n v="1"/>
    <n v="8"/>
    <n v="9"/>
  </r>
  <r>
    <n v="170"/>
    <d v="2011-01-08T00:00:00"/>
    <s v="winter"/>
    <s v="JANUARY"/>
    <n v="8"/>
    <x v="0"/>
    <x v="0"/>
    <x v="2"/>
    <n v="6.5600000000000005"/>
    <n v="0.93"/>
    <n v="0.1045"/>
    <n v="0"/>
    <n v="15"/>
    <n v="15"/>
  </r>
  <r>
    <n v="171"/>
    <d v="2011-01-08T00:00:00"/>
    <s v="winter"/>
    <s v="JANUARY"/>
    <n v="9"/>
    <x v="0"/>
    <x v="0"/>
    <x v="2"/>
    <n v="6.5600000000000005"/>
    <n v="0.93"/>
    <n v="0.1045"/>
    <n v="0"/>
    <n v="20"/>
    <n v="20"/>
  </r>
  <r>
    <n v="172"/>
    <d v="2011-01-08T00:00:00"/>
    <s v="winter"/>
    <s v="JANUARY"/>
    <n v="10"/>
    <x v="0"/>
    <x v="0"/>
    <x v="1"/>
    <n v="7.38"/>
    <n v="0.8"/>
    <n v="0.16420000000000001"/>
    <n v="5"/>
    <n v="56"/>
    <n v="61"/>
  </r>
  <r>
    <n v="173"/>
    <d v="2011-01-08T00:00:00"/>
    <s v="winter"/>
    <s v="JANUARY"/>
    <n v="11"/>
    <x v="0"/>
    <x v="0"/>
    <x v="1"/>
    <n v="8.2000000000000011"/>
    <n v="0.69"/>
    <n v="0.3881"/>
    <n v="2"/>
    <n v="60"/>
    <n v="62"/>
  </r>
  <r>
    <n v="174"/>
    <d v="2011-01-08T00:00:00"/>
    <s v="winter"/>
    <s v="JANUARY"/>
    <n v="12"/>
    <x v="0"/>
    <x v="0"/>
    <x v="1"/>
    <n v="8.2000000000000011"/>
    <n v="0.59"/>
    <n v="0.35820000000000002"/>
    <n v="8"/>
    <n v="90"/>
    <n v="98"/>
  </r>
  <r>
    <n v="175"/>
    <d v="2011-01-08T00:00:00"/>
    <s v="winter"/>
    <s v="JANUARY"/>
    <n v="13"/>
    <x v="0"/>
    <x v="0"/>
    <x v="0"/>
    <n v="8.2000000000000011"/>
    <n v="0.44"/>
    <n v="0.32840000000000003"/>
    <n v="7"/>
    <n v="95"/>
    <n v="102"/>
  </r>
  <r>
    <n v="176"/>
    <d v="2011-01-08T00:00:00"/>
    <s v="winter"/>
    <s v="JANUARY"/>
    <n v="14"/>
    <x v="0"/>
    <x v="0"/>
    <x v="0"/>
    <n v="8.2000000000000011"/>
    <n v="0.32"/>
    <n v="0.49249999999999999"/>
    <n v="12"/>
    <n v="83"/>
    <n v="95"/>
  </r>
  <r>
    <n v="177"/>
    <d v="2011-01-08T00:00:00"/>
    <s v="winter"/>
    <s v="JANUARY"/>
    <n v="15"/>
    <x v="0"/>
    <x v="0"/>
    <x v="0"/>
    <n v="8.2000000000000011"/>
    <n v="0.32"/>
    <n v="0.44779999999999998"/>
    <n v="5"/>
    <n v="69"/>
    <n v="74"/>
  </r>
  <r>
    <n v="178"/>
    <d v="2011-01-08T00:00:00"/>
    <s v="winter"/>
    <s v="JANUARY"/>
    <n v="16"/>
    <x v="0"/>
    <x v="0"/>
    <x v="0"/>
    <n v="7.38"/>
    <n v="0.28999999999999998"/>
    <n v="0.44779999999999998"/>
    <n v="8"/>
    <n v="68"/>
    <n v="76"/>
  </r>
  <r>
    <n v="179"/>
    <d v="2011-01-08T00:00:00"/>
    <s v="winter"/>
    <s v="JANUARY"/>
    <n v="17"/>
    <x v="0"/>
    <x v="0"/>
    <x v="0"/>
    <n v="6.5600000000000005"/>
    <n v="0.37"/>
    <n v="0.55220000000000002"/>
    <n v="5"/>
    <n v="64"/>
    <n v="69"/>
  </r>
  <r>
    <n v="180"/>
    <d v="2011-01-08T00:00:00"/>
    <s v="winter"/>
    <s v="JANUARY"/>
    <n v="18"/>
    <x v="0"/>
    <x v="0"/>
    <x v="0"/>
    <n v="5.74"/>
    <n v="0.39"/>
    <n v="0.29849999999999999"/>
    <n v="3"/>
    <n v="52"/>
    <n v="55"/>
  </r>
  <r>
    <n v="181"/>
    <d v="2011-01-08T00:00:00"/>
    <s v="winter"/>
    <s v="JANUARY"/>
    <n v="19"/>
    <x v="0"/>
    <x v="0"/>
    <x v="0"/>
    <n v="5.74"/>
    <n v="0.36"/>
    <n v="0.25369999999999998"/>
    <n v="4"/>
    <n v="26"/>
    <n v="30"/>
  </r>
  <r>
    <n v="182"/>
    <d v="2011-01-08T00:00:00"/>
    <s v="winter"/>
    <s v="JANUARY"/>
    <n v="20"/>
    <x v="0"/>
    <x v="0"/>
    <x v="0"/>
    <n v="4.92"/>
    <n v="0.36"/>
    <n v="0.25369999999999998"/>
    <n v="0"/>
    <n v="28"/>
    <n v="28"/>
  </r>
  <r>
    <n v="183"/>
    <d v="2011-01-08T00:00:00"/>
    <s v="winter"/>
    <s v="JANUARY"/>
    <n v="21"/>
    <x v="0"/>
    <x v="0"/>
    <x v="0"/>
    <n v="4.92"/>
    <n v="0.39"/>
    <n v="0.35820000000000002"/>
    <n v="2"/>
    <n v="35"/>
    <n v="37"/>
  </r>
  <r>
    <n v="184"/>
    <d v="2011-01-08T00:00:00"/>
    <s v="winter"/>
    <s v="JANUARY"/>
    <n v="22"/>
    <x v="0"/>
    <x v="0"/>
    <x v="0"/>
    <n v="4.92"/>
    <n v="0.36"/>
    <n v="0.3881"/>
    <n v="1"/>
    <n v="33"/>
    <n v="34"/>
  </r>
  <r>
    <n v="185"/>
    <d v="2011-01-08T00:00:00"/>
    <s v="winter"/>
    <s v="JANUARY"/>
    <n v="23"/>
    <x v="0"/>
    <x v="0"/>
    <x v="0"/>
    <n v="4.1000000000000005"/>
    <n v="0.39"/>
    <n v="0.44779999999999998"/>
    <n v="0"/>
    <n v="22"/>
    <n v="22"/>
  </r>
  <r>
    <n v="186"/>
    <d v="2011-01-09T00:00:00"/>
    <s v="winter"/>
    <s v="JANUARY"/>
    <n v="0"/>
    <x v="0"/>
    <x v="1"/>
    <x v="0"/>
    <n v="4.1000000000000005"/>
    <n v="0.42"/>
    <n v="0.3881"/>
    <n v="1"/>
    <n v="24"/>
    <n v="25"/>
  </r>
  <r>
    <n v="187"/>
    <d v="2011-01-09T00:00:00"/>
    <s v="winter"/>
    <s v="JANUARY"/>
    <n v="1"/>
    <x v="0"/>
    <x v="1"/>
    <x v="0"/>
    <n v="4.1000000000000005"/>
    <n v="0.42"/>
    <n v="0.4627"/>
    <n v="0"/>
    <n v="12"/>
    <n v="12"/>
  </r>
  <r>
    <n v="188"/>
    <d v="2011-01-09T00:00:00"/>
    <s v="winter"/>
    <s v="JANUARY"/>
    <n v="2"/>
    <x v="0"/>
    <x v="1"/>
    <x v="0"/>
    <n v="4.1000000000000005"/>
    <n v="0.46"/>
    <n v="0.4627"/>
    <n v="0"/>
    <n v="11"/>
    <n v="11"/>
  </r>
  <r>
    <n v="189"/>
    <d v="2011-01-09T00:00:00"/>
    <s v="winter"/>
    <s v="JANUARY"/>
    <n v="3"/>
    <x v="0"/>
    <x v="1"/>
    <x v="0"/>
    <n v="4.1000000000000005"/>
    <n v="0.46"/>
    <n v="0.41789999999999999"/>
    <n v="0"/>
    <n v="4"/>
    <n v="4"/>
  </r>
  <r>
    <n v="190"/>
    <d v="2011-01-09T00:00:00"/>
    <s v="winter"/>
    <s v="JANUARY"/>
    <n v="4"/>
    <x v="0"/>
    <x v="1"/>
    <x v="0"/>
    <n v="3.2800000000000002"/>
    <n v="0.53"/>
    <n v="0.19400000000000001"/>
    <n v="0"/>
    <n v="1"/>
    <n v="1"/>
  </r>
  <r>
    <n v="191"/>
    <d v="2011-01-09T00:00:00"/>
    <s v="winter"/>
    <s v="JANUARY"/>
    <n v="5"/>
    <x v="0"/>
    <x v="1"/>
    <x v="0"/>
    <n v="3.2800000000000002"/>
    <n v="0.53"/>
    <n v="0.19400000000000001"/>
    <n v="0"/>
    <n v="1"/>
    <n v="1"/>
  </r>
  <r>
    <n v="192"/>
    <d v="2011-01-09T00:00:00"/>
    <s v="winter"/>
    <s v="JANUARY"/>
    <n v="6"/>
    <x v="0"/>
    <x v="1"/>
    <x v="0"/>
    <n v="4.1000000000000005"/>
    <n v="0.49"/>
    <n v="0.28360000000000002"/>
    <n v="0"/>
    <n v="1"/>
    <n v="1"/>
  </r>
  <r>
    <n v="193"/>
    <d v="2011-01-09T00:00:00"/>
    <s v="winter"/>
    <s v="JANUARY"/>
    <n v="7"/>
    <x v="0"/>
    <x v="1"/>
    <x v="0"/>
    <n v="3.2800000000000002"/>
    <n v="0.53"/>
    <n v="0.19400000000000001"/>
    <n v="1"/>
    <n v="5"/>
    <n v="6"/>
  </r>
  <r>
    <n v="194"/>
    <d v="2011-01-09T00:00:00"/>
    <s v="winter"/>
    <s v="JANUARY"/>
    <n v="8"/>
    <x v="0"/>
    <x v="1"/>
    <x v="0"/>
    <n v="4.1000000000000005"/>
    <n v="0.49"/>
    <n v="0.28360000000000002"/>
    <n v="0"/>
    <n v="10"/>
    <n v="10"/>
  </r>
  <r>
    <n v="195"/>
    <d v="2011-01-09T00:00:00"/>
    <s v="winter"/>
    <s v="JANUARY"/>
    <n v="9"/>
    <x v="0"/>
    <x v="1"/>
    <x v="0"/>
    <n v="4.92"/>
    <n v="0.46"/>
    <n v="0.52239999999999998"/>
    <n v="0"/>
    <n v="19"/>
    <n v="19"/>
  </r>
  <r>
    <n v="196"/>
    <d v="2011-01-09T00:00:00"/>
    <s v="winter"/>
    <s v="JANUARY"/>
    <n v="10"/>
    <x v="0"/>
    <x v="1"/>
    <x v="0"/>
    <n v="5.74"/>
    <n v="0.43"/>
    <n v="0.3881"/>
    <n v="0"/>
    <n v="49"/>
    <n v="49"/>
  </r>
  <r>
    <n v="197"/>
    <d v="2011-01-09T00:00:00"/>
    <s v="winter"/>
    <s v="JANUARY"/>
    <n v="11"/>
    <x v="0"/>
    <x v="1"/>
    <x v="0"/>
    <n v="6.5600000000000005"/>
    <n v="0.4"/>
    <n v="0.52239999999999998"/>
    <n v="2"/>
    <n v="47"/>
    <n v="49"/>
  </r>
  <r>
    <n v="198"/>
    <d v="2011-01-09T00:00:00"/>
    <s v="winter"/>
    <s v="JANUARY"/>
    <n v="12"/>
    <x v="0"/>
    <x v="1"/>
    <x v="0"/>
    <n v="7.38"/>
    <n v="0.37"/>
    <n v="0.44779999999999998"/>
    <n v="4"/>
    <n v="79"/>
    <n v="83"/>
  </r>
  <r>
    <n v="199"/>
    <d v="2011-01-09T00:00:00"/>
    <s v="winter"/>
    <s v="JANUARY"/>
    <n v="13"/>
    <x v="0"/>
    <x v="1"/>
    <x v="0"/>
    <n v="8.2000000000000011"/>
    <n v="0.34"/>
    <n v="0.44779999999999998"/>
    <n v="6"/>
    <n v="69"/>
    <n v="75"/>
  </r>
  <r>
    <n v="200"/>
    <d v="2011-01-09T00:00:00"/>
    <s v="winter"/>
    <s v="JANUARY"/>
    <n v="14"/>
    <x v="0"/>
    <x v="1"/>
    <x v="0"/>
    <n v="9.02"/>
    <n v="0.32"/>
    <n v="0.4627"/>
    <n v="8"/>
    <n v="64"/>
    <n v="72"/>
  </r>
  <r>
    <n v="201"/>
    <d v="2011-01-09T00:00:00"/>
    <s v="winter"/>
    <s v="JANUARY"/>
    <n v="15"/>
    <x v="0"/>
    <x v="1"/>
    <x v="0"/>
    <n v="9.02"/>
    <n v="0.35"/>
    <n v="0.35820000000000002"/>
    <n v="5"/>
    <n v="77"/>
    <n v="82"/>
  </r>
  <r>
    <n v="202"/>
    <d v="2011-01-09T00:00:00"/>
    <s v="winter"/>
    <s v="JANUARY"/>
    <n v="16"/>
    <x v="0"/>
    <x v="1"/>
    <x v="0"/>
    <n v="8.2000000000000011"/>
    <n v="0.34"/>
    <n v="0.44779999999999998"/>
    <n v="13"/>
    <n v="79"/>
    <n v="92"/>
  </r>
  <r>
    <n v="203"/>
    <d v="2011-01-09T00:00:00"/>
    <s v="winter"/>
    <s v="JANUARY"/>
    <n v="17"/>
    <x v="0"/>
    <x v="1"/>
    <x v="0"/>
    <n v="7.38"/>
    <n v="0.37"/>
    <n v="0.3881"/>
    <n v="3"/>
    <n v="59"/>
    <n v="62"/>
  </r>
  <r>
    <n v="204"/>
    <d v="2011-01-09T00:00:00"/>
    <s v="winter"/>
    <s v="JANUARY"/>
    <n v="18"/>
    <x v="0"/>
    <x v="1"/>
    <x v="0"/>
    <n v="6.5600000000000005"/>
    <n v="0.4"/>
    <n v="0.32840000000000003"/>
    <n v="4"/>
    <n v="44"/>
    <n v="48"/>
  </r>
  <r>
    <n v="205"/>
    <d v="2011-01-09T00:00:00"/>
    <s v="winter"/>
    <s v="JANUARY"/>
    <n v="19"/>
    <x v="0"/>
    <x v="1"/>
    <x v="0"/>
    <n v="6.5600000000000005"/>
    <n v="0.43"/>
    <n v="0.32840000000000003"/>
    <n v="1"/>
    <n v="40"/>
    <n v="41"/>
  </r>
  <r>
    <n v="206"/>
    <d v="2011-01-09T00:00:00"/>
    <s v="winter"/>
    <s v="JANUARY"/>
    <n v="20"/>
    <x v="0"/>
    <x v="1"/>
    <x v="0"/>
    <n v="5.74"/>
    <n v="0.46"/>
    <n v="0.25369999999999998"/>
    <n v="0"/>
    <n v="38"/>
    <n v="38"/>
  </r>
  <r>
    <n v="207"/>
    <d v="2011-01-09T00:00:00"/>
    <s v="winter"/>
    <s v="JANUARY"/>
    <n v="21"/>
    <x v="0"/>
    <x v="1"/>
    <x v="0"/>
    <n v="5.74"/>
    <n v="0.46"/>
    <n v="0.41789999999999999"/>
    <n v="1"/>
    <n v="19"/>
    <n v="20"/>
  </r>
  <r>
    <n v="208"/>
    <d v="2011-01-09T00:00:00"/>
    <s v="winter"/>
    <s v="JANUARY"/>
    <n v="22"/>
    <x v="0"/>
    <x v="1"/>
    <x v="0"/>
    <n v="5.74"/>
    <n v="0.46"/>
    <n v="0.29849999999999999"/>
    <n v="5"/>
    <n v="10"/>
    <n v="15"/>
  </r>
  <r>
    <n v="209"/>
    <d v="2011-01-09T00:00:00"/>
    <s v="winter"/>
    <s v="JANUARY"/>
    <n v="23"/>
    <x v="0"/>
    <x v="1"/>
    <x v="0"/>
    <n v="4.92"/>
    <n v="0.5"/>
    <n v="0.19400000000000001"/>
    <n v="0"/>
    <n v="6"/>
    <n v="6"/>
  </r>
  <r>
    <n v="210"/>
    <d v="2011-01-10T00:00:00"/>
    <s v="winter"/>
    <s v="JANUARY"/>
    <n v="0"/>
    <x v="0"/>
    <x v="2"/>
    <x v="0"/>
    <n v="4.92"/>
    <n v="0.5"/>
    <n v="0.28360000000000002"/>
    <n v="2"/>
    <n v="3"/>
    <n v="5"/>
  </r>
  <r>
    <n v="211"/>
    <d v="2011-01-10T00:00:00"/>
    <s v="winter"/>
    <s v="JANUARY"/>
    <n v="1"/>
    <x v="0"/>
    <x v="2"/>
    <x v="0"/>
    <n v="4.92"/>
    <n v="0.5"/>
    <n v="0.28360000000000002"/>
    <n v="1"/>
    <n v="0"/>
    <n v="1"/>
  </r>
  <r>
    <n v="212"/>
    <d v="2011-01-10T00:00:00"/>
    <s v="winter"/>
    <s v="JANUARY"/>
    <n v="2"/>
    <x v="0"/>
    <x v="2"/>
    <x v="0"/>
    <n v="4.92"/>
    <n v="0.5"/>
    <n v="0.22389999999999999"/>
    <n v="0"/>
    <n v="3"/>
    <n v="3"/>
  </r>
  <r>
    <n v="213"/>
    <d v="2011-01-10T00:00:00"/>
    <s v="winter"/>
    <s v="JANUARY"/>
    <n v="3"/>
    <x v="0"/>
    <x v="2"/>
    <x v="0"/>
    <n v="4.92"/>
    <n v="0.5"/>
    <n v="0.22389999999999999"/>
    <n v="0"/>
    <n v="1"/>
    <n v="1"/>
  </r>
  <r>
    <n v="214"/>
    <d v="2011-01-10T00:00:00"/>
    <s v="winter"/>
    <s v="JANUARY"/>
    <n v="4"/>
    <x v="0"/>
    <x v="2"/>
    <x v="0"/>
    <n v="4.1000000000000005"/>
    <n v="0.54"/>
    <n v="0.1343"/>
    <n v="1"/>
    <n v="2"/>
    <n v="3"/>
  </r>
  <r>
    <n v="215"/>
    <d v="2011-01-10T00:00:00"/>
    <s v="winter"/>
    <s v="JANUARY"/>
    <n v="5"/>
    <x v="0"/>
    <x v="2"/>
    <x v="0"/>
    <n v="4.1000000000000005"/>
    <n v="0.54"/>
    <n v="0.25369999999999998"/>
    <n v="0"/>
    <n v="3"/>
    <n v="3"/>
  </r>
  <r>
    <n v="216"/>
    <d v="2011-01-10T00:00:00"/>
    <s v="winter"/>
    <s v="JANUARY"/>
    <n v="6"/>
    <x v="0"/>
    <x v="2"/>
    <x v="0"/>
    <n v="4.92"/>
    <n v="0.5"/>
    <n v="0.28360000000000002"/>
    <n v="0"/>
    <n v="31"/>
    <n v="31"/>
  </r>
  <r>
    <n v="217"/>
    <d v="2011-01-10T00:00:00"/>
    <s v="winter"/>
    <s v="JANUARY"/>
    <n v="7"/>
    <x v="0"/>
    <x v="2"/>
    <x v="0"/>
    <n v="4.92"/>
    <n v="0.5"/>
    <n v="0.22389999999999999"/>
    <n v="2"/>
    <n v="75"/>
    <n v="77"/>
  </r>
  <r>
    <n v="218"/>
    <d v="2011-01-10T00:00:00"/>
    <s v="winter"/>
    <s v="JANUARY"/>
    <n v="8"/>
    <x v="0"/>
    <x v="2"/>
    <x v="1"/>
    <n v="4.92"/>
    <n v="0.5"/>
    <n v="0.28360000000000002"/>
    <n v="4"/>
    <n v="184"/>
    <n v="188"/>
  </r>
  <r>
    <n v="219"/>
    <d v="2011-01-10T00:00:00"/>
    <s v="winter"/>
    <s v="JANUARY"/>
    <n v="9"/>
    <x v="0"/>
    <x v="2"/>
    <x v="1"/>
    <n v="5.74"/>
    <n v="0.5"/>
    <n v="0.25369999999999998"/>
    <n v="2"/>
    <n v="92"/>
    <n v="94"/>
  </r>
  <r>
    <n v="220"/>
    <d v="2011-01-10T00:00:00"/>
    <s v="winter"/>
    <s v="JANUARY"/>
    <n v="10"/>
    <x v="0"/>
    <x v="2"/>
    <x v="1"/>
    <n v="5.74"/>
    <n v="0.5"/>
    <n v="0.29849999999999999"/>
    <n v="0"/>
    <n v="31"/>
    <n v="31"/>
  </r>
  <r>
    <n v="221"/>
    <d v="2011-01-10T00:00:00"/>
    <s v="winter"/>
    <s v="JANUARY"/>
    <n v="11"/>
    <x v="0"/>
    <x v="2"/>
    <x v="1"/>
    <n v="6.5600000000000005"/>
    <n v="0.47"/>
    <n v="0.28360000000000002"/>
    <n v="2"/>
    <n v="28"/>
    <n v="30"/>
  </r>
  <r>
    <n v="222"/>
    <d v="2011-01-10T00:00:00"/>
    <s v="winter"/>
    <s v="JANUARY"/>
    <n v="12"/>
    <x v="0"/>
    <x v="2"/>
    <x v="1"/>
    <n v="8.2000000000000011"/>
    <n v="0.4"/>
    <n v="0.28360000000000002"/>
    <n v="5"/>
    <n v="47"/>
    <n v="52"/>
  </r>
  <r>
    <n v="223"/>
    <d v="2011-01-10T00:00:00"/>
    <s v="winter"/>
    <s v="JANUARY"/>
    <n v="13"/>
    <x v="0"/>
    <x v="2"/>
    <x v="1"/>
    <n v="8.2000000000000011"/>
    <n v="0.4"/>
    <n v="0.28360000000000002"/>
    <n v="4"/>
    <n v="50"/>
    <n v="54"/>
  </r>
  <r>
    <n v="224"/>
    <d v="2011-01-10T00:00:00"/>
    <s v="winter"/>
    <s v="JANUARY"/>
    <n v="14"/>
    <x v="0"/>
    <x v="2"/>
    <x v="1"/>
    <n v="8.2000000000000011"/>
    <n v="0.4"/>
    <n v="0.22389999999999999"/>
    <n v="0"/>
    <n v="47"/>
    <n v="47"/>
  </r>
  <r>
    <n v="225"/>
    <d v="2011-01-10T00:00:00"/>
    <s v="winter"/>
    <s v="JANUARY"/>
    <n v="15"/>
    <x v="0"/>
    <x v="2"/>
    <x v="1"/>
    <n v="8.2000000000000011"/>
    <n v="0.4"/>
    <n v="0.22389999999999999"/>
    <n v="2"/>
    <n v="43"/>
    <n v="45"/>
  </r>
  <r>
    <n v="226"/>
    <d v="2011-01-10T00:00:00"/>
    <s v="winter"/>
    <s v="JANUARY"/>
    <n v="16"/>
    <x v="0"/>
    <x v="2"/>
    <x v="0"/>
    <n v="8.2000000000000011"/>
    <n v="0.4"/>
    <n v="0.1343"/>
    <n v="4"/>
    <n v="70"/>
    <n v="74"/>
  </r>
  <r>
    <n v="227"/>
    <d v="2011-01-10T00:00:00"/>
    <s v="winter"/>
    <s v="JANUARY"/>
    <n v="17"/>
    <x v="0"/>
    <x v="2"/>
    <x v="0"/>
    <n v="8.2000000000000011"/>
    <n v="0.4"/>
    <n v="0.1045"/>
    <n v="4"/>
    <n v="174"/>
    <n v="178"/>
  </r>
  <r>
    <n v="228"/>
    <d v="2011-01-10T00:00:00"/>
    <s v="winter"/>
    <s v="JANUARY"/>
    <n v="18"/>
    <x v="0"/>
    <x v="2"/>
    <x v="0"/>
    <n v="8.2000000000000011"/>
    <n v="0.4"/>
    <n v="0.22389999999999999"/>
    <n v="1"/>
    <n v="154"/>
    <n v="155"/>
  </r>
  <r>
    <n v="229"/>
    <d v="2011-01-10T00:00:00"/>
    <s v="winter"/>
    <s v="JANUARY"/>
    <n v="19"/>
    <x v="0"/>
    <x v="2"/>
    <x v="0"/>
    <n v="6.5600000000000005"/>
    <n v="0.47"/>
    <n v="0.16420000000000001"/>
    <n v="3"/>
    <n v="92"/>
    <n v="95"/>
  </r>
  <r>
    <n v="230"/>
    <d v="2011-01-10T00:00:00"/>
    <s v="winter"/>
    <s v="JANUARY"/>
    <n v="20"/>
    <x v="0"/>
    <x v="2"/>
    <x v="0"/>
    <n v="6.5600000000000005"/>
    <n v="0.5"/>
    <n v="0.16420000000000001"/>
    <n v="1"/>
    <n v="73"/>
    <n v="74"/>
  </r>
  <r>
    <n v="231"/>
    <d v="2011-01-10T00:00:00"/>
    <s v="winter"/>
    <s v="JANUARY"/>
    <n v="21"/>
    <x v="0"/>
    <x v="2"/>
    <x v="0"/>
    <n v="5.74"/>
    <n v="0.59"/>
    <n v="0.19400000000000001"/>
    <n v="1"/>
    <n v="37"/>
    <n v="38"/>
  </r>
  <r>
    <n v="232"/>
    <d v="2011-01-10T00:00:00"/>
    <s v="winter"/>
    <s v="JANUARY"/>
    <n v="22"/>
    <x v="0"/>
    <x v="2"/>
    <x v="0"/>
    <n v="5.74"/>
    <n v="0.59"/>
    <n v="0.16420000000000001"/>
    <n v="2"/>
    <n v="22"/>
    <n v="24"/>
  </r>
  <r>
    <n v="233"/>
    <d v="2011-01-10T00:00:00"/>
    <s v="winter"/>
    <s v="JANUARY"/>
    <n v="23"/>
    <x v="0"/>
    <x v="2"/>
    <x v="0"/>
    <n v="5.74"/>
    <n v="0.59"/>
    <n v="0.16420000000000001"/>
    <n v="0"/>
    <n v="18"/>
    <n v="18"/>
  </r>
  <r>
    <n v="234"/>
    <d v="2011-01-11T00:00:00"/>
    <s v="winter"/>
    <s v="JANUARY"/>
    <n v="0"/>
    <x v="0"/>
    <x v="3"/>
    <x v="0"/>
    <n v="5.74"/>
    <n v="0.59"/>
    <n v="0.1045"/>
    <n v="2"/>
    <n v="10"/>
    <n v="12"/>
  </r>
  <r>
    <n v="235"/>
    <d v="2011-01-11T00:00:00"/>
    <s v="winter"/>
    <s v="JANUARY"/>
    <n v="1"/>
    <x v="0"/>
    <x v="3"/>
    <x v="0"/>
    <n v="5.74"/>
    <n v="0.59"/>
    <n v="0.16420000000000001"/>
    <n v="0"/>
    <n v="3"/>
    <n v="3"/>
  </r>
  <r>
    <n v="236"/>
    <d v="2011-01-11T00:00:00"/>
    <s v="winter"/>
    <s v="JANUARY"/>
    <n v="2"/>
    <x v="0"/>
    <x v="3"/>
    <x v="1"/>
    <n v="6.5600000000000005"/>
    <n v="0.55000000000000004"/>
    <n v="0.19400000000000001"/>
    <n v="0"/>
    <n v="3"/>
    <n v="3"/>
  </r>
  <r>
    <n v="237"/>
    <d v="2011-01-11T00:00:00"/>
    <s v="winter"/>
    <s v="JANUARY"/>
    <n v="5"/>
    <x v="0"/>
    <x v="3"/>
    <x v="1"/>
    <n v="6.5600000000000005"/>
    <n v="0.55000000000000004"/>
    <n v="0.1343"/>
    <n v="0"/>
    <n v="6"/>
    <n v="6"/>
  </r>
  <r>
    <n v="238"/>
    <d v="2011-01-11T00:00:00"/>
    <s v="winter"/>
    <s v="JANUARY"/>
    <n v="6"/>
    <x v="0"/>
    <x v="3"/>
    <x v="1"/>
    <n v="6.5600000000000005"/>
    <n v="0.55000000000000004"/>
    <n v="0.1343"/>
    <n v="0"/>
    <n v="27"/>
    <n v="27"/>
  </r>
  <r>
    <n v="239"/>
    <d v="2011-01-11T00:00:00"/>
    <s v="winter"/>
    <s v="JANUARY"/>
    <n v="7"/>
    <x v="0"/>
    <x v="3"/>
    <x v="1"/>
    <n v="6.5600000000000005"/>
    <n v="0.55000000000000004"/>
    <n v="0"/>
    <n v="2"/>
    <n v="97"/>
    <n v="99"/>
  </r>
  <r>
    <n v="240"/>
    <d v="2011-01-11T00:00:00"/>
    <s v="winter"/>
    <s v="JANUARY"/>
    <n v="8"/>
    <x v="0"/>
    <x v="3"/>
    <x v="1"/>
    <n v="7.38"/>
    <n v="0.51"/>
    <n v="8.9599999999999999E-2"/>
    <n v="3"/>
    <n v="214"/>
    <n v="217"/>
  </r>
  <r>
    <n v="241"/>
    <d v="2011-01-11T00:00:00"/>
    <s v="winter"/>
    <s v="JANUARY"/>
    <n v="9"/>
    <x v="0"/>
    <x v="3"/>
    <x v="1"/>
    <n v="7.38"/>
    <n v="0.51"/>
    <n v="0.16420000000000001"/>
    <n v="3"/>
    <n v="127"/>
    <n v="130"/>
  </r>
  <r>
    <n v="242"/>
    <d v="2011-01-11T00:00:00"/>
    <s v="winter"/>
    <s v="JANUARY"/>
    <n v="10"/>
    <x v="0"/>
    <x v="3"/>
    <x v="1"/>
    <n v="8.2000000000000011"/>
    <n v="0.51"/>
    <n v="0.16420000000000001"/>
    <n v="3"/>
    <n v="51"/>
    <n v="54"/>
  </r>
  <r>
    <n v="243"/>
    <d v="2011-01-11T00:00:00"/>
    <s v="winter"/>
    <s v="JANUARY"/>
    <n v="11"/>
    <x v="0"/>
    <x v="3"/>
    <x v="1"/>
    <n v="8.2000000000000011"/>
    <n v="0.47"/>
    <n v="0.1343"/>
    <n v="4"/>
    <n v="31"/>
    <n v="35"/>
  </r>
  <r>
    <n v="244"/>
    <d v="2011-01-11T00:00:00"/>
    <s v="winter"/>
    <s v="JANUARY"/>
    <n v="12"/>
    <x v="0"/>
    <x v="3"/>
    <x v="1"/>
    <n v="8.2000000000000011"/>
    <n v="0.51"/>
    <n v="0.1045"/>
    <n v="2"/>
    <n v="55"/>
    <n v="57"/>
  </r>
  <r>
    <n v="245"/>
    <d v="2011-01-11T00:00:00"/>
    <s v="winter"/>
    <s v="JANUARY"/>
    <n v="13"/>
    <x v="0"/>
    <x v="3"/>
    <x v="1"/>
    <n v="8.2000000000000011"/>
    <n v="0.59"/>
    <n v="8.9599999999999999E-2"/>
    <n v="6"/>
    <n v="46"/>
    <n v="52"/>
  </r>
  <r>
    <n v="246"/>
    <d v="2011-01-11T00:00:00"/>
    <s v="winter"/>
    <s v="JANUARY"/>
    <n v="14"/>
    <x v="0"/>
    <x v="3"/>
    <x v="1"/>
    <n v="8.2000000000000011"/>
    <n v="0.59"/>
    <n v="8.9599999999999999E-2"/>
    <n v="3"/>
    <n v="60"/>
    <n v="63"/>
  </r>
  <r>
    <n v="247"/>
    <d v="2011-01-11T00:00:00"/>
    <s v="winter"/>
    <s v="JANUARY"/>
    <n v="15"/>
    <x v="0"/>
    <x v="3"/>
    <x v="1"/>
    <n v="6.5600000000000005"/>
    <n v="0.8"/>
    <n v="8.9599999999999999E-2"/>
    <n v="2"/>
    <n v="45"/>
    <n v="47"/>
  </r>
  <r>
    <n v="248"/>
    <d v="2011-01-11T00:00:00"/>
    <s v="winter"/>
    <s v="JANUARY"/>
    <n v="16"/>
    <x v="0"/>
    <x v="3"/>
    <x v="1"/>
    <n v="6.5600000000000005"/>
    <n v="0.86"/>
    <n v="0.22389999999999999"/>
    <n v="4"/>
    <n v="72"/>
    <n v="76"/>
  </r>
  <r>
    <n v="249"/>
    <d v="2011-01-11T00:00:00"/>
    <s v="winter"/>
    <s v="JANUARY"/>
    <n v="17"/>
    <x v="0"/>
    <x v="3"/>
    <x v="1"/>
    <n v="6.5600000000000005"/>
    <n v="0.86"/>
    <n v="0.22389999999999999"/>
    <n v="6"/>
    <n v="130"/>
    <n v="136"/>
  </r>
  <r>
    <n v="250"/>
    <d v="2011-01-11T00:00:00"/>
    <s v="winter"/>
    <s v="JANUARY"/>
    <n v="18"/>
    <x v="0"/>
    <x v="3"/>
    <x v="2"/>
    <n v="6.5600000000000005"/>
    <n v="0.93"/>
    <n v="0.1045"/>
    <n v="1"/>
    <n v="94"/>
    <n v="95"/>
  </r>
  <r>
    <n v="251"/>
    <d v="2011-01-11T00:00:00"/>
    <s v="winter"/>
    <s v="JANUARY"/>
    <n v="19"/>
    <x v="0"/>
    <x v="3"/>
    <x v="2"/>
    <n v="6.5600000000000005"/>
    <n v="0.93"/>
    <n v="0"/>
    <n v="0"/>
    <n v="51"/>
    <n v="51"/>
  </r>
  <r>
    <n v="252"/>
    <d v="2011-01-11T00:00:00"/>
    <s v="winter"/>
    <s v="JANUARY"/>
    <n v="20"/>
    <x v="0"/>
    <x v="3"/>
    <x v="2"/>
    <n v="6.5600000000000005"/>
    <n v="0.93"/>
    <n v="0.19400000000000001"/>
    <n v="0"/>
    <n v="32"/>
    <n v="32"/>
  </r>
  <r>
    <n v="253"/>
    <d v="2011-01-11T00:00:00"/>
    <s v="winter"/>
    <s v="JANUARY"/>
    <n v="21"/>
    <x v="0"/>
    <x v="3"/>
    <x v="2"/>
    <n v="6.5600000000000005"/>
    <n v="0.86"/>
    <n v="8.9599999999999999E-2"/>
    <n v="0"/>
    <n v="20"/>
    <n v="20"/>
  </r>
  <r>
    <n v="254"/>
    <d v="2011-01-11T00:00:00"/>
    <s v="winter"/>
    <s v="JANUARY"/>
    <n v="22"/>
    <x v="0"/>
    <x v="3"/>
    <x v="2"/>
    <n v="6.5600000000000005"/>
    <n v="0.93"/>
    <n v="0.1045"/>
    <n v="1"/>
    <n v="28"/>
    <n v="29"/>
  </r>
  <r>
    <n v="255"/>
    <d v="2011-01-11T00:00:00"/>
    <s v="winter"/>
    <s v="JANUARY"/>
    <n v="23"/>
    <x v="0"/>
    <x v="3"/>
    <x v="2"/>
    <n v="6.5600000000000005"/>
    <n v="0.93"/>
    <n v="8.9599999999999999E-2"/>
    <n v="1"/>
    <n v="18"/>
    <n v="19"/>
  </r>
  <r>
    <n v="256"/>
    <d v="2011-01-12T00:00:00"/>
    <s v="winter"/>
    <s v="JANUARY"/>
    <n v="0"/>
    <x v="0"/>
    <x v="4"/>
    <x v="1"/>
    <n v="6.5600000000000005"/>
    <n v="0.86"/>
    <n v="8.9599999999999999E-2"/>
    <n v="0"/>
    <n v="7"/>
    <n v="7"/>
  </r>
  <r>
    <n v="257"/>
    <d v="2011-01-12T00:00:00"/>
    <s v="winter"/>
    <s v="JANUARY"/>
    <n v="1"/>
    <x v="0"/>
    <x v="4"/>
    <x v="1"/>
    <n v="6.5600000000000005"/>
    <n v="0.86"/>
    <n v="0.1045"/>
    <n v="0"/>
    <n v="6"/>
    <n v="6"/>
  </r>
  <r>
    <n v="258"/>
    <d v="2011-01-12T00:00:00"/>
    <s v="winter"/>
    <s v="JANUARY"/>
    <n v="2"/>
    <x v="0"/>
    <x v="4"/>
    <x v="0"/>
    <n v="5.74"/>
    <n v="0.86"/>
    <n v="0.1343"/>
    <n v="0"/>
    <n v="1"/>
    <n v="1"/>
  </r>
  <r>
    <n v="259"/>
    <d v="2011-01-12T00:00:00"/>
    <s v="winter"/>
    <s v="JANUARY"/>
    <n v="5"/>
    <x v="0"/>
    <x v="4"/>
    <x v="0"/>
    <n v="5.74"/>
    <n v="0.86"/>
    <n v="0.16420000000000001"/>
    <n v="0"/>
    <n v="5"/>
    <n v="5"/>
  </r>
  <r>
    <n v="260"/>
    <d v="2011-01-12T00:00:00"/>
    <s v="winter"/>
    <s v="JANUARY"/>
    <n v="6"/>
    <x v="0"/>
    <x v="4"/>
    <x v="0"/>
    <n v="4.92"/>
    <n v="0.93"/>
    <n v="0.1343"/>
    <n v="0"/>
    <n v="16"/>
    <n v="16"/>
  </r>
  <r>
    <n v="261"/>
    <d v="2011-01-12T00:00:00"/>
    <s v="winter"/>
    <s v="JANUARY"/>
    <n v="7"/>
    <x v="0"/>
    <x v="4"/>
    <x v="0"/>
    <n v="5.74"/>
    <n v="0.69"/>
    <n v="0.1343"/>
    <n v="0"/>
    <n v="54"/>
    <n v="54"/>
  </r>
  <r>
    <n v="262"/>
    <d v="2011-01-12T00:00:00"/>
    <s v="winter"/>
    <s v="JANUARY"/>
    <n v="8"/>
    <x v="0"/>
    <x v="4"/>
    <x v="0"/>
    <n v="6.5600000000000005"/>
    <n v="0.59"/>
    <n v="0.16420000000000001"/>
    <n v="3"/>
    <n v="125"/>
    <n v="128"/>
  </r>
  <r>
    <n v="263"/>
    <d v="2011-01-12T00:00:00"/>
    <s v="winter"/>
    <s v="JANUARY"/>
    <n v="9"/>
    <x v="0"/>
    <x v="4"/>
    <x v="0"/>
    <n v="6.5600000000000005"/>
    <n v="0.59"/>
    <n v="0.32840000000000003"/>
    <n v="3"/>
    <n v="78"/>
    <n v="81"/>
  </r>
  <r>
    <n v="264"/>
    <d v="2011-01-12T00:00:00"/>
    <s v="winter"/>
    <s v="JANUARY"/>
    <n v="10"/>
    <x v="0"/>
    <x v="4"/>
    <x v="0"/>
    <n v="7.38"/>
    <n v="0.55000000000000004"/>
    <n v="0.22389999999999999"/>
    <n v="0"/>
    <n v="39"/>
    <n v="39"/>
  </r>
  <r>
    <n v="265"/>
    <d v="2011-01-12T00:00:00"/>
    <s v="winter"/>
    <s v="JANUARY"/>
    <n v="11"/>
    <x v="0"/>
    <x v="4"/>
    <x v="0"/>
    <n v="8.2000000000000011"/>
    <n v="0.51"/>
    <n v="0.3881"/>
    <n v="3"/>
    <n v="32"/>
    <n v="35"/>
  </r>
  <r>
    <n v="266"/>
    <d v="2011-01-12T00:00:00"/>
    <s v="winter"/>
    <s v="JANUARY"/>
    <n v="12"/>
    <x v="0"/>
    <x v="4"/>
    <x v="0"/>
    <n v="8.2000000000000011"/>
    <n v="0.47"/>
    <n v="0.58209999999999995"/>
    <n v="3"/>
    <n v="52"/>
    <n v="55"/>
  </r>
  <r>
    <n v="267"/>
    <d v="2011-01-12T00:00:00"/>
    <s v="winter"/>
    <s v="JANUARY"/>
    <n v="13"/>
    <x v="0"/>
    <x v="4"/>
    <x v="0"/>
    <n v="9.02"/>
    <n v="0.44"/>
    <n v="0.35820000000000002"/>
    <n v="0"/>
    <n v="49"/>
    <n v="49"/>
  </r>
  <r>
    <n v="268"/>
    <d v="2011-01-12T00:00:00"/>
    <s v="winter"/>
    <s v="JANUARY"/>
    <n v="14"/>
    <x v="0"/>
    <x v="4"/>
    <x v="0"/>
    <n v="8.2000000000000011"/>
    <n v="0.47"/>
    <n v="0.32840000000000003"/>
    <n v="0"/>
    <n v="44"/>
    <n v="44"/>
  </r>
  <r>
    <n v="269"/>
    <d v="2011-01-12T00:00:00"/>
    <s v="winter"/>
    <s v="JANUARY"/>
    <n v="15"/>
    <x v="0"/>
    <x v="4"/>
    <x v="0"/>
    <n v="8.2000000000000011"/>
    <n v="0.47"/>
    <n v="0.41789999999999999"/>
    <n v="1"/>
    <n v="48"/>
    <n v="49"/>
  </r>
  <r>
    <n v="270"/>
    <d v="2011-01-12T00:00:00"/>
    <s v="winter"/>
    <s v="JANUARY"/>
    <n v="16"/>
    <x v="0"/>
    <x v="4"/>
    <x v="0"/>
    <n v="9.02"/>
    <n v="0.44"/>
    <n v="0.32840000000000003"/>
    <n v="5"/>
    <n v="63"/>
    <n v="68"/>
  </r>
  <r>
    <n v="271"/>
    <d v="2011-01-12T00:00:00"/>
    <s v="winter"/>
    <s v="JANUARY"/>
    <n v="17"/>
    <x v="0"/>
    <x v="4"/>
    <x v="0"/>
    <n v="8.2000000000000011"/>
    <n v="0.47"/>
    <n v="0.35820000000000002"/>
    <n v="0"/>
    <n v="139"/>
    <n v="139"/>
  </r>
  <r>
    <n v="272"/>
    <d v="2011-01-12T00:00:00"/>
    <s v="winter"/>
    <s v="JANUARY"/>
    <n v="18"/>
    <x v="0"/>
    <x v="4"/>
    <x v="0"/>
    <n v="8.2000000000000011"/>
    <n v="0.47"/>
    <n v="0.52239999999999998"/>
    <n v="2"/>
    <n v="135"/>
    <n v="137"/>
  </r>
  <r>
    <n v="273"/>
    <d v="2011-01-12T00:00:00"/>
    <s v="winter"/>
    <s v="JANUARY"/>
    <n v="19"/>
    <x v="0"/>
    <x v="4"/>
    <x v="0"/>
    <n v="7.38"/>
    <n v="0.47"/>
    <n v="0.41789999999999999"/>
    <n v="1"/>
    <n v="82"/>
    <n v="83"/>
  </r>
  <r>
    <n v="274"/>
    <d v="2011-01-12T00:00:00"/>
    <s v="winter"/>
    <s v="JANUARY"/>
    <n v="20"/>
    <x v="0"/>
    <x v="4"/>
    <x v="0"/>
    <n v="6.5600000000000005"/>
    <n v="0.5"/>
    <n v="0.32840000000000003"/>
    <n v="2"/>
    <n v="54"/>
    <n v="56"/>
  </r>
  <r>
    <n v="275"/>
    <d v="2011-01-12T00:00:00"/>
    <s v="winter"/>
    <s v="JANUARY"/>
    <n v="21"/>
    <x v="0"/>
    <x v="4"/>
    <x v="0"/>
    <n v="6.5600000000000005"/>
    <n v="0.55000000000000004"/>
    <n v="0.32840000000000003"/>
    <n v="0"/>
    <n v="57"/>
    <n v="57"/>
  </r>
  <r>
    <n v="276"/>
    <d v="2011-01-12T00:00:00"/>
    <s v="winter"/>
    <s v="JANUARY"/>
    <n v="22"/>
    <x v="0"/>
    <x v="4"/>
    <x v="0"/>
    <n v="6.5600000000000005"/>
    <n v="0.55000000000000004"/>
    <n v="0.44779999999999998"/>
    <n v="1"/>
    <n v="32"/>
    <n v="33"/>
  </r>
  <r>
    <n v="277"/>
    <d v="2011-01-12T00:00:00"/>
    <s v="winter"/>
    <s v="JANUARY"/>
    <n v="23"/>
    <x v="0"/>
    <x v="4"/>
    <x v="0"/>
    <n v="5.74"/>
    <n v="0.59"/>
    <n v="0.41789999999999999"/>
    <n v="1"/>
    <n v="19"/>
    <n v="20"/>
  </r>
  <r>
    <n v="278"/>
    <d v="2011-01-13T00:00:00"/>
    <s v="winter"/>
    <s v="JANUARY"/>
    <n v="0"/>
    <x v="0"/>
    <x v="5"/>
    <x v="0"/>
    <n v="5.74"/>
    <n v="0.59"/>
    <n v="0.28360000000000002"/>
    <n v="1"/>
    <n v="6"/>
    <n v="7"/>
  </r>
  <r>
    <n v="279"/>
    <d v="2011-01-13T00:00:00"/>
    <s v="winter"/>
    <s v="JANUARY"/>
    <n v="1"/>
    <x v="0"/>
    <x v="5"/>
    <x v="0"/>
    <n v="5.74"/>
    <n v="0.5"/>
    <n v="0.28360000000000002"/>
    <n v="0"/>
    <n v="2"/>
    <n v="2"/>
  </r>
  <r>
    <n v="280"/>
    <d v="2011-01-13T00:00:00"/>
    <s v="winter"/>
    <s v="JANUARY"/>
    <n v="2"/>
    <x v="0"/>
    <x v="5"/>
    <x v="0"/>
    <n v="5.74"/>
    <n v="0.5"/>
    <n v="0.35820000000000002"/>
    <n v="0"/>
    <n v="2"/>
    <n v="2"/>
  </r>
  <r>
    <n v="281"/>
    <d v="2011-01-13T00:00:00"/>
    <s v="winter"/>
    <s v="JANUARY"/>
    <n v="3"/>
    <x v="0"/>
    <x v="5"/>
    <x v="0"/>
    <n v="5.74"/>
    <n v="0.5"/>
    <n v="0.32840000000000003"/>
    <n v="0"/>
    <n v="3"/>
    <n v="3"/>
  </r>
  <r>
    <n v="282"/>
    <d v="2011-01-13T00:00:00"/>
    <s v="winter"/>
    <s v="JANUARY"/>
    <n v="4"/>
    <x v="0"/>
    <x v="5"/>
    <x v="0"/>
    <n v="5.74"/>
    <n v="0.5"/>
    <n v="0.25369999999999998"/>
    <n v="0"/>
    <n v="4"/>
    <n v="4"/>
  </r>
  <r>
    <n v="283"/>
    <d v="2011-01-13T00:00:00"/>
    <s v="winter"/>
    <s v="JANUARY"/>
    <n v="5"/>
    <x v="0"/>
    <x v="5"/>
    <x v="0"/>
    <n v="5.74"/>
    <n v="0.5"/>
    <n v="0.29849999999999999"/>
    <n v="0"/>
    <n v="3"/>
    <n v="3"/>
  </r>
  <r>
    <n v="284"/>
    <d v="2011-01-13T00:00:00"/>
    <s v="winter"/>
    <s v="JANUARY"/>
    <n v="6"/>
    <x v="0"/>
    <x v="5"/>
    <x v="0"/>
    <n v="4.92"/>
    <n v="0.54"/>
    <n v="0.1343"/>
    <n v="0"/>
    <n v="28"/>
    <n v="28"/>
  </r>
  <r>
    <n v="285"/>
    <d v="2011-01-13T00:00:00"/>
    <s v="winter"/>
    <s v="JANUARY"/>
    <n v="7"/>
    <x v="0"/>
    <x v="5"/>
    <x v="0"/>
    <n v="4.92"/>
    <n v="0.54"/>
    <n v="0.1343"/>
    <n v="0"/>
    <n v="72"/>
    <n v="72"/>
  </r>
  <r>
    <n v="286"/>
    <d v="2011-01-13T00:00:00"/>
    <s v="winter"/>
    <s v="JANUARY"/>
    <n v="8"/>
    <x v="0"/>
    <x v="5"/>
    <x v="0"/>
    <n v="5.74"/>
    <n v="0.5"/>
    <n v="0.19400000000000001"/>
    <n v="5"/>
    <n v="197"/>
    <n v="202"/>
  </r>
  <r>
    <n v="287"/>
    <d v="2011-01-13T00:00:00"/>
    <s v="winter"/>
    <s v="JANUARY"/>
    <n v="9"/>
    <x v="0"/>
    <x v="5"/>
    <x v="0"/>
    <n v="5.74"/>
    <n v="0.5"/>
    <n v="0.32840000000000003"/>
    <n v="2"/>
    <n v="137"/>
    <n v="139"/>
  </r>
  <r>
    <n v="288"/>
    <d v="2011-01-13T00:00:00"/>
    <s v="winter"/>
    <s v="JANUARY"/>
    <n v="10"/>
    <x v="0"/>
    <x v="5"/>
    <x v="1"/>
    <n v="6.5600000000000005"/>
    <n v="0.5"/>
    <n v="0.35820000000000002"/>
    <n v="2"/>
    <n v="36"/>
    <n v="38"/>
  </r>
  <r>
    <n v="289"/>
    <d v="2011-01-13T00:00:00"/>
    <s v="winter"/>
    <s v="JANUARY"/>
    <n v="11"/>
    <x v="0"/>
    <x v="5"/>
    <x v="1"/>
    <n v="8.2000000000000011"/>
    <n v="0.44"/>
    <n v="0.44779999999999998"/>
    <n v="4"/>
    <n v="33"/>
    <n v="37"/>
  </r>
  <r>
    <n v="290"/>
    <d v="2011-01-13T00:00:00"/>
    <s v="winter"/>
    <s v="JANUARY"/>
    <n v="12"/>
    <x v="0"/>
    <x v="5"/>
    <x v="0"/>
    <n v="8.2000000000000011"/>
    <n v="0.44"/>
    <n v="0.41789999999999999"/>
    <n v="3"/>
    <n v="49"/>
    <n v="52"/>
  </r>
  <r>
    <n v="291"/>
    <d v="2011-01-13T00:00:00"/>
    <s v="winter"/>
    <s v="JANUARY"/>
    <n v="13"/>
    <x v="0"/>
    <x v="5"/>
    <x v="0"/>
    <n v="9.02"/>
    <n v="0.41"/>
    <n v="0.44779999999999998"/>
    <n v="2"/>
    <n v="81"/>
    <n v="83"/>
  </r>
  <r>
    <n v="292"/>
    <d v="2011-01-13T00:00:00"/>
    <s v="winter"/>
    <s v="JANUARY"/>
    <n v="14"/>
    <x v="0"/>
    <x v="5"/>
    <x v="0"/>
    <n v="9.02"/>
    <n v="0.41"/>
    <n v="0.3881"/>
    <n v="3"/>
    <n v="39"/>
    <n v="42"/>
  </r>
  <r>
    <n v="293"/>
    <d v="2011-01-13T00:00:00"/>
    <s v="winter"/>
    <s v="JANUARY"/>
    <n v="15"/>
    <x v="0"/>
    <x v="5"/>
    <x v="0"/>
    <n v="9.84"/>
    <n v="0.38"/>
    <n v="0.29849999999999999"/>
    <n v="5"/>
    <n v="55"/>
    <n v="60"/>
  </r>
  <r>
    <n v="294"/>
    <d v="2011-01-13T00:00:00"/>
    <s v="winter"/>
    <s v="JANUARY"/>
    <n v="16"/>
    <x v="0"/>
    <x v="5"/>
    <x v="0"/>
    <n v="9.84"/>
    <n v="0.38"/>
    <n v="0.35820000000000002"/>
    <n v="2"/>
    <n v="76"/>
    <n v="78"/>
  </r>
  <r>
    <n v="295"/>
    <d v="2011-01-13T00:00:00"/>
    <s v="winter"/>
    <s v="JANUARY"/>
    <n v="17"/>
    <x v="0"/>
    <x v="5"/>
    <x v="0"/>
    <n v="8.2000000000000011"/>
    <n v="0.4"/>
    <n v="0.28360000000000002"/>
    <n v="4"/>
    <n v="158"/>
    <n v="162"/>
  </r>
  <r>
    <n v="296"/>
    <d v="2011-01-13T00:00:00"/>
    <s v="winter"/>
    <s v="JANUARY"/>
    <n v="18"/>
    <x v="0"/>
    <x v="5"/>
    <x v="0"/>
    <n v="8.2000000000000011"/>
    <n v="0.4"/>
    <n v="0.32840000000000003"/>
    <n v="3"/>
    <n v="141"/>
    <n v="144"/>
  </r>
  <r>
    <n v="297"/>
    <d v="2011-01-13T00:00:00"/>
    <s v="winter"/>
    <s v="JANUARY"/>
    <n v="19"/>
    <x v="0"/>
    <x v="5"/>
    <x v="0"/>
    <n v="6.5600000000000005"/>
    <n v="0.47"/>
    <n v="0.25369999999999998"/>
    <n v="1"/>
    <n v="98"/>
    <n v="99"/>
  </r>
  <r>
    <n v="298"/>
    <d v="2011-01-13T00:00:00"/>
    <s v="winter"/>
    <s v="JANUARY"/>
    <n v="20"/>
    <x v="0"/>
    <x v="5"/>
    <x v="0"/>
    <n v="6.5600000000000005"/>
    <n v="0.47"/>
    <n v="0.22389999999999999"/>
    <n v="0"/>
    <n v="64"/>
    <n v="64"/>
  </r>
  <r>
    <n v="299"/>
    <d v="2011-01-13T00:00:00"/>
    <s v="winter"/>
    <s v="JANUARY"/>
    <n v="21"/>
    <x v="0"/>
    <x v="5"/>
    <x v="0"/>
    <n v="5.74"/>
    <n v="0.46"/>
    <n v="0.29849999999999999"/>
    <n v="0"/>
    <n v="40"/>
    <n v="40"/>
  </r>
  <r>
    <n v="300"/>
    <d v="2011-01-13T00:00:00"/>
    <s v="winter"/>
    <s v="JANUARY"/>
    <n v="22"/>
    <x v="0"/>
    <x v="5"/>
    <x v="0"/>
    <n v="5.74"/>
    <n v="0.46"/>
    <n v="0.32840000000000003"/>
    <n v="0"/>
    <n v="30"/>
    <n v="30"/>
  </r>
  <r>
    <n v="301"/>
    <d v="2011-01-13T00:00:00"/>
    <s v="winter"/>
    <s v="JANUARY"/>
    <n v="23"/>
    <x v="0"/>
    <x v="5"/>
    <x v="0"/>
    <n v="4.92"/>
    <n v="0.5"/>
    <n v="0.19400000000000001"/>
    <n v="1"/>
    <n v="14"/>
    <n v="15"/>
  </r>
  <r>
    <n v="302"/>
    <d v="2011-01-14T00:00:00"/>
    <s v="winter"/>
    <s v="JANUARY"/>
    <n v="0"/>
    <x v="0"/>
    <x v="6"/>
    <x v="0"/>
    <n v="4.92"/>
    <n v="0.5"/>
    <n v="0.19400000000000001"/>
    <n v="0"/>
    <n v="14"/>
    <n v="14"/>
  </r>
  <r>
    <n v="303"/>
    <d v="2011-01-14T00:00:00"/>
    <s v="winter"/>
    <s v="JANUARY"/>
    <n v="1"/>
    <x v="0"/>
    <x v="6"/>
    <x v="0"/>
    <n v="4.1000000000000005"/>
    <n v="0.54"/>
    <n v="0.16420000000000001"/>
    <n v="0"/>
    <n v="5"/>
    <n v="5"/>
  </r>
  <r>
    <n v="304"/>
    <d v="2011-01-14T00:00:00"/>
    <s v="winter"/>
    <s v="JANUARY"/>
    <n v="2"/>
    <x v="0"/>
    <x v="6"/>
    <x v="0"/>
    <n v="4.1000000000000005"/>
    <n v="0.54"/>
    <n v="0.1343"/>
    <n v="0"/>
    <n v="1"/>
    <n v="1"/>
  </r>
  <r>
    <n v="305"/>
    <d v="2011-01-14T00:00:00"/>
    <s v="winter"/>
    <s v="JANUARY"/>
    <n v="3"/>
    <x v="0"/>
    <x v="6"/>
    <x v="0"/>
    <n v="4.1000000000000005"/>
    <n v="0.54"/>
    <n v="0.1045"/>
    <n v="0"/>
    <n v="1"/>
    <n v="1"/>
  </r>
  <r>
    <n v="306"/>
    <d v="2011-01-14T00:00:00"/>
    <s v="winter"/>
    <s v="JANUARY"/>
    <n v="5"/>
    <x v="0"/>
    <x v="6"/>
    <x v="0"/>
    <n v="4.1000000000000005"/>
    <n v="0.54"/>
    <n v="8.9599999999999999E-2"/>
    <n v="0"/>
    <n v="8"/>
    <n v="8"/>
  </r>
  <r>
    <n v="307"/>
    <d v="2011-01-14T00:00:00"/>
    <s v="winter"/>
    <s v="JANUARY"/>
    <n v="6"/>
    <x v="0"/>
    <x v="6"/>
    <x v="0"/>
    <n v="4.1000000000000005"/>
    <n v="0.54"/>
    <n v="0"/>
    <n v="0"/>
    <n v="17"/>
    <n v="17"/>
  </r>
  <r>
    <n v="308"/>
    <d v="2011-01-14T00:00:00"/>
    <s v="winter"/>
    <s v="JANUARY"/>
    <n v="7"/>
    <x v="0"/>
    <x v="6"/>
    <x v="0"/>
    <n v="4.1000000000000005"/>
    <n v="0.74"/>
    <n v="0.16420000000000001"/>
    <n v="0"/>
    <n v="70"/>
    <n v="70"/>
  </r>
  <r>
    <n v="309"/>
    <d v="2011-01-14T00:00:00"/>
    <s v="winter"/>
    <s v="JANUARY"/>
    <n v="8"/>
    <x v="0"/>
    <x v="6"/>
    <x v="0"/>
    <n v="4.92"/>
    <n v="0.68"/>
    <n v="0"/>
    <n v="2"/>
    <n v="156"/>
    <n v="158"/>
  </r>
  <r>
    <n v="310"/>
    <d v="2011-01-14T00:00:00"/>
    <s v="winter"/>
    <s v="JANUARY"/>
    <n v="9"/>
    <x v="0"/>
    <x v="6"/>
    <x v="0"/>
    <n v="5.74"/>
    <n v="0.69"/>
    <n v="0.1343"/>
    <n v="0"/>
    <n v="117"/>
    <n v="117"/>
  </r>
  <r>
    <n v="311"/>
    <d v="2011-01-14T00:00:00"/>
    <s v="winter"/>
    <s v="JANUARY"/>
    <n v="10"/>
    <x v="0"/>
    <x v="6"/>
    <x v="0"/>
    <n v="7.38"/>
    <n v="0.55000000000000004"/>
    <n v="0.19400000000000001"/>
    <n v="4"/>
    <n v="40"/>
    <n v="44"/>
  </r>
  <r>
    <n v="312"/>
    <d v="2011-01-14T00:00:00"/>
    <s v="winter"/>
    <s v="JANUARY"/>
    <n v="11"/>
    <x v="0"/>
    <x v="6"/>
    <x v="0"/>
    <n v="7.38"/>
    <n v="0.51"/>
    <n v="0.28360000000000002"/>
    <n v="6"/>
    <n v="47"/>
    <n v="53"/>
  </r>
  <r>
    <n v="313"/>
    <d v="2011-01-14T00:00:00"/>
    <s v="winter"/>
    <s v="JANUARY"/>
    <n v="12"/>
    <x v="0"/>
    <x v="6"/>
    <x v="0"/>
    <n v="8.2000000000000011"/>
    <n v="0.44"/>
    <n v="0.25369999999999998"/>
    <n v="2"/>
    <n v="59"/>
    <n v="61"/>
  </r>
  <r>
    <n v="314"/>
    <d v="2011-01-14T00:00:00"/>
    <s v="winter"/>
    <s v="JANUARY"/>
    <n v="13"/>
    <x v="0"/>
    <x v="6"/>
    <x v="0"/>
    <n v="9.02"/>
    <n v="0.37"/>
    <n v="0.3881"/>
    <n v="4"/>
    <n v="73"/>
    <n v="77"/>
  </r>
  <r>
    <n v="315"/>
    <d v="2011-01-14T00:00:00"/>
    <s v="winter"/>
    <s v="JANUARY"/>
    <n v="14"/>
    <x v="0"/>
    <x v="6"/>
    <x v="0"/>
    <n v="9.02"/>
    <n v="0.41"/>
    <n v="0.28360000000000002"/>
    <n v="5"/>
    <n v="59"/>
    <n v="64"/>
  </r>
  <r>
    <n v="316"/>
    <d v="2011-01-14T00:00:00"/>
    <s v="winter"/>
    <s v="JANUARY"/>
    <n v="15"/>
    <x v="0"/>
    <x v="6"/>
    <x v="0"/>
    <n v="9.84"/>
    <n v="0.38"/>
    <n v="0.16420000000000001"/>
    <n v="9"/>
    <n v="59"/>
    <n v="68"/>
  </r>
  <r>
    <n v="317"/>
    <d v="2011-01-14T00:00:00"/>
    <s v="winter"/>
    <s v="JANUARY"/>
    <n v="16"/>
    <x v="0"/>
    <x v="6"/>
    <x v="0"/>
    <n v="9.02"/>
    <n v="0.41"/>
    <n v="0.1045"/>
    <n v="3"/>
    <n v="87"/>
    <n v="90"/>
  </r>
  <r>
    <n v="318"/>
    <d v="2011-01-14T00:00:00"/>
    <s v="winter"/>
    <s v="JANUARY"/>
    <n v="17"/>
    <x v="0"/>
    <x v="6"/>
    <x v="0"/>
    <n v="9.02"/>
    <n v="0.41"/>
    <n v="0.16420000000000001"/>
    <n v="4"/>
    <n v="155"/>
    <n v="159"/>
  </r>
  <r>
    <n v="319"/>
    <d v="2011-01-14T00:00:00"/>
    <s v="winter"/>
    <s v="JANUARY"/>
    <n v="18"/>
    <x v="0"/>
    <x v="6"/>
    <x v="0"/>
    <n v="8.2000000000000011"/>
    <n v="0.47"/>
    <n v="0"/>
    <n v="5"/>
    <n v="134"/>
    <n v="139"/>
  </r>
  <r>
    <n v="320"/>
    <d v="2011-01-14T00:00:00"/>
    <s v="winter"/>
    <s v="JANUARY"/>
    <n v="19"/>
    <x v="0"/>
    <x v="6"/>
    <x v="0"/>
    <n v="6.5600000000000005"/>
    <n v="0.59"/>
    <n v="8.9599999999999999E-2"/>
    <n v="3"/>
    <n v="89"/>
    <n v="92"/>
  </r>
  <r>
    <n v="321"/>
    <d v="2011-01-14T00:00:00"/>
    <s v="winter"/>
    <s v="JANUARY"/>
    <n v="20"/>
    <x v="0"/>
    <x v="6"/>
    <x v="0"/>
    <n v="7.38"/>
    <n v="0.59"/>
    <n v="0"/>
    <n v="0"/>
    <n v="68"/>
    <n v="68"/>
  </r>
  <r>
    <n v="322"/>
    <d v="2011-01-14T00:00:00"/>
    <s v="winter"/>
    <s v="JANUARY"/>
    <n v="21"/>
    <x v="0"/>
    <x v="6"/>
    <x v="0"/>
    <n v="6.5600000000000005"/>
    <n v="0.69"/>
    <n v="0"/>
    <n v="4"/>
    <n v="48"/>
    <n v="52"/>
  </r>
  <r>
    <n v="323"/>
    <d v="2011-01-14T00:00:00"/>
    <s v="winter"/>
    <s v="JANUARY"/>
    <n v="22"/>
    <x v="0"/>
    <x v="6"/>
    <x v="1"/>
    <n v="6.5600000000000005"/>
    <n v="0.69"/>
    <n v="0"/>
    <n v="2"/>
    <n v="34"/>
    <n v="36"/>
  </r>
  <r>
    <n v="324"/>
    <d v="2011-01-14T00:00:00"/>
    <s v="winter"/>
    <s v="JANUARY"/>
    <n v="23"/>
    <x v="0"/>
    <x v="6"/>
    <x v="1"/>
    <n v="7.38"/>
    <n v="0.55000000000000004"/>
    <n v="0"/>
    <n v="1"/>
    <n v="26"/>
    <n v="27"/>
  </r>
  <r>
    <n v="325"/>
    <d v="2011-01-15T00:00:00"/>
    <s v="winter"/>
    <s v="JANUARY"/>
    <n v="0"/>
    <x v="0"/>
    <x v="0"/>
    <x v="0"/>
    <n v="7.38"/>
    <n v="0.55000000000000004"/>
    <n v="0"/>
    <n v="3"/>
    <n v="25"/>
    <n v="28"/>
  </r>
  <r>
    <n v="326"/>
    <d v="2011-01-15T00:00:00"/>
    <s v="winter"/>
    <s v="JANUARY"/>
    <n v="1"/>
    <x v="0"/>
    <x v="0"/>
    <x v="1"/>
    <n v="6.5600000000000005"/>
    <n v="0.59"/>
    <n v="8.9599999999999999E-2"/>
    <n v="2"/>
    <n v="18"/>
    <n v="20"/>
  </r>
  <r>
    <n v="327"/>
    <d v="2011-01-15T00:00:00"/>
    <s v="winter"/>
    <s v="JANUARY"/>
    <n v="2"/>
    <x v="0"/>
    <x v="0"/>
    <x v="1"/>
    <n v="6.5600000000000005"/>
    <n v="0.59"/>
    <n v="8.9599999999999999E-2"/>
    <n v="0"/>
    <n v="12"/>
    <n v="12"/>
  </r>
  <r>
    <n v="328"/>
    <d v="2011-01-15T00:00:00"/>
    <s v="winter"/>
    <s v="JANUARY"/>
    <n v="3"/>
    <x v="0"/>
    <x v="0"/>
    <x v="1"/>
    <n v="6.5600000000000005"/>
    <n v="0.59"/>
    <n v="0"/>
    <n v="1"/>
    <n v="7"/>
    <n v="8"/>
  </r>
  <r>
    <n v="329"/>
    <d v="2011-01-15T00:00:00"/>
    <s v="winter"/>
    <s v="JANUARY"/>
    <n v="4"/>
    <x v="0"/>
    <x v="0"/>
    <x v="1"/>
    <n v="6.5600000000000005"/>
    <n v="0.59"/>
    <n v="0"/>
    <n v="0"/>
    <n v="5"/>
    <n v="5"/>
  </r>
  <r>
    <n v="330"/>
    <d v="2011-01-15T00:00:00"/>
    <s v="winter"/>
    <s v="JANUARY"/>
    <n v="5"/>
    <x v="0"/>
    <x v="0"/>
    <x v="0"/>
    <n v="6.5600000000000005"/>
    <n v="0.59"/>
    <n v="0"/>
    <n v="0"/>
    <n v="1"/>
    <n v="1"/>
  </r>
  <r>
    <n v="331"/>
    <d v="2011-01-15T00:00:00"/>
    <s v="winter"/>
    <s v="JANUARY"/>
    <n v="6"/>
    <x v="0"/>
    <x v="0"/>
    <x v="0"/>
    <n v="5.74"/>
    <n v="0.63"/>
    <n v="0.1045"/>
    <n v="1"/>
    <n v="2"/>
    <n v="3"/>
  </r>
  <r>
    <n v="332"/>
    <d v="2011-01-15T00:00:00"/>
    <s v="winter"/>
    <s v="JANUARY"/>
    <n v="7"/>
    <x v="0"/>
    <x v="0"/>
    <x v="0"/>
    <n v="5.74"/>
    <n v="0.63"/>
    <n v="0"/>
    <n v="1"/>
    <n v="9"/>
    <n v="10"/>
  </r>
  <r>
    <n v="333"/>
    <d v="2011-01-15T00:00:00"/>
    <s v="winter"/>
    <s v="JANUARY"/>
    <n v="8"/>
    <x v="0"/>
    <x v="0"/>
    <x v="0"/>
    <n v="5.74"/>
    <n v="0.63"/>
    <n v="0.1343"/>
    <n v="1"/>
    <n v="22"/>
    <n v="23"/>
  </r>
  <r>
    <n v="334"/>
    <d v="2011-01-15T00:00:00"/>
    <s v="winter"/>
    <s v="JANUARY"/>
    <n v="9"/>
    <x v="0"/>
    <x v="0"/>
    <x v="0"/>
    <n v="6.5600000000000005"/>
    <n v="0.64"/>
    <n v="0.1343"/>
    <n v="2"/>
    <n v="31"/>
    <n v="33"/>
  </r>
  <r>
    <n v="335"/>
    <d v="2011-01-15T00:00:00"/>
    <s v="winter"/>
    <s v="JANUARY"/>
    <n v="10"/>
    <x v="0"/>
    <x v="0"/>
    <x v="0"/>
    <n v="7.38"/>
    <n v="0.59"/>
    <n v="0.16420000000000001"/>
    <n v="2"/>
    <n v="57"/>
    <n v="59"/>
  </r>
  <r>
    <n v="336"/>
    <d v="2011-01-15T00:00:00"/>
    <s v="winter"/>
    <s v="JANUARY"/>
    <n v="11"/>
    <x v="0"/>
    <x v="0"/>
    <x v="0"/>
    <n v="8.2000000000000011"/>
    <n v="0.55000000000000004"/>
    <n v="0.22389999999999999"/>
    <n v="18"/>
    <n v="54"/>
    <n v="72"/>
  </r>
  <r>
    <n v="337"/>
    <d v="2011-01-15T00:00:00"/>
    <s v="winter"/>
    <s v="JANUARY"/>
    <n v="12"/>
    <x v="0"/>
    <x v="0"/>
    <x v="0"/>
    <n v="9.84"/>
    <n v="0.48"/>
    <n v="0.22389999999999999"/>
    <n v="15"/>
    <n v="74"/>
    <n v="89"/>
  </r>
  <r>
    <n v="338"/>
    <d v="2011-01-15T00:00:00"/>
    <s v="winter"/>
    <s v="JANUARY"/>
    <n v="13"/>
    <x v="0"/>
    <x v="0"/>
    <x v="0"/>
    <n v="11.48"/>
    <n v="0.38"/>
    <n v="0.29849999999999999"/>
    <n v="21"/>
    <n v="80"/>
    <n v="101"/>
  </r>
  <r>
    <n v="339"/>
    <d v="2011-01-15T00:00:00"/>
    <s v="winter"/>
    <s v="JANUARY"/>
    <n v="14"/>
    <x v="0"/>
    <x v="0"/>
    <x v="0"/>
    <n v="12.299999999999999"/>
    <n v="0.39"/>
    <n v="0.28360000000000002"/>
    <n v="26"/>
    <n v="92"/>
    <n v="118"/>
  </r>
  <r>
    <n v="340"/>
    <d v="2011-01-15T00:00:00"/>
    <s v="winter"/>
    <s v="JANUARY"/>
    <n v="15"/>
    <x v="0"/>
    <x v="0"/>
    <x v="1"/>
    <n v="13.120000000000001"/>
    <n v="0.36"/>
    <n v="0.19400000000000001"/>
    <n v="21"/>
    <n v="108"/>
    <n v="129"/>
  </r>
  <r>
    <n v="341"/>
    <d v="2011-01-15T00:00:00"/>
    <s v="winter"/>
    <s v="JANUARY"/>
    <n v="16"/>
    <x v="0"/>
    <x v="0"/>
    <x v="1"/>
    <n v="13.940000000000001"/>
    <n v="0.34"/>
    <n v="0.19400000000000001"/>
    <n v="33"/>
    <n v="95"/>
    <n v="128"/>
  </r>
  <r>
    <n v="342"/>
    <d v="2011-01-15T00:00:00"/>
    <s v="winter"/>
    <s v="JANUARY"/>
    <n v="17"/>
    <x v="0"/>
    <x v="0"/>
    <x v="1"/>
    <n v="13.120000000000001"/>
    <n v="0.36"/>
    <n v="0.28360000000000002"/>
    <n v="29"/>
    <n v="54"/>
    <n v="83"/>
  </r>
  <r>
    <n v="343"/>
    <d v="2011-01-15T00:00:00"/>
    <s v="winter"/>
    <s v="JANUARY"/>
    <n v="18"/>
    <x v="0"/>
    <x v="0"/>
    <x v="1"/>
    <n v="12.299999999999999"/>
    <n v="0.45"/>
    <n v="0.25369999999999998"/>
    <n v="15"/>
    <n v="69"/>
    <n v="84"/>
  </r>
  <r>
    <n v="344"/>
    <d v="2011-01-15T00:00:00"/>
    <s v="winter"/>
    <s v="JANUARY"/>
    <n v="19"/>
    <x v="0"/>
    <x v="0"/>
    <x v="1"/>
    <n v="13.120000000000001"/>
    <n v="0.39"/>
    <n v="0.25369999999999998"/>
    <n v="14"/>
    <n v="60"/>
    <n v="74"/>
  </r>
  <r>
    <n v="345"/>
    <d v="2011-01-15T00:00:00"/>
    <s v="winter"/>
    <s v="JANUARY"/>
    <n v="20"/>
    <x v="0"/>
    <x v="0"/>
    <x v="1"/>
    <n v="13.120000000000001"/>
    <n v="0.39"/>
    <n v="0.25369999999999998"/>
    <n v="6"/>
    <n v="35"/>
    <n v="41"/>
  </r>
  <r>
    <n v="346"/>
    <d v="2011-01-15T00:00:00"/>
    <s v="winter"/>
    <s v="JANUARY"/>
    <n v="21"/>
    <x v="0"/>
    <x v="0"/>
    <x v="1"/>
    <n v="13.120000000000001"/>
    <n v="0.39"/>
    <n v="0.22389999999999999"/>
    <n v="6"/>
    <n v="51"/>
    <n v="57"/>
  </r>
  <r>
    <n v="347"/>
    <d v="2011-01-15T00:00:00"/>
    <s v="winter"/>
    <s v="JANUARY"/>
    <n v="22"/>
    <x v="0"/>
    <x v="0"/>
    <x v="1"/>
    <n v="12.299999999999999"/>
    <n v="0.42"/>
    <n v="0.1045"/>
    <n v="0"/>
    <n v="26"/>
    <n v="26"/>
  </r>
  <r>
    <n v="348"/>
    <d v="2011-01-15T00:00:00"/>
    <s v="winter"/>
    <s v="JANUARY"/>
    <n v="23"/>
    <x v="0"/>
    <x v="0"/>
    <x v="0"/>
    <n v="12.299999999999999"/>
    <n v="0.45"/>
    <n v="0.28360000000000002"/>
    <n v="5"/>
    <n v="39"/>
    <n v="44"/>
  </r>
  <r>
    <n v="349"/>
    <d v="2011-01-16T00:00:00"/>
    <s v="winter"/>
    <s v="JANUARY"/>
    <n v="0"/>
    <x v="0"/>
    <x v="1"/>
    <x v="0"/>
    <n v="10.66"/>
    <n v="0.56000000000000005"/>
    <n v="0"/>
    <n v="6"/>
    <n v="33"/>
    <n v="39"/>
  </r>
  <r>
    <n v="350"/>
    <d v="2011-01-16T00:00:00"/>
    <s v="winter"/>
    <s v="JANUARY"/>
    <n v="1"/>
    <x v="0"/>
    <x v="1"/>
    <x v="0"/>
    <n v="10.66"/>
    <n v="0.56000000000000005"/>
    <n v="0.1343"/>
    <n v="4"/>
    <n v="19"/>
    <n v="23"/>
  </r>
  <r>
    <n v="351"/>
    <d v="2011-01-16T00:00:00"/>
    <s v="winter"/>
    <s v="JANUARY"/>
    <n v="2"/>
    <x v="0"/>
    <x v="1"/>
    <x v="0"/>
    <n v="10.66"/>
    <n v="0.56000000000000005"/>
    <n v="8.9599999999999999E-2"/>
    <n v="3"/>
    <n v="13"/>
    <n v="16"/>
  </r>
  <r>
    <n v="352"/>
    <d v="2011-01-16T00:00:00"/>
    <s v="winter"/>
    <s v="JANUARY"/>
    <n v="3"/>
    <x v="0"/>
    <x v="1"/>
    <x v="0"/>
    <n v="9.02"/>
    <n v="0.69"/>
    <n v="0"/>
    <n v="9"/>
    <n v="6"/>
    <n v="15"/>
  </r>
  <r>
    <n v="353"/>
    <d v="2011-01-16T00:00:00"/>
    <s v="winter"/>
    <s v="JANUARY"/>
    <n v="4"/>
    <x v="0"/>
    <x v="1"/>
    <x v="0"/>
    <n v="10.66"/>
    <n v="0.56000000000000005"/>
    <n v="0.16420000000000001"/>
    <n v="0"/>
    <n v="1"/>
    <n v="1"/>
  </r>
  <r>
    <n v="354"/>
    <d v="2011-01-16T00:00:00"/>
    <s v="winter"/>
    <s v="JANUARY"/>
    <n v="5"/>
    <x v="0"/>
    <x v="1"/>
    <x v="1"/>
    <n v="10.66"/>
    <n v="0.56000000000000005"/>
    <n v="0.16420000000000001"/>
    <n v="1"/>
    <n v="1"/>
    <n v="2"/>
  </r>
  <r>
    <n v="355"/>
    <d v="2011-01-16T00:00:00"/>
    <s v="winter"/>
    <s v="JANUARY"/>
    <n v="6"/>
    <x v="0"/>
    <x v="1"/>
    <x v="1"/>
    <n v="10.66"/>
    <n v="0.56000000000000005"/>
    <n v="0.16420000000000001"/>
    <n v="0"/>
    <n v="1"/>
    <n v="1"/>
  </r>
  <r>
    <n v="356"/>
    <d v="2011-01-16T00:00:00"/>
    <s v="winter"/>
    <s v="JANUARY"/>
    <n v="7"/>
    <x v="0"/>
    <x v="1"/>
    <x v="1"/>
    <n v="9.84"/>
    <n v="0.56000000000000005"/>
    <n v="0.29849999999999999"/>
    <n v="0"/>
    <n v="3"/>
    <n v="3"/>
  </r>
  <r>
    <n v="357"/>
    <d v="2011-01-16T00:00:00"/>
    <s v="winter"/>
    <s v="JANUARY"/>
    <n v="8"/>
    <x v="0"/>
    <x v="1"/>
    <x v="0"/>
    <n v="9.02"/>
    <n v="0.55000000000000004"/>
    <n v="0.28360000000000002"/>
    <n v="0"/>
    <n v="18"/>
    <n v="18"/>
  </r>
  <r>
    <n v="358"/>
    <d v="2011-01-16T00:00:00"/>
    <s v="winter"/>
    <s v="JANUARY"/>
    <n v="9"/>
    <x v="0"/>
    <x v="1"/>
    <x v="0"/>
    <n v="9.02"/>
    <n v="0.51"/>
    <n v="0.25369999999999998"/>
    <n v="3"/>
    <n v="29"/>
    <n v="32"/>
  </r>
  <r>
    <n v="359"/>
    <d v="2011-01-16T00:00:00"/>
    <s v="winter"/>
    <s v="JANUARY"/>
    <n v="10"/>
    <x v="0"/>
    <x v="1"/>
    <x v="0"/>
    <n v="9.02"/>
    <n v="0.51"/>
    <n v="0.28360000000000002"/>
    <n v="8"/>
    <n v="71"/>
    <n v="79"/>
  </r>
  <r>
    <n v="360"/>
    <d v="2011-01-16T00:00:00"/>
    <s v="winter"/>
    <s v="JANUARY"/>
    <n v="11"/>
    <x v="0"/>
    <x v="1"/>
    <x v="0"/>
    <n v="9.84"/>
    <n v="0.44"/>
    <n v="0.25369999999999998"/>
    <n v="23"/>
    <n v="70"/>
    <n v="93"/>
  </r>
  <r>
    <n v="361"/>
    <d v="2011-01-16T00:00:00"/>
    <s v="winter"/>
    <s v="JANUARY"/>
    <n v="12"/>
    <x v="0"/>
    <x v="1"/>
    <x v="0"/>
    <n v="9.84"/>
    <n v="0.41"/>
    <n v="0.28360000000000002"/>
    <n v="29"/>
    <n v="75"/>
    <n v="104"/>
  </r>
  <r>
    <n v="362"/>
    <d v="2011-01-16T00:00:00"/>
    <s v="winter"/>
    <s v="JANUARY"/>
    <n v="13"/>
    <x v="0"/>
    <x v="1"/>
    <x v="0"/>
    <n v="10.66"/>
    <n v="0.35"/>
    <n v="0.29849999999999999"/>
    <n v="23"/>
    <n v="95"/>
    <n v="118"/>
  </r>
  <r>
    <n v="363"/>
    <d v="2011-01-16T00:00:00"/>
    <s v="winter"/>
    <s v="JANUARY"/>
    <n v="14"/>
    <x v="0"/>
    <x v="1"/>
    <x v="0"/>
    <n v="11.48"/>
    <n v="0.36"/>
    <n v="0.25369999999999998"/>
    <n v="22"/>
    <n v="69"/>
    <n v="91"/>
  </r>
  <r>
    <n v="364"/>
    <d v="2011-01-16T00:00:00"/>
    <s v="winter"/>
    <s v="JANUARY"/>
    <n v="15"/>
    <x v="0"/>
    <x v="1"/>
    <x v="0"/>
    <n v="10.66"/>
    <n v="0.38"/>
    <n v="0.25369999999999998"/>
    <n v="35"/>
    <n v="78"/>
    <n v="113"/>
  </r>
  <r>
    <n v="365"/>
    <d v="2011-01-16T00:00:00"/>
    <s v="winter"/>
    <s v="JANUARY"/>
    <n v="16"/>
    <x v="0"/>
    <x v="1"/>
    <x v="0"/>
    <n v="9.84"/>
    <n v="0.38"/>
    <n v="0.22389999999999999"/>
    <n v="22"/>
    <n v="77"/>
    <n v="99"/>
  </r>
  <r>
    <n v="366"/>
    <d v="2011-01-16T00:00:00"/>
    <s v="winter"/>
    <s v="JANUARY"/>
    <n v="17"/>
    <x v="0"/>
    <x v="1"/>
    <x v="0"/>
    <n v="9.02"/>
    <n v="0.37"/>
    <n v="0.25369999999999998"/>
    <n v="23"/>
    <n v="82"/>
    <n v="105"/>
  </r>
  <r>
    <n v="367"/>
    <d v="2011-01-16T00:00:00"/>
    <s v="winter"/>
    <s v="JANUARY"/>
    <n v="18"/>
    <x v="0"/>
    <x v="1"/>
    <x v="0"/>
    <n v="8.2000000000000011"/>
    <n v="0.4"/>
    <n v="0.16420000000000001"/>
    <n v="11"/>
    <n v="56"/>
    <n v="67"/>
  </r>
  <r>
    <n v="368"/>
    <d v="2011-01-16T00:00:00"/>
    <s v="winter"/>
    <s v="JANUARY"/>
    <n v="19"/>
    <x v="0"/>
    <x v="1"/>
    <x v="0"/>
    <n v="7.38"/>
    <n v="0.47"/>
    <n v="0.1343"/>
    <n v="14"/>
    <n v="47"/>
    <n v="61"/>
  </r>
  <r>
    <n v="369"/>
    <d v="2011-01-16T00:00:00"/>
    <s v="winter"/>
    <s v="JANUARY"/>
    <n v="20"/>
    <x v="0"/>
    <x v="1"/>
    <x v="0"/>
    <n v="7.38"/>
    <n v="0.47"/>
    <n v="0.16420000000000001"/>
    <n v="7"/>
    <n v="50"/>
    <n v="57"/>
  </r>
  <r>
    <n v="370"/>
    <d v="2011-01-16T00:00:00"/>
    <s v="winter"/>
    <s v="JANUARY"/>
    <n v="21"/>
    <x v="0"/>
    <x v="1"/>
    <x v="0"/>
    <n v="7.38"/>
    <n v="0.51"/>
    <n v="0.16420000000000001"/>
    <n v="6"/>
    <n v="22"/>
    <n v="28"/>
  </r>
  <r>
    <n v="371"/>
    <d v="2011-01-16T00:00:00"/>
    <s v="winter"/>
    <s v="JANUARY"/>
    <n v="22"/>
    <x v="0"/>
    <x v="1"/>
    <x v="1"/>
    <n v="8.2000000000000011"/>
    <n v="0.49"/>
    <n v="0.1343"/>
    <n v="2"/>
    <n v="19"/>
    <n v="21"/>
  </r>
  <r>
    <n v="372"/>
    <d v="2011-01-16T00:00:00"/>
    <s v="winter"/>
    <s v="JANUARY"/>
    <n v="23"/>
    <x v="0"/>
    <x v="1"/>
    <x v="1"/>
    <n v="8.2000000000000011"/>
    <n v="0.4"/>
    <n v="0.1045"/>
    <n v="0"/>
    <n v="18"/>
    <n v="18"/>
  </r>
  <r>
    <n v="373"/>
    <d v="2011-01-17T00:00:00"/>
    <s v="winter"/>
    <s v="JANUARY"/>
    <n v="0"/>
    <x v="1"/>
    <x v="2"/>
    <x v="1"/>
    <n v="8.2000000000000011"/>
    <n v="0.47"/>
    <n v="0.22389999999999999"/>
    <n v="1"/>
    <n v="16"/>
    <n v="17"/>
  </r>
  <r>
    <n v="374"/>
    <d v="2011-01-17T00:00:00"/>
    <s v="winter"/>
    <s v="JANUARY"/>
    <n v="1"/>
    <x v="1"/>
    <x v="2"/>
    <x v="1"/>
    <n v="8.2000000000000011"/>
    <n v="0.44"/>
    <n v="0.19400000000000001"/>
    <n v="1"/>
    <n v="15"/>
    <n v="16"/>
  </r>
  <r>
    <n v="375"/>
    <d v="2011-01-17T00:00:00"/>
    <s v="winter"/>
    <s v="JANUARY"/>
    <n v="2"/>
    <x v="1"/>
    <x v="2"/>
    <x v="1"/>
    <n v="7.38"/>
    <n v="0.43"/>
    <n v="0.25369999999999998"/>
    <n v="0"/>
    <n v="8"/>
    <n v="8"/>
  </r>
  <r>
    <n v="376"/>
    <d v="2011-01-17T00:00:00"/>
    <s v="winter"/>
    <s v="JANUARY"/>
    <n v="3"/>
    <x v="1"/>
    <x v="2"/>
    <x v="1"/>
    <n v="7.38"/>
    <n v="0.43"/>
    <n v="0.19400000000000001"/>
    <n v="0"/>
    <n v="2"/>
    <n v="2"/>
  </r>
  <r>
    <n v="377"/>
    <d v="2011-01-17T00:00:00"/>
    <s v="winter"/>
    <s v="JANUARY"/>
    <n v="4"/>
    <x v="1"/>
    <x v="2"/>
    <x v="1"/>
    <n v="7.38"/>
    <n v="0.43"/>
    <n v="0.1343"/>
    <n v="1"/>
    <n v="2"/>
    <n v="3"/>
  </r>
  <r>
    <n v="378"/>
    <d v="2011-01-17T00:00:00"/>
    <s v="winter"/>
    <s v="JANUARY"/>
    <n v="5"/>
    <x v="1"/>
    <x v="2"/>
    <x v="1"/>
    <n v="7.38"/>
    <n v="0.43"/>
    <n v="0.16420000000000001"/>
    <n v="0"/>
    <n v="1"/>
    <n v="1"/>
  </r>
  <r>
    <n v="379"/>
    <d v="2011-01-17T00:00:00"/>
    <s v="winter"/>
    <s v="JANUARY"/>
    <n v="6"/>
    <x v="1"/>
    <x v="2"/>
    <x v="1"/>
    <n v="7.38"/>
    <n v="0.43"/>
    <n v="0.19400000000000001"/>
    <n v="0"/>
    <n v="5"/>
    <n v="5"/>
  </r>
  <r>
    <n v="380"/>
    <d v="2011-01-17T00:00:00"/>
    <s v="winter"/>
    <s v="JANUARY"/>
    <n v="7"/>
    <x v="1"/>
    <x v="2"/>
    <x v="1"/>
    <n v="6.5600000000000005"/>
    <n v="0.5"/>
    <n v="0.1343"/>
    <n v="4"/>
    <n v="9"/>
    <n v="13"/>
  </r>
  <r>
    <n v="381"/>
    <d v="2011-01-17T00:00:00"/>
    <s v="winter"/>
    <s v="JANUARY"/>
    <n v="8"/>
    <x v="1"/>
    <x v="2"/>
    <x v="1"/>
    <n v="6.5600000000000005"/>
    <n v="0.47"/>
    <n v="0.22389999999999999"/>
    <n v="3"/>
    <n v="30"/>
    <n v="33"/>
  </r>
  <r>
    <n v="382"/>
    <d v="2011-01-17T00:00:00"/>
    <s v="winter"/>
    <s v="JANUARY"/>
    <n v="9"/>
    <x v="1"/>
    <x v="2"/>
    <x v="1"/>
    <n v="6.5600000000000005"/>
    <n v="0.47"/>
    <n v="0.22389999999999999"/>
    <n v="8"/>
    <n v="39"/>
    <n v="47"/>
  </r>
  <r>
    <n v="383"/>
    <d v="2011-01-17T00:00:00"/>
    <s v="winter"/>
    <s v="JANUARY"/>
    <n v="10"/>
    <x v="1"/>
    <x v="2"/>
    <x v="1"/>
    <n v="6.5600000000000005"/>
    <n v="0.5"/>
    <n v="0.25369999999999998"/>
    <n v="7"/>
    <n v="50"/>
    <n v="57"/>
  </r>
  <r>
    <n v="384"/>
    <d v="2011-01-17T00:00:00"/>
    <s v="winter"/>
    <s v="JANUARY"/>
    <n v="11"/>
    <x v="1"/>
    <x v="2"/>
    <x v="1"/>
    <n v="6.5600000000000005"/>
    <n v="0.55000000000000004"/>
    <n v="0.19400000000000001"/>
    <n v="9"/>
    <n v="55"/>
    <n v="64"/>
  </r>
  <r>
    <n v="385"/>
    <d v="2011-01-17T00:00:00"/>
    <s v="winter"/>
    <s v="JANUARY"/>
    <n v="12"/>
    <x v="1"/>
    <x v="2"/>
    <x v="1"/>
    <n v="7.38"/>
    <n v="0.47"/>
    <n v="0.1343"/>
    <n v="10"/>
    <n v="70"/>
    <n v="80"/>
  </r>
  <r>
    <n v="386"/>
    <d v="2011-01-17T00:00:00"/>
    <s v="winter"/>
    <s v="JANUARY"/>
    <n v="13"/>
    <x v="1"/>
    <x v="2"/>
    <x v="1"/>
    <n v="7.38"/>
    <n v="0.47"/>
    <n v="0.1343"/>
    <n v="13"/>
    <n v="80"/>
    <n v="93"/>
  </r>
  <r>
    <n v="387"/>
    <d v="2011-01-17T00:00:00"/>
    <s v="winter"/>
    <s v="JANUARY"/>
    <n v="14"/>
    <x v="1"/>
    <x v="2"/>
    <x v="1"/>
    <n v="7.38"/>
    <n v="0.43"/>
    <n v="0.1045"/>
    <n v="12"/>
    <n v="74"/>
    <n v="86"/>
  </r>
  <r>
    <n v="388"/>
    <d v="2011-01-17T00:00:00"/>
    <s v="winter"/>
    <s v="JANUARY"/>
    <n v="15"/>
    <x v="1"/>
    <x v="2"/>
    <x v="1"/>
    <n v="8.2000000000000011"/>
    <n v="0.47"/>
    <n v="0.16420000000000001"/>
    <n v="21"/>
    <n v="72"/>
    <n v="93"/>
  </r>
  <r>
    <n v="389"/>
    <d v="2011-01-17T00:00:00"/>
    <s v="winter"/>
    <s v="JANUARY"/>
    <n v="16"/>
    <x v="1"/>
    <x v="2"/>
    <x v="1"/>
    <n v="8.2000000000000011"/>
    <n v="0.47"/>
    <n v="0.16420000000000001"/>
    <n v="6"/>
    <n v="76"/>
    <n v="82"/>
  </r>
  <r>
    <n v="390"/>
    <d v="2011-01-17T00:00:00"/>
    <s v="winter"/>
    <s v="JANUARY"/>
    <n v="17"/>
    <x v="1"/>
    <x v="2"/>
    <x v="0"/>
    <n v="8.2000000000000011"/>
    <n v="0.51"/>
    <n v="0.19400000000000001"/>
    <n v="4"/>
    <n v="67"/>
    <n v="71"/>
  </r>
  <r>
    <n v="391"/>
    <d v="2011-01-17T00:00:00"/>
    <s v="winter"/>
    <s v="JANUARY"/>
    <n v="18"/>
    <x v="1"/>
    <x v="2"/>
    <x v="1"/>
    <n v="7.38"/>
    <n v="0.55000000000000004"/>
    <n v="0.25369999999999998"/>
    <n v="7"/>
    <n v="85"/>
    <n v="92"/>
  </r>
  <r>
    <n v="392"/>
    <d v="2011-01-17T00:00:00"/>
    <s v="winter"/>
    <s v="JANUARY"/>
    <n v="19"/>
    <x v="1"/>
    <x v="2"/>
    <x v="2"/>
    <n v="7.38"/>
    <n v="0.59"/>
    <n v="0.19400000000000001"/>
    <n v="2"/>
    <n v="58"/>
    <n v="60"/>
  </r>
  <r>
    <n v="393"/>
    <d v="2011-01-17T00:00:00"/>
    <s v="winter"/>
    <s v="JANUARY"/>
    <n v="20"/>
    <x v="1"/>
    <x v="2"/>
    <x v="2"/>
    <n v="6.5600000000000005"/>
    <n v="0.8"/>
    <n v="0.19400000000000001"/>
    <n v="4"/>
    <n v="29"/>
    <n v="33"/>
  </r>
  <r>
    <n v="394"/>
    <d v="2011-01-17T00:00:00"/>
    <s v="winter"/>
    <s v="JANUARY"/>
    <n v="21"/>
    <x v="1"/>
    <x v="2"/>
    <x v="2"/>
    <n v="6.5600000000000005"/>
    <n v="0.8"/>
    <n v="0.19400000000000001"/>
    <n v="3"/>
    <n v="24"/>
    <n v="27"/>
  </r>
  <r>
    <n v="395"/>
    <d v="2011-01-17T00:00:00"/>
    <s v="winter"/>
    <s v="JANUARY"/>
    <n v="22"/>
    <x v="1"/>
    <x v="2"/>
    <x v="2"/>
    <n v="5.74"/>
    <n v="0.93"/>
    <n v="0.25369999999999998"/>
    <n v="0"/>
    <n v="13"/>
    <n v="13"/>
  </r>
  <r>
    <n v="396"/>
    <d v="2011-01-17T00:00:00"/>
    <s v="winter"/>
    <s v="JANUARY"/>
    <n v="23"/>
    <x v="1"/>
    <x v="2"/>
    <x v="2"/>
    <n v="6.5600000000000005"/>
    <n v="0.86"/>
    <n v="0.28360000000000002"/>
    <n v="1"/>
    <n v="3"/>
    <n v="4"/>
  </r>
  <r>
    <n v="397"/>
    <d v="2011-01-18T00:00:00"/>
    <s v="winter"/>
    <s v="JANUARY"/>
    <n v="12"/>
    <x v="0"/>
    <x v="3"/>
    <x v="1"/>
    <n v="8.2000000000000011"/>
    <n v="0.86"/>
    <n v="0.32840000000000003"/>
    <n v="0"/>
    <n v="3"/>
    <n v="3"/>
  </r>
  <r>
    <n v="398"/>
    <d v="2011-01-18T00:00:00"/>
    <s v="winter"/>
    <s v="JANUARY"/>
    <n v="13"/>
    <x v="0"/>
    <x v="3"/>
    <x v="1"/>
    <n v="8.2000000000000011"/>
    <n v="0.86"/>
    <n v="0.22389999999999999"/>
    <n v="0"/>
    <n v="22"/>
    <n v="22"/>
  </r>
  <r>
    <n v="399"/>
    <d v="2011-01-18T00:00:00"/>
    <s v="winter"/>
    <s v="JANUARY"/>
    <n v="14"/>
    <x v="0"/>
    <x v="3"/>
    <x v="1"/>
    <n v="9.02"/>
    <n v="0.8"/>
    <n v="0.16420000000000001"/>
    <n v="2"/>
    <n v="26"/>
    <n v="28"/>
  </r>
  <r>
    <n v="400"/>
    <d v="2011-01-18T00:00:00"/>
    <s v="winter"/>
    <s v="JANUARY"/>
    <n v="15"/>
    <x v="0"/>
    <x v="3"/>
    <x v="1"/>
    <n v="9.02"/>
    <n v="0.87"/>
    <n v="0.16420000000000001"/>
    <n v="3"/>
    <n v="32"/>
    <n v="35"/>
  </r>
  <r>
    <n v="401"/>
    <d v="2011-01-18T00:00:00"/>
    <s v="winter"/>
    <s v="JANUARY"/>
    <n v="16"/>
    <x v="0"/>
    <x v="3"/>
    <x v="1"/>
    <n v="9.02"/>
    <n v="0.87"/>
    <n v="0.19400000000000001"/>
    <n v="0"/>
    <n v="61"/>
    <n v="61"/>
  </r>
  <r>
    <n v="402"/>
    <d v="2011-01-18T00:00:00"/>
    <s v="winter"/>
    <s v="JANUARY"/>
    <n v="17"/>
    <x v="0"/>
    <x v="3"/>
    <x v="1"/>
    <n v="9.02"/>
    <n v="0.82"/>
    <n v="0.19400000000000001"/>
    <n v="1"/>
    <n v="124"/>
    <n v="125"/>
  </r>
  <r>
    <n v="403"/>
    <d v="2011-01-18T00:00:00"/>
    <s v="winter"/>
    <s v="JANUARY"/>
    <n v="18"/>
    <x v="0"/>
    <x v="3"/>
    <x v="1"/>
    <n v="9.02"/>
    <n v="0.8"/>
    <n v="0.16420000000000001"/>
    <n v="1"/>
    <n v="132"/>
    <n v="133"/>
  </r>
  <r>
    <n v="404"/>
    <d v="2011-01-18T00:00:00"/>
    <s v="winter"/>
    <s v="JANUARY"/>
    <n v="19"/>
    <x v="0"/>
    <x v="3"/>
    <x v="1"/>
    <n v="9.02"/>
    <n v="0.8"/>
    <n v="0.1343"/>
    <n v="1"/>
    <n v="98"/>
    <n v="99"/>
  </r>
  <r>
    <n v="405"/>
    <d v="2011-01-18T00:00:00"/>
    <s v="winter"/>
    <s v="JANUARY"/>
    <n v="20"/>
    <x v="0"/>
    <x v="3"/>
    <x v="1"/>
    <n v="9.02"/>
    <n v="0.87"/>
    <n v="0"/>
    <n v="0"/>
    <n v="83"/>
    <n v="83"/>
  </r>
  <r>
    <n v="406"/>
    <d v="2011-01-18T00:00:00"/>
    <s v="winter"/>
    <s v="JANUARY"/>
    <n v="21"/>
    <x v="0"/>
    <x v="3"/>
    <x v="1"/>
    <n v="9.02"/>
    <n v="0.93"/>
    <n v="0.1045"/>
    <n v="0"/>
    <n v="41"/>
    <n v="41"/>
  </r>
  <r>
    <n v="407"/>
    <d v="2011-01-18T00:00:00"/>
    <s v="winter"/>
    <s v="JANUARY"/>
    <n v="22"/>
    <x v="0"/>
    <x v="3"/>
    <x v="1"/>
    <n v="9.02"/>
    <n v="0.93"/>
    <n v="8.9599999999999999E-2"/>
    <n v="0"/>
    <n v="33"/>
    <n v="33"/>
  </r>
  <r>
    <n v="408"/>
    <d v="2011-01-18T00:00:00"/>
    <s v="winter"/>
    <s v="JANUARY"/>
    <n v="23"/>
    <x v="0"/>
    <x v="3"/>
    <x v="1"/>
    <n v="9.02"/>
    <n v="0.93"/>
    <n v="0"/>
    <n v="1"/>
    <n v="19"/>
    <n v="20"/>
  </r>
  <r>
    <n v="409"/>
    <d v="2011-01-19T00:00:00"/>
    <s v="winter"/>
    <s v="JANUARY"/>
    <n v="0"/>
    <x v="0"/>
    <x v="4"/>
    <x v="1"/>
    <n v="9.02"/>
    <n v="0.93"/>
    <n v="0"/>
    <n v="0"/>
    <n v="3"/>
    <n v="3"/>
  </r>
  <r>
    <n v="410"/>
    <d v="2011-01-19T00:00:00"/>
    <s v="winter"/>
    <s v="JANUARY"/>
    <n v="1"/>
    <x v="0"/>
    <x v="4"/>
    <x v="2"/>
    <n v="9.02"/>
    <n v="0.93"/>
    <n v="0.1343"/>
    <n v="1"/>
    <n v="6"/>
    <n v="7"/>
  </r>
  <r>
    <n v="411"/>
    <d v="2011-01-19T00:00:00"/>
    <s v="winter"/>
    <s v="JANUARY"/>
    <n v="2"/>
    <x v="0"/>
    <x v="4"/>
    <x v="2"/>
    <n v="9.02"/>
    <n v="0.93"/>
    <n v="0.1343"/>
    <n v="0"/>
    <n v="3"/>
    <n v="3"/>
  </r>
  <r>
    <n v="412"/>
    <d v="2011-01-19T00:00:00"/>
    <s v="winter"/>
    <s v="JANUARY"/>
    <n v="4"/>
    <x v="0"/>
    <x v="4"/>
    <x v="2"/>
    <n v="9.02"/>
    <n v="0.93"/>
    <n v="0.1343"/>
    <n v="1"/>
    <n v="1"/>
    <n v="2"/>
  </r>
  <r>
    <n v="413"/>
    <d v="2011-01-19T00:00:00"/>
    <s v="winter"/>
    <s v="JANUARY"/>
    <n v="5"/>
    <x v="0"/>
    <x v="4"/>
    <x v="1"/>
    <n v="9.02"/>
    <n v="0.93"/>
    <n v="8.9599999999999999E-2"/>
    <n v="0"/>
    <n v="7"/>
    <n v="7"/>
  </r>
  <r>
    <n v="414"/>
    <d v="2011-01-19T00:00:00"/>
    <s v="winter"/>
    <s v="JANUARY"/>
    <n v="6"/>
    <x v="0"/>
    <x v="4"/>
    <x v="1"/>
    <n v="9.02"/>
    <n v="0.93"/>
    <n v="8.9599999999999999E-2"/>
    <n v="0"/>
    <n v="32"/>
    <n v="32"/>
  </r>
  <r>
    <n v="415"/>
    <d v="2011-01-19T00:00:00"/>
    <s v="winter"/>
    <s v="JANUARY"/>
    <n v="7"/>
    <x v="0"/>
    <x v="4"/>
    <x v="1"/>
    <n v="9.84"/>
    <n v="0.92"/>
    <n v="0.1045"/>
    <n v="1"/>
    <n v="89"/>
    <n v="90"/>
  </r>
  <r>
    <n v="416"/>
    <d v="2011-01-19T00:00:00"/>
    <s v="winter"/>
    <s v="JANUARY"/>
    <n v="8"/>
    <x v="0"/>
    <x v="4"/>
    <x v="1"/>
    <n v="9.84"/>
    <n v="0.93"/>
    <n v="0.1045"/>
    <n v="1"/>
    <n v="196"/>
    <n v="197"/>
  </r>
  <r>
    <n v="417"/>
    <d v="2011-01-19T00:00:00"/>
    <s v="winter"/>
    <s v="JANUARY"/>
    <n v="9"/>
    <x v="0"/>
    <x v="4"/>
    <x v="1"/>
    <n v="9.84"/>
    <n v="0.93"/>
    <n v="0.1045"/>
    <n v="2"/>
    <n v="107"/>
    <n v="109"/>
  </r>
  <r>
    <n v="418"/>
    <d v="2011-01-19T00:00:00"/>
    <s v="winter"/>
    <s v="JANUARY"/>
    <n v="10"/>
    <x v="0"/>
    <x v="4"/>
    <x v="1"/>
    <n v="10.66"/>
    <n v="0.93"/>
    <n v="0.1343"/>
    <n v="1"/>
    <n v="46"/>
    <n v="47"/>
  </r>
  <r>
    <n v="419"/>
    <d v="2011-01-19T00:00:00"/>
    <s v="winter"/>
    <s v="JANUARY"/>
    <n v="11"/>
    <x v="0"/>
    <x v="4"/>
    <x v="1"/>
    <n v="11.48"/>
    <n v="0.87"/>
    <n v="8.9599999999999999E-2"/>
    <n v="5"/>
    <n v="47"/>
    <n v="52"/>
  </r>
  <r>
    <n v="420"/>
    <d v="2011-01-19T00:00:00"/>
    <s v="winter"/>
    <s v="JANUARY"/>
    <n v="12"/>
    <x v="0"/>
    <x v="4"/>
    <x v="1"/>
    <n v="12.299999999999999"/>
    <n v="0.81"/>
    <n v="8.9599999999999999E-2"/>
    <n v="5"/>
    <n v="65"/>
    <n v="70"/>
  </r>
  <r>
    <n v="421"/>
    <d v="2011-01-19T00:00:00"/>
    <s v="winter"/>
    <s v="JANUARY"/>
    <n v="13"/>
    <x v="0"/>
    <x v="4"/>
    <x v="0"/>
    <n v="16.400000000000002"/>
    <n v="0.62"/>
    <n v="0.28360000000000002"/>
    <n v="11"/>
    <n v="67"/>
    <n v="78"/>
  </r>
  <r>
    <n v="422"/>
    <d v="2011-01-19T00:00:00"/>
    <s v="winter"/>
    <s v="JANUARY"/>
    <n v="14"/>
    <x v="0"/>
    <x v="4"/>
    <x v="0"/>
    <n v="16.400000000000002"/>
    <n v="0.57999999999999996"/>
    <n v="0.25369999999999998"/>
    <n v="7"/>
    <n v="68"/>
    <n v="75"/>
  </r>
  <r>
    <n v="423"/>
    <d v="2011-01-19T00:00:00"/>
    <s v="winter"/>
    <s v="JANUARY"/>
    <n v="15"/>
    <x v="0"/>
    <x v="4"/>
    <x v="0"/>
    <n v="16.400000000000002"/>
    <n v="0.54"/>
    <n v="0.28360000000000002"/>
    <n v="4"/>
    <n v="78"/>
    <n v="82"/>
  </r>
  <r>
    <n v="424"/>
    <d v="2011-01-19T00:00:00"/>
    <s v="winter"/>
    <s v="JANUARY"/>
    <n v="16"/>
    <x v="0"/>
    <x v="4"/>
    <x v="0"/>
    <n v="15.58"/>
    <n v="0.57999999999999996"/>
    <n v="0.3881"/>
    <n v="10"/>
    <n v="94"/>
    <n v="104"/>
  </r>
  <r>
    <n v="425"/>
    <d v="2011-01-19T00:00:00"/>
    <s v="winter"/>
    <s v="JANUARY"/>
    <n v="17"/>
    <x v="0"/>
    <x v="4"/>
    <x v="0"/>
    <n v="14.76"/>
    <n v="0.56999999999999995"/>
    <n v="0.32840000000000003"/>
    <n v="7"/>
    <n v="190"/>
    <n v="197"/>
  </r>
  <r>
    <n v="426"/>
    <d v="2011-01-19T00:00:00"/>
    <s v="winter"/>
    <s v="JANUARY"/>
    <n v="18"/>
    <x v="0"/>
    <x v="4"/>
    <x v="0"/>
    <n v="13.940000000000001"/>
    <n v="0.61"/>
    <n v="0.28360000000000002"/>
    <n v="5"/>
    <n v="156"/>
    <n v="161"/>
  </r>
  <r>
    <n v="427"/>
    <d v="2011-01-19T00:00:00"/>
    <s v="winter"/>
    <s v="JANUARY"/>
    <n v="19"/>
    <x v="0"/>
    <x v="4"/>
    <x v="0"/>
    <n v="13.120000000000001"/>
    <n v="0.56999999999999995"/>
    <n v="0.41789999999999999"/>
    <n v="4"/>
    <n v="108"/>
    <n v="112"/>
  </r>
  <r>
    <n v="428"/>
    <d v="2011-01-19T00:00:00"/>
    <s v="winter"/>
    <s v="JANUARY"/>
    <n v="20"/>
    <x v="0"/>
    <x v="4"/>
    <x v="0"/>
    <n v="13.120000000000001"/>
    <n v="0.49"/>
    <n v="0.29849999999999999"/>
    <n v="2"/>
    <n v="74"/>
    <n v="76"/>
  </r>
  <r>
    <n v="429"/>
    <d v="2011-01-19T00:00:00"/>
    <s v="winter"/>
    <s v="JANUARY"/>
    <n v="21"/>
    <x v="0"/>
    <x v="4"/>
    <x v="0"/>
    <n v="13.120000000000001"/>
    <n v="0.49"/>
    <n v="0.41789999999999999"/>
    <n v="4"/>
    <n v="55"/>
    <n v="59"/>
  </r>
  <r>
    <n v="430"/>
    <d v="2011-01-19T00:00:00"/>
    <s v="winter"/>
    <s v="JANUARY"/>
    <n v="22"/>
    <x v="0"/>
    <x v="4"/>
    <x v="0"/>
    <n v="12.299999999999999"/>
    <n v="0.52"/>
    <n v="0.16420000000000001"/>
    <n v="6"/>
    <n v="53"/>
    <n v="59"/>
  </r>
  <r>
    <n v="431"/>
    <d v="2011-01-19T00:00:00"/>
    <s v="winter"/>
    <s v="JANUARY"/>
    <n v="23"/>
    <x v="0"/>
    <x v="4"/>
    <x v="0"/>
    <n v="12.299999999999999"/>
    <n v="0.52"/>
    <n v="0.4627"/>
    <n v="1"/>
    <n v="27"/>
    <n v="28"/>
  </r>
  <r>
    <n v="432"/>
    <d v="2011-01-20T00:00:00"/>
    <s v="winter"/>
    <s v="JANUARY"/>
    <n v="0"/>
    <x v="0"/>
    <x v="5"/>
    <x v="0"/>
    <n v="10.66"/>
    <n v="0.56000000000000005"/>
    <n v="0.3881"/>
    <n v="5"/>
    <n v="8"/>
    <n v="13"/>
  </r>
  <r>
    <n v="433"/>
    <d v="2011-01-20T00:00:00"/>
    <s v="winter"/>
    <s v="JANUARY"/>
    <n v="1"/>
    <x v="0"/>
    <x v="5"/>
    <x v="0"/>
    <n v="10.66"/>
    <n v="0.56000000000000005"/>
    <n v="0"/>
    <n v="2"/>
    <n v="3"/>
    <n v="5"/>
  </r>
  <r>
    <n v="434"/>
    <d v="2011-01-20T00:00:00"/>
    <s v="winter"/>
    <s v="JANUARY"/>
    <n v="2"/>
    <x v="0"/>
    <x v="5"/>
    <x v="0"/>
    <n v="10.66"/>
    <n v="0.56000000000000005"/>
    <n v="0"/>
    <n v="0"/>
    <n v="2"/>
    <n v="2"/>
  </r>
  <r>
    <n v="435"/>
    <d v="2011-01-20T00:00:00"/>
    <s v="winter"/>
    <s v="JANUARY"/>
    <n v="3"/>
    <x v="0"/>
    <x v="5"/>
    <x v="0"/>
    <n v="10.66"/>
    <n v="0.56000000000000005"/>
    <n v="0.16420000000000001"/>
    <n v="0"/>
    <n v="1"/>
    <n v="1"/>
  </r>
  <r>
    <n v="436"/>
    <d v="2011-01-20T00:00:00"/>
    <s v="winter"/>
    <s v="JANUARY"/>
    <n v="4"/>
    <x v="0"/>
    <x v="5"/>
    <x v="0"/>
    <n v="10.66"/>
    <n v="0.56000000000000005"/>
    <n v="0.16420000000000001"/>
    <n v="0"/>
    <n v="1"/>
    <n v="1"/>
  </r>
  <r>
    <n v="437"/>
    <d v="2011-01-20T00:00:00"/>
    <s v="winter"/>
    <s v="JANUARY"/>
    <n v="5"/>
    <x v="0"/>
    <x v="5"/>
    <x v="0"/>
    <n v="9.84"/>
    <n v="0.6"/>
    <n v="0.22389999999999999"/>
    <n v="0"/>
    <n v="6"/>
    <n v="6"/>
  </r>
  <r>
    <n v="438"/>
    <d v="2011-01-20T00:00:00"/>
    <s v="winter"/>
    <s v="JANUARY"/>
    <n v="6"/>
    <x v="0"/>
    <x v="5"/>
    <x v="0"/>
    <n v="9.02"/>
    <n v="0.6"/>
    <n v="0.22389999999999999"/>
    <n v="0"/>
    <n v="35"/>
    <n v="35"/>
  </r>
  <r>
    <n v="439"/>
    <d v="2011-01-20T00:00:00"/>
    <s v="winter"/>
    <s v="JANUARY"/>
    <n v="7"/>
    <x v="0"/>
    <x v="5"/>
    <x v="0"/>
    <n v="9.02"/>
    <n v="0.55000000000000004"/>
    <n v="0.22389999999999999"/>
    <n v="1"/>
    <n v="100"/>
    <n v="101"/>
  </r>
  <r>
    <n v="440"/>
    <d v="2011-01-20T00:00:00"/>
    <s v="winter"/>
    <s v="JANUARY"/>
    <n v="8"/>
    <x v="0"/>
    <x v="5"/>
    <x v="0"/>
    <n v="9.02"/>
    <n v="0.55000000000000004"/>
    <n v="0.28360000000000002"/>
    <n v="2"/>
    <n v="247"/>
    <n v="249"/>
  </r>
  <r>
    <n v="441"/>
    <d v="2011-01-20T00:00:00"/>
    <s v="winter"/>
    <s v="JANUARY"/>
    <n v="9"/>
    <x v="0"/>
    <x v="5"/>
    <x v="1"/>
    <n v="9.84"/>
    <n v="0.52"/>
    <n v="0.22389999999999999"/>
    <n v="3"/>
    <n v="140"/>
    <n v="143"/>
  </r>
  <r>
    <n v="442"/>
    <d v="2011-01-20T00:00:00"/>
    <s v="winter"/>
    <s v="JANUARY"/>
    <n v="10"/>
    <x v="0"/>
    <x v="5"/>
    <x v="0"/>
    <n v="10.66"/>
    <n v="0.48"/>
    <n v="0.29849999999999999"/>
    <n v="1"/>
    <n v="56"/>
    <n v="57"/>
  </r>
  <r>
    <n v="443"/>
    <d v="2011-01-20T00:00:00"/>
    <s v="winter"/>
    <s v="JANUARY"/>
    <n v="11"/>
    <x v="0"/>
    <x v="5"/>
    <x v="1"/>
    <n v="11.48"/>
    <n v="0.45"/>
    <n v="0.16420000000000001"/>
    <n v="5"/>
    <n v="63"/>
    <n v="68"/>
  </r>
  <r>
    <n v="444"/>
    <d v="2011-01-20T00:00:00"/>
    <s v="winter"/>
    <s v="JANUARY"/>
    <n v="12"/>
    <x v="0"/>
    <x v="5"/>
    <x v="1"/>
    <n v="12.299999999999999"/>
    <n v="0.42"/>
    <n v="0"/>
    <n v="7"/>
    <n v="77"/>
    <n v="84"/>
  </r>
  <r>
    <n v="445"/>
    <d v="2011-01-20T00:00:00"/>
    <s v="winter"/>
    <s v="JANUARY"/>
    <n v="13"/>
    <x v="0"/>
    <x v="5"/>
    <x v="1"/>
    <n v="11.48"/>
    <n v="0.45"/>
    <n v="0.1045"/>
    <n v="12"/>
    <n v="86"/>
    <n v="98"/>
  </r>
  <r>
    <n v="446"/>
    <d v="2011-01-20T00:00:00"/>
    <s v="winter"/>
    <s v="JANUARY"/>
    <n v="14"/>
    <x v="0"/>
    <x v="5"/>
    <x v="1"/>
    <n v="12.299999999999999"/>
    <n v="0.45"/>
    <n v="0.1343"/>
    <n v="6"/>
    <n v="75"/>
    <n v="81"/>
  </r>
  <r>
    <n v="447"/>
    <d v="2011-01-20T00:00:00"/>
    <s v="winter"/>
    <s v="JANUARY"/>
    <n v="15"/>
    <x v="0"/>
    <x v="5"/>
    <x v="1"/>
    <n v="13.120000000000001"/>
    <n v="0.45"/>
    <n v="0.19400000000000001"/>
    <n v="8"/>
    <n v="62"/>
    <n v="70"/>
  </r>
  <r>
    <n v="448"/>
    <d v="2011-01-20T00:00:00"/>
    <s v="winter"/>
    <s v="JANUARY"/>
    <n v="16"/>
    <x v="0"/>
    <x v="5"/>
    <x v="1"/>
    <n v="12.299999999999999"/>
    <n v="0.49"/>
    <n v="0.1343"/>
    <n v="8"/>
    <n v="83"/>
    <n v="91"/>
  </r>
  <r>
    <n v="449"/>
    <d v="2011-01-20T00:00:00"/>
    <s v="winter"/>
    <s v="JANUARY"/>
    <n v="17"/>
    <x v="0"/>
    <x v="5"/>
    <x v="1"/>
    <n v="12.299999999999999"/>
    <n v="0.49"/>
    <n v="0.1045"/>
    <n v="8"/>
    <n v="207"/>
    <n v="215"/>
  </r>
  <r>
    <n v="450"/>
    <d v="2011-01-20T00:00:00"/>
    <s v="winter"/>
    <s v="JANUARY"/>
    <n v="18"/>
    <x v="0"/>
    <x v="5"/>
    <x v="1"/>
    <n v="10.66"/>
    <n v="0.56000000000000005"/>
    <n v="0.19400000000000001"/>
    <n v="1"/>
    <n v="184"/>
    <n v="185"/>
  </r>
  <r>
    <n v="451"/>
    <d v="2011-01-20T00:00:00"/>
    <s v="winter"/>
    <s v="JANUARY"/>
    <n v="19"/>
    <x v="0"/>
    <x v="5"/>
    <x v="0"/>
    <n v="10.66"/>
    <n v="0.56000000000000005"/>
    <n v="0.32840000000000003"/>
    <n v="6"/>
    <n v="146"/>
    <n v="152"/>
  </r>
  <r>
    <n v="452"/>
    <d v="2011-01-20T00:00:00"/>
    <s v="winter"/>
    <s v="JANUARY"/>
    <n v="20"/>
    <x v="0"/>
    <x v="5"/>
    <x v="1"/>
    <n v="10.66"/>
    <n v="0.6"/>
    <n v="0.28360000000000002"/>
    <n v="2"/>
    <n v="124"/>
    <n v="126"/>
  </r>
  <r>
    <n v="453"/>
    <d v="2011-01-20T00:00:00"/>
    <s v="winter"/>
    <s v="JANUARY"/>
    <n v="21"/>
    <x v="0"/>
    <x v="5"/>
    <x v="1"/>
    <n v="9.84"/>
    <n v="0.6"/>
    <n v="0.25369999999999998"/>
    <n v="3"/>
    <n v="54"/>
    <n v="57"/>
  </r>
  <r>
    <n v="454"/>
    <d v="2011-01-20T00:00:00"/>
    <s v="winter"/>
    <s v="JANUARY"/>
    <n v="22"/>
    <x v="0"/>
    <x v="5"/>
    <x v="1"/>
    <n v="9.84"/>
    <n v="0.65"/>
    <n v="0.28360000000000002"/>
    <n v="0"/>
    <n v="56"/>
    <n v="56"/>
  </r>
  <r>
    <n v="455"/>
    <d v="2011-01-20T00:00:00"/>
    <s v="winter"/>
    <s v="JANUARY"/>
    <n v="23"/>
    <x v="0"/>
    <x v="5"/>
    <x v="1"/>
    <n v="9.84"/>
    <n v="0.65"/>
    <n v="0.32840000000000003"/>
    <n v="3"/>
    <n v="28"/>
    <n v="31"/>
  </r>
  <r>
    <n v="456"/>
    <d v="2011-01-21T00:00:00"/>
    <s v="winter"/>
    <s v="JANUARY"/>
    <n v="0"/>
    <x v="0"/>
    <x v="6"/>
    <x v="1"/>
    <n v="9.84"/>
    <n v="0.7"/>
    <n v="0.25369999999999998"/>
    <n v="1"/>
    <n v="20"/>
    <n v="21"/>
  </r>
  <r>
    <n v="457"/>
    <d v="2011-01-21T00:00:00"/>
    <s v="winter"/>
    <s v="JANUARY"/>
    <n v="1"/>
    <x v="0"/>
    <x v="6"/>
    <x v="1"/>
    <n v="9.84"/>
    <n v="0.7"/>
    <n v="0.25369999999999998"/>
    <n v="0"/>
    <n v="6"/>
    <n v="6"/>
  </r>
  <r>
    <n v="458"/>
    <d v="2011-01-21T00:00:00"/>
    <s v="winter"/>
    <s v="JANUARY"/>
    <n v="2"/>
    <x v="0"/>
    <x v="6"/>
    <x v="2"/>
    <n v="9.84"/>
    <n v="0.75"/>
    <n v="0.16420000000000001"/>
    <n v="0"/>
    <n v="2"/>
    <n v="2"/>
  </r>
  <r>
    <n v="459"/>
    <d v="2011-01-21T00:00:00"/>
    <s v="winter"/>
    <s v="JANUARY"/>
    <n v="3"/>
    <x v="0"/>
    <x v="6"/>
    <x v="2"/>
    <n v="9.02"/>
    <n v="0.8"/>
    <n v="0.29849999999999999"/>
    <n v="0"/>
    <n v="1"/>
    <n v="1"/>
  </r>
  <r>
    <n v="460"/>
    <d v="2011-01-21T00:00:00"/>
    <s v="winter"/>
    <s v="JANUARY"/>
    <n v="4"/>
    <x v="0"/>
    <x v="6"/>
    <x v="1"/>
    <n v="9.02"/>
    <n v="0.87"/>
    <n v="8.9599999999999999E-2"/>
    <n v="0"/>
    <n v="1"/>
    <n v="1"/>
  </r>
  <r>
    <n v="461"/>
    <d v="2011-01-21T00:00:00"/>
    <s v="winter"/>
    <s v="JANUARY"/>
    <n v="5"/>
    <x v="0"/>
    <x v="6"/>
    <x v="0"/>
    <n v="9.84"/>
    <n v="0.6"/>
    <n v="0.41789999999999999"/>
    <n v="1"/>
    <n v="4"/>
    <n v="5"/>
  </r>
  <r>
    <n v="462"/>
    <d v="2011-01-21T00:00:00"/>
    <s v="winter"/>
    <s v="JANUARY"/>
    <n v="6"/>
    <x v="0"/>
    <x v="6"/>
    <x v="0"/>
    <n v="9.02"/>
    <n v="0.55000000000000004"/>
    <n v="0.25369999999999998"/>
    <n v="0"/>
    <n v="27"/>
    <n v="27"/>
  </r>
  <r>
    <n v="463"/>
    <d v="2011-01-21T00:00:00"/>
    <s v="winter"/>
    <s v="JANUARY"/>
    <n v="7"/>
    <x v="0"/>
    <x v="6"/>
    <x v="0"/>
    <n v="8.2000000000000011"/>
    <n v="0.51"/>
    <n v="0.28360000000000002"/>
    <n v="2"/>
    <n v="66"/>
    <n v="68"/>
  </r>
  <r>
    <n v="464"/>
    <d v="2011-01-21T00:00:00"/>
    <s v="winter"/>
    <s v="JANUARY"/>
    <n v="8"/>
    <x v="0"/>
    <x v="6"/>
    <x v="0"/>
    <n v="8.2000000000000011"/>
    <n v="0.47"/>
    <n v="0.32840000000000003"/>
    <n v="7"/>
    <n v="210"/>
    <n v="217"/>
  </r>
  <r>
    <n v="465"/>
    <d v="2011-01-21T00:00:00"/>
    <s v="winter"/>
    <s v="JANUARY"/>
    <n v="9"/>
    <x v="0"/>
    <x v="6"/>
    <x v="0"/>
    <n v="8.2000000000000011"/>
    <n v="0.51"/>
    <n v="0.35820000000000002"/>
    <n v="7"/>
    <n v="159"/>
    <n v="166"/>
  </r>
  <r>
    <n v="466"/>
    <d v="2011-01-21T00:00:00"/>
    <s v="winter"/>
    <s v="JANUARY"/>
    <n v="10"/>
    <x v="0"/>
    <x v="6"/>
    <x v="0"/>
    <n v="8.2000000000000011"/>
    <n v="0.47"/>
    <n v="0.4627"/>
    <n v="6"/>
    <n v="57"/>
    <n v="63"/>
  </r>
  <r>
    <n v="467"/>
    <d v="2011-01-21T00:00:00"/>
    <s v="winter"/>
    <s v="JANUARY"/>
    <n v="11"/>
    <x v="0"/>
    <x v="6"/>
    <x v="0"/>
    <n v="9.02"/>
    <n v="0.41"/>
    <n v="0.4627"/>
    <n v="6"/>
    <n v="53"/>
    <n v="59"/>
  </r>
  <r>
    <n v="468"/>
    <d v="2011-01-21T00:00:00"/>
    <s v="winter"/>
    <s v="JANUARY"/>
    <n v="12"/>
    <x v="0"/>
    <x v="6"/>
    <x v="0"/>
    <n v="9.02"/>
    <n v="0.27"/>
    <n v="0.58209999999999995"/>
    <n v="11"/>
    <n v="67"/>
    <n v="78"/>
  </r>
  <r>
    <n v="469"/>
    <d v="2011-01-21T00:00:00"/>
    <s v="winter"/>
    <s v="JANUARY"/>
    <n v="13"/>
    <x v="0"/>
    <x v="6"/>
    <x v="0"/>
    <n v="8.2000000000000011"/>
    <n v="0.21"/>
    <n v="0.58209999999999995"/>
    <n v="8"/>
    <n v="65"/>
    <n v="73"/>
  </r>
  <r>
    <n v="470"/>
    <d v="2011-01-21T00:00:00"/>
    <s v="winter"/>
    <s v="JANUARY"/>
    <n v="14"/>
    <x v="0"/>
    <x v="6"/>
    <x v="0"/>
    <n v="8.2000000000000011"/>
    <n v="0.25"/>
    <n v="0.52239999999999998"/>
    <n v="6"/>
    <n v="56"/>
    <n v="62"/>
  </r>
  <r>
    <n v="471"/>
    <d v="2011-01-21T00:00:00"/>
    <s v="winter"/>
    <s v="JANUARY"/>
    <n v="15"/>
    <x v="0"/>
    <x v="6"/>
    <x v="0"/>
    <n v="6.5600000000000005"/>
    <n v="0.26"/>
    <n v="0.44779999999999998"/>
    <n v="4"/>
    <n v="61"/>
    <n v="65"/>
  </r>
  <r>
    <n v="472"/>
    <d v="2011-01-21T00:00:00"/>
    <s v="winter"/>
    <s v="JANUARY"/>
    <n v="16"/>
    <x v="0"/>
    <x v="6"/>
    <x v="0"/>
    <n v="6.5600000000000005"/>
    <n v="0.26"/>
    <n v="0.35820000000000002"/>
    <n v="0"/>
    <n v="97"/>
    <n v="97"/>
  </r>
  <r>
    <n v="473"/>
    <d v="2011-01-21T00:00:00"/>
    <s v="winter"/>
    <s v="JANUARY"/>
    <n v="17"/>
    <x v="0"/>
    <x v="6"/>
    <x v="0"/>
    <n v="5.74"/>
    <n v="0.28000000000000003"/>
    <n v="0.35820000000000002"/>
    <n v="10"/>
    <n v="151"/>
    <n v="161"/>
  </r>
  <r>
    <n v="474"/>
    <d v="2011-01-21T00:00:00"/>
    <s v="winter"/>
    <s v="JANUARY"/>
    <n v="18"/>
    <x v="0"/>
    <x v="6"/>
    <x v="0"/>
    <n v="4.92"/>
    <n v="0.3"/>
    <n v="0.25369999999999998"/>
    <n v="1"/>
    <n v="119"/>
    <n v="120"/>
  </r>
  <r>
    <n v="475"/>
    <d v="2011-01-21T00:00:00"/>
    <s v="winter"/>
    <s v="JANUARY"/>
    <n v="19"/>
    <x v="0"/>
    <x v="6"/>
    <x v="0"/>
    <n v="4.92"/>
    <n v="0.3"/>
    <n v="0.32840000000000003"/>
    <n v="3"/>
    <n v="93"/>
    <n v="96"/>
  </r>
  <r>
    <n v="476"/>
    <d v="2011-01-21T00:00:00"/>
    <s v="winter"/>
    <s v="JANUARY"/>
    <n v="20"/>
    <x v="0"/>
    <x v="6"/>
    <x v="0"/>
    <n v="4.1000000000000005"/>
    <n v="0.33"/>
    <n v="0.41789999999999999"/>
    <n v="1"/>
    <n v="52"/>
    <n v="53"/>
  </r>
  <r>
    <n v="477"/>
    <d v="2011-01-21T00:00:00"/>
    <s v="winter"/>
    <s v="JANUARY"/>
    <n v="21"/>
    <x v="0"/>
    <x v="6"/>
    <x v="0"/>
    <n v="3.2800000000000002"/>
    <n v="0.38"/>
    <n v="0.28360000000000002"/>
    <n v="0"/>
    <n v="41"/>
    <n v="41"/>
  </r>
  <r>
    <n v="478"/>
    <d v="2011-01-21T00:00:00"/>
    <s v="winter"/>
    <s v="JANUARY"/>
    <n v="22"/>
    <x v="0"/>
    <x v="6"/>
    <x v="0"/>
    <n v="2.46"/>
    <n v="0.41"/>
    <n v="0.3881"/>
    <n v="1"/>
    <n v="33"/>
    <n v="34"/>
  </r>
  <r>
    <n v="479"/>
    <d v="2011-01-21T00:00:00"/>
    <s v="winter"/>
    <s v="JANUARY"/>
    <n v="23"/>
    <x v="0"/>
    <x v="6"/>
    <x v="0"/>
    <n v="2.46"/>
    <n v="0.38"/>
    <n v="0.32840000000000003"/>
    <n v="0"/>
    <n v="27"/>
    <n v="27"/>
  </r>
  <r>
    <n v="480"/>
    <d v="2011-01-22T00:00:00"/>
    <s v="winter"/>
    <s v="JANUARY"/>
    <n v="0"/>
    <x v="0"/>
    <x v="0"/>
    <x v="0"/>
    <n v="1.6400000000000001"/>
    <n v="0.45"/>
    <n v="0.25369999999999998"/>
    <n v="0"/>
    <n v="13"/>
    <n v="13"/>
  </r>
  <r>
    <n v="481"/>
    <d v="2011-01-22T00:00:00"/>
    <s v="winter"/>
    <s v="JANUARY"/>
    <n v="1"/>
    <x v="0"/>
    <x v="0"/>
    <x v="1"/>
    <n v="1.6400000000000001"/>
    <n v="0.41"/>
    <n v="0.3881"/>
    <n v="3"/>
    <n v="9"/>
    <n v="12"/>
  </r>
  <r>
    <n v="482"/>
    <d v="2011-01-22T00:00:00"/>
    <s v="winter"/>
    <s v="JANUARY"/>
    <n v="2"/>
    <x v="0"/>
    <x v="0"/>
    <x v="1"/>
    <n v="1.6400000000000001"/>
    <n v="0.41"/>
    <n v="0.25369999999999998"/>
    <n v="0"/>
    <n v="11"/>
    <n v="11"/>
  </r>
  <r>
    <n v="483"/>
    <d v="2011-01-22T00:00:00"/>
    <s v="winter"/>
    <s v="JANUARY"/>
    <n v="3"/>
    <x v="0"/>
    <x v="0"/>
    <x v="1"/>
    <n v="1.6400000000000001"/>
    <n v="0.41"/>
    <n v="0.28360000000000002"/>
    <n v="1"/>
    <n v="6"/>
    <n v="7"/>
  </r>
  <r>
    <n v="484"/>
    <d v="2011-01-22T00:00:00"/>
    <s v="winter"/>
    <s v="JANUARY"/>
    <n v="4"/>
    <x v="0"/>
    <x v="0"/>
    <x v="1"/>
    <n v="0.82000000000000006"/>
    <n v="0.48"/>
    <n v="0.29849999999999999"/>
    <n v="0"/>
    <n v="3"/>
    <n v="3"/>
  </r>
  <r>
    <n v="485"/>
    <d v="2011-01-22T00:00:00"/>
    <s v="winter"/>
    <s v="JANUARY"/>
    <n v="6"/>
    <x v="0"/>
    <x v="0"/>
    <x v="1"/>
    <n v="0.82000000000000006"/>
    <n v="0.44"/>
    <n v="0.22389999999999999"/>
    <n v="0"/>
    <n v="2"/>
    <n v="2"/>
  </r>
  <r>
    <n v="486"/>
    <d v="2011-01-22T00:00:00"/>
    <s v="winter"/>
    <s v="JANUARY"/>
    <n v="7"/>
    <x v="0"/>
    <x v="0"/>
    <x v="0"/>
    <n v="0.82000000000000006"/>
    <n v="0.44"/>
    <n v="0.28360000000000002"/>
    <n v="0"/>
    <n v="8"/>
    <n v="8"/>
  </r>
  <r>
    <n v="487"/>
    <d v="2011-01-22T00:00:00"/>
    <s v="winter"/>
    <s v="JANUARY"/>
    <n v="8"/>
    <x v="0"/>
    <x v="0"/>
    <x v="0"/>
    <n v="0.82000000000000006"/>
    <n v="0.44"/>
    <n v="0.32840000000000003"/>
    <n v="1"/>
    <n v="26"/>
    <n v="27"/>
  </r>
  <r>
    <n v="488"/>
    <d v="2011-01-22T00:00:00"/>
    <s v="winter"/>
    <s v="JANUARY"/>
    <n v="9"/>
    <x v="0"/>
    <x v="0"/>
    <x v="0"/>
    <n v="1.6400000000000001"/>
    <n v="0.41"/>
    <n v="0.25369999999999998"/>
    <n v="3"/>
    <n v="37"/>
    <n v="40"/>
  </r>
  <r>
    <n v="489"/>
    <d v="2011-01-22T00:00:00"/>
    <s v="winter"/>
    <s v="JANUARY"/>
    <n v="10"/>
    <x v="0"/>
    <x v="0"/>
    <x v="1"/>
    <n v="1.6400000000000001"/>
    <n v="0.41"/>
    <n v="0.16420000000000001"/>
    <n v="3"/>
    <n v="50"/>
    <n v="53"/>
  </r>
  <r>
    <n v="490"/>
    <d v="2011-01-22T00:00:00"/>
    <s v="winter"/>
    <s v="JANUARY"/>
    <n v="11"/>
    <x v="0"/>
    <x v="0"/>
    <x v="1"/>
    <n v="2.46"/>
    <n v="0.38"/>
    <n v="0.1343"/>
    <n v="4"/>
    <n v="59"/>
    <n v="63"/>
  </r>
  <r>
    <n v="491"/>
    <d v="2011-01-22T00:00:00"/>
    <s v="winter"/>
    <s v="JANUARY"/>
    <n v="12"/>
    <x v="0"/>
    <x v="0"/>
    <x v="1"/>
    <n v="2.46"/>
    <n v="0.38"/>
    <n v="0.1045"/>
    <n v="10"/>
    <n v="60"/>
    <n v="70"/>
  </r>
  <r>
    <n v="492"/>
    <d v="2011-01-22T00:00:00"/>
    <s v="winter"/>
    <s v="JANUARY"/>
    <n v="13"/>
    <x v="0"/>
    <x v="0"/>
    <x v="0"/>
    <n v="3.2800000000000002"/>
    <n v="0.35"/>
    <n v="0"/>
    <n v="12"/>
    <n v="72"/>
    <n v="84"/>
  </r>
  <r>
    <n v="493"/>
    <d v="2011-01-22T00:00:00"/>
    <s v="winter"/>
    <s v="JANUARY"/>
    <n v="14"/>
    <x v="0"/>
    <x v="0"/>
    <x v="0"/>
    <n v="4.1000000000000005"/>
    <n v="0.33"/>
    <n v="0.1045"/>
    <n v="11"/>
    <n v="64"/>
    <n v="75"/>
  </r>
  <r>
    <n v="494"/>
    <d v="2011-01-22T00:00:00"/>
    <s v="winter"/>
    <s v="JANUARY"/>
    <n v="15"/>
    <x v="0"/>
    <x v="0"/>
    <x v="0"/>
    <n v="4.92"/>
    <n v="0.28000000000000003"/>
    <n v="0"/>
    <n v="10"/>
    <n v="93"/>
    <n v="103"/>
  </r>
  <r>
    <n v="495"/>
    <d v="2011-01-22T00:00:00"/>
    <s v="winter"/>
    <s v="JANUARY"/>
    <n v="16"/>
    <x v="0"/>
    <x v="0"/>
    <x v="0"/>
    <n v="4.92"/>
    <n v="0.28000000000000003"/>
    <n v="0.19400000000000001"/>
    <n v="11"/>
    <n v="72"/>
    <n v="83"/>
  </r>
  <r>
    <n v="496"/>
    <d v="2011-01-22T00:00:00"/>
    <s v="winter"/>
    <s v="JANUARY"/>
    <n v="17"/>
    <x v="0"/>
    <x v="0"/>
    <x v="0"/>
    <n v="4.92"/>
    <n v="0.28000000000000003"/>
    <n v="0"/>
    <n v="8"/>
    <n v="59"/>
    <n v="67"/>
  </r>
  <r>
    <n v="497"/>
    <d v="2011-01-22T00:00:00"/>
    <s v="winter"/>
    <s v="JANUARY"/>
    <n v="18"/>
    <x v="0"/>
    <x v="0"/>
    <x v="0"/>
    <n v="3.2800000000000002"/>
    <n v="0.35"/>
    <n v="0.19400000000000001"/>
    <n v="0"/>
    <n v="54"/>
    <n v="54"/>
  </r>
  <r>
    <n v="498"/>
    <d v="2011-01-22T00:00:00"/>
    <s v="winter"/>
    <s v="JANUARY"/>
    <n v="19"/>
    <x v="0"/>
    <x v="0"/>
    <x v="0"/>
    <n v="3.2800000000000002"/>
    <n v="0.35"/>
    <n v="0.1343"/>
    <n v="6"/>
    <n v="53"/>
    <n v="59"/>
  </r>
  <r>
    <n v="499"/>
    <d v="2011-01-22T00:00:00"/>
    <s v="winter"/>
    <s v="JANUARY"/>
    <n v="20"/>
    <x v="0"/>
    <x v="0"/>
    <x v="0"/>
    <n v="2.46"/>
    <n v="0.45"/>
    <n v="0.16420000000000001"/>
    <n v="1"/>
    <n v="44"/>
    <n v="45"/>
  </r>
  <r>
    <n v="500"/>
    <d v="2011-01-22T00:00:00"/>
    <s v="winter"/>
    <s v="JANUARY"/>
    <n v="21"/>
    <x v="0"/>
    <x v="0"/>
    <x v="0"/>
    <n v="2.46"/>
    <n v="0.41"/>
    <n v="8.9599999999999999E-2"/>
    <n v="0"/>
    <n v="39"/>
    <n v="39"/>
  </r>
  <r>
    <n v="501"/>
    <d v="2011-01-22T00:00:00"/>
    <s v="winter"/>
    <s v="JANUARY"/>
    <n v="22"/>
    <x v="0"/>
    <x v="0"/>
    <x v="0"/>
    <n v="2.46"/>
    <n v="0.49"/>
    <n v="0"/>
    <n v="7"/>
    <n v="23"/>
    <n v="30"/>
  </r>
  <r>
    <n v="502"/>
    <d v="2011-01-22T00:00:00"/>
    <s v="winter"/>
    <s v="JANUARY"/>
    <n v="23"/>
    <x v="0"/>
    <x v="0"/>
    <x v="0"/>
    <n v="1.6400000000000001"/>
    <n v="0.56999999999999995"/>
    <n v="0.1045"/>
    <n v="2"/>
    <n v="31"/>
    <n v="33"/>
  </r>
  <r>
    <n v="503"/>
    <d v="2011-01-23T00:00:00"/>
    <s v="winter"/>
    <s v="JANUARY"/>
    <n v="0"/>
    <x v="0"/>
    <x v="1"/>
    <x v="0"/>
    <n v="1.6400000000000001"/>
    <n v="0.56999999999999995"/>
    <n v="0.1045"/>
    <n v="2"/>
    <n v="20"/>
    <n v="22"/>
  </r>
  <r>
    <n v="504"/>
    <d v="2011-01-23T00:00:00"/>
    <s v="winter"/>
    <s v="JANUARY"/>
    <n v="1"/>
    <x v="0"/>
    <x v="1"/>
    <x v="0"/>
    <n v="1.6400000000000001"/>
    <n v="0.56999999999999995"/>
    <n v="0.1045"/>
    <n v="1"/>
    <n v="12"/>
    <n v="13"/>
  </r>
  <r>
    <n v="505"/>
    <d v="2011-01-23T00:00:00"/>
    <s v="winter"/>
    <s v="JANUARY"/>
    <n v="2"/>
    <x v="0"/>
    <x v="1"/>
    <x v="0"/>
    <n v="0.82000000000000006"/>
    <n v="0.62"/>
    <n v="0.1343"/>
    <n v="3"/>
    <n v="15"/>
    <n v="18"/>
  </r>
  <r>
    <n v="506"/>
    <d v="2011-01-23T00:00:00"/>
    <s v="winter"/>
    <s v="JANUARY"/>
    <n v="3"/>
    <x v="0"/>
    <x v="1"/>
    <x v="0"/>
    <n v="0.82000000000000006"/>
    <n v="0.62"/>
    <n v="0.1343"/>
    <n v="1"/>
    <n v="4"/>
    <n v="5"/>
  </r>
  <r>
    <n v="507"/>
    <d v="2011-01-23T00:00:00"/>
    <s v="winter"/>
    <s v="JANUARY"/>
    <n v="5"/>
    <x v="0"/>
    <x v="1"/>
    <x v="1"/>
    <n v="1.6400000000000001"/>
    <n v="0.56999999999999995"/>
    <n v="0.1045"/>
    <n v="0"/>
    <n v="3"/>
    <n v="3"/>
  </r>
  <r>
    <n v="508"/>
    <d v="2011-01-23T00:00:00"/>
    <s v="winter"/>
    <s v="JANUARY"/>
    <n v="6"/>
    <x v="0"/>
    <x v="1"/>
    <x v="1"/>
    <n v="1.6400000000000001"/>
    <n v="0.56999999999999995"/>
    <n v="0.1045"/>
    <n v="0"/>
    <n v="1"/>
    <n v="1"/>
  </r>
  <r>
    <n v="509"/>
    <d v="2011-01-23T00:00:00"/>
    <s v="winter"/>
    <s v="JANUARY"/>
    <n v="7"/>
    <x v="0"/>
    <x v="1"/>
    <x v="0"/>
    <n v="3.2800000000000002"/>
    <n v="0.57999999999999996"/>
    <n v="0.16420000000000001"/>
    <n v="1"/>
    <n v="1"/>
    <n v="2"/>
  </r>
  <r>
    <n v="510"/>
    <d v="2011-01-23T00:00:00"/>
    <s v="winter"/>
    <s v="JANUARY"/>
    <n v="8"/>
    <x v="0"/>
    <x v="1"/>
    <x v="0"/>
    <n v="2.46"/>
    <n v="0.62"/>
    <n v="0.16420000000000001"/>
    <n v="2"/>
    <n v="17"/>
    <n v="19"/>
  </r>
  <r>
    <n v="511"/>
    <d v="2011-01-23T00:00:00"/>
    <s v="winter"/>
    <s v="JANUARY"/>
    <n v="9"/>
    <x v="0"/>
    <x v="1"/>
    <x v="0"/>
    <n v="4.1000000000000005"/>
    <n v="0.54"/>
    <n v="0.35820000000000002"/>
    <n v="3"/>
    <n v="25"/>
    <n v="28"/>
  </r>
  <r>
    <n v="512"/>
    <d v="2011-01-23T00:00:00"/>
    <s v="winter"/>
    <s v="JANUARY"/>
    <n v="10"/>
    <x v="0"/>
    <x v="1"/>
    <x v="0"/>
    <n v="5.74"/>
    <n v="0.46"/>
    <n v="0.3881"/>
    <n v="7"/>
    <n v="51"/>
    <n v="58"/>
  </r>
  <r>
    <n v="513"/>
    <d v="2011-01-23T00:00:00"/>
    <s v="winter"/>
    <s v="JANUARY"/>
    <n v="11"/>
    <x v="0"/>
    <x v="1"/>
    <x v="0"/>
    <n v="5.74"/>
    <n v="0.43"/>
    <n v="0.22389999999999999"/>
    <n v="22"/>
    <n v="77"/>
    <n v="99"/>
  </r>
  <r>
    <n v="514"/>
    <d v="2011-01-23T00:00:00"/>
    <s v="winter"/>
    <s v="JANUARY"/>
    <n v="12"/>
    <x v="0"/>
    <x v="1"/>
    <x v="0"/>
    <n v="6.5600000000000005"/>
    <n v="0.37"/>
    <n v="0.4627"/>
    <n v="24"/>
    <n v="92"/>
    <n v="116"/>
  </r>
  <r>
    <n v="515"/>
    <d v="2011-01-23T00:00:00"/>
    <s v="winter"/>
    <s v="JANUARY"/>
    <n v="13"/>
    <x v="0"/>
    <x v="1"/>
    <x v="0"/>
    <n v="5.74"/>
    <n v="0.33"/>
    <n v="0.3881"/>
    <n v="12"/>
    <n v="75"/>
    <n v="87"/>
  </r>
  <r>
    <n v="516"/>
    <d v="2011-01-23T00:00:00"/>
    <s v="winter"/>
    <s v="JANUARY"/>
    <n v="14"/>
    <x v="0"/>
    <x v="1"/>
    <x v="0"/>
    <n v="6.5600000000000005"/>
    <n v="0.28000000000000003"/>
    <n v="0.35820000000000002"/>
    <n v="17"/>
    <n v="93"/>
    <n v="110"/>
  </r>
  <r>
    <n v="517"/>
    <d v="2011-01-23T00:00:00"/>
    <s v="winter"/>
    <s v="JANUARY"/>
    <n v="15"/>
    <x v="0"/>
    <x v="1"/>
    <x v="0"/>
    <n v="6.5600000000000005"/>
    <n v="0.28000000000000003"/>
    <n v="0.35820000000000002"/>
    <n v="13"/>
    <n v="64"/>
    <n v="77"/>
  </r>
  <r>
    <n v="518"/>
    <d v="2011-01-23T00:00:00"/>
    <s v="winter"/>
    <s v="JANUARY"/>
    <n v="16"/>
    <x v="0"/>
    <x v="1"/>
    <x v="0"/>
    <n v="6.5600000000000005"/>
    <n v="0.26"/>
    <n v="0.32840000000000003"/>
    <n v="9"/>
    <n v="56"/>
    <n v="65"/>
  </r>
  <r>
    <n v="519"/>
    <d v="2011-01-23T00:00:00"/>
    <s v="winter"/>
    <s v="JANUARY"/>
    <n v="17"/>
    <x v="0"/>
    <x v="1"/>
    <x v="0"/>
    <n v="5.74"/>
    <n v="0.26"/>
    <n v="0.3881"/>
    <n v="5"/>
    <n v="50"/>
    <n v="55"/>
  </r>
  <r>
    <n v="520"/>
    <d v="2011-01-23T00:00:00"/>
    <s v="winter"/>
    <s v="JANUARY"/>
    <n v="18"/>
    <x v="0"/>
    <x v="1"/>
    <x v="0"/>
    <n v="4.92"/>
    <n v="0.3"/>
    <n v="0.25369999999999998"/>
    <n v="5"/>
    <n v="44"/>
    <n v="49"/>
  </r>
  <r>
    <n v="521"/>
    <d v="2011-01-23T00:00:00"/>
    <s v="winter"/>
    <s v="JANUARY"/>
    <n v="19"/>
    <x v="0"/>
    <x v="1"/>
    <x v="0"/>
    <n v="4.92"/>
    <n v="0.3"/>
    <n v="0.28360000000000002"/>
    <n v="5"/>
    <n v="45"/>
    <n v="50"/>
  </r>
  <r>
    <n v="522"/>
    <d v="2011-01-23T00:00:00"/>
    <s v="winter"/>
    <s v="JANUARY"/>
    <n v="20"/>
    <x v="0"/>
    <x v="1"/>
    <x v="0"/>
    <n v="4.1000000000000005"/>
    <n v="0.36"/>
    <n v="0.25369999999999998"/>
    <n v="4"/>
    <n v="31"/>
    <n v="35"/>
  </r>
  <r>
    <n v="523"/>
    <d v="2011-01-23T00:00:00"/>
    <s v="winter"/>
    <s v="JANUARY"/>
    <n v="21"/>
    <x v="0"/>
    <x v="1"/>
    <x v="0"/>
    <n v="4.1000000000000005"/>
    <n v="0.36"/>
    <n v="0.19400000000000001"/>
    <n v="5"/>
    <n v="20"/>
    <n v="25"/>
  </r>
  <r>
    <n v="524"/>
    <d v="2011-01-23T00:00:00"/>
    <s v="winter"/>
    <s v="JANUARY"/>
    <n v="22"/>
    <x v="0"/>
    <x v="1"/>
    <x v="0"/>
    <n v="3.2800000000000002"/>
    <n v="0.38"/>
    <n v="0.19400000000000001"/>
    <n v="5"/>
    <n v="23"/>
    <n v="28"/>
  </r>
  <r>
    <n v="525"/>
    <d v="2011-01-23T00:00:00"/>
    <s v="winter"/>
    <s v="JANUARY"/>
    <n v="23"/>
    <x v="0"/>
    <x v="1"/>
    <x v="0"/>
    <n v="2.46"/>
    <n v="0.41"/>
    <n v="0.22389999999999999"/>
    <n v="4"/>
    <n v="17"/>
    <n v="21"/>
  </r>
  <r>
    <n v="526"/>
    <d v="2011-01-24T00:00:00"/>
    <s v="winter"/>
    <s v="JANUARY"/>
    <n v="0"/>
    <x v="0"/>
    <x v="2"/>
    <x v="0"/>
    <n v="2.46"/>
    <n v="0.41"/>
    <n v="0.19400000000000001"/>
    <n v="0"/>
    <n v="7"/>
    <n v="7"/>
  </r>
  <r>
    <n v="527"/>
    <d v="2011-01-24T00:00:00"/>
    <s v="winter"/>
    <s v="JANUARY"/>
    <n v="1"/>
    <x v="0"/>
    <x v="2"/>
    <x v="0"/>
    <n v="1.6400000000000001"/>
    <n v="0.45"/>
    <n v="0.19400000000000001"/>
    <n v="0"/>
    <n v="1"/>
    <n v="1"/>
  </r>
  <r>
    <n v="528"/>
    <d v="2011-01-24T00:00:00"/>
    <s v="winter"/>
    <s v="JANUARY"/>
    <n v="3"/>
    <x v="0"/>
    <x v="2"/>
    <x v="0"/>
    <n v="1.6400000000000001"/>
    <n v="0.45"/>
    <n v="0.25369999999999998"/>
    <n v="0"/>
    <n v="1"/>
    <n v="1"/>
  </r>
  <r>
    <n v="529"/>
    <d v="2011-01-24T00:00:00"/>
    <s v="winter"/>
    <s v="JANUARY"/>
    <n v="4"/>
    <x v="0"/>
    <x v="2"/>
    <x v="0"/>
    <n v="0.82000000000000006"/>
    <n v="0.48"/>
    <n v="0.1343"/>
    <n v="0"/>
    <n v="1"/>
    <n v="1"/>
  </r>
  <r>
    <n v="530"/>
    <d v="2011-01-24T00:00:00"/>
    <s v="winter"/>
    <s v="JANUARY"/>
    <n v="5"/>
    <x v="0"/>
    <x v="2"/>
    <x v="0"/>
    <n v="0.82000000000000006"/>
    <n v="0.48"/>
    <n v="0.1343"/>
    <n v="0"/>
    <n v="5"/>
    <n v="5"/>
  </r>
  <r>
    <n v="531"/>
    <d v="2011-01-24T00:00:00"/>
    <s v="winter"/>
    <s v="JANUARY"/>
    <n v="6"/>
    <x v="0"/>
    <x v="2"/>
    <x v="0"/>
    <n v="0.82000000000000006"/>
    <n v="0.48"/>
    <n v="8.9599999999999999E-2"/>
    <n v="0"/>
    <n v="15"/>
    <n v="15"/>
  </r>
  <r>
    <n v="532"/>
    <d v="2011-01-24T00:00:00"/>
    <s v="winter"/>
    <s v="JANUARY"/>
    <n v="7"/>
    <x v="0"/>
    <x v="2"/>
    <x v="0"/>
    <n v="0.82000000000000006"/>
    <n v="0.48"/>
    <n v="0"/>
    <n v="5"/>
    <n v="79"/>
    <n v="84"/>
  </r>
  <r>
    <n v="533"/>
    <d v="2011-01-24T00:00:00"/>
    <s v="winter"/>
    <s v="JANUARY"/>
    <n v="8"/>
    <x v="0"/>
    <x v="2"/>
    <x v="0"/>
    <n v="1.6400000000000001"/>
    <n v="0.49"/>
    <n v="0"/>
    <n v="6"/>
    <n v="171"/>
    <n v="177"/>
  </r>
  <r>
    <n v="534"/>
    <d v="2011-01-24T00:00:00"/>
    <s v="winter"/>
    <s v="JANUARY"/>
    <n v="9"/>
    <x v="0"/>
    <x v="2"/>
    <x v="0"/>
    <n v="2.46"/>
    <n v="0.41"/>
    <n v="0"/>
    <n v="4"/>
    <n v="98"/>
    <n v="102"/>
  </r>
  <r>
    <n v="535"/>
    <d v="2011-01-24T00:00:00"/>
    <s v="winter"/>
    <s v="JANUARY"/>
    <n v="10"/>
    <x v="0"/>
    <x v="2"/>
    <x v="0"/>
    <n v="4.1000000000000005"/>
    <n v="0.42"/>
    <n v="0"/>
    <n v="6"/>
    <n v="34"/>
    <n v="40"/>
  </r>
  <r>
    <n v="536"/>
    <d v="2011-01-24T00:00:00"/>
    <s v="winter"/>
    <s v="JANUARY"/>
    <n v="11"/>
    <x v="0"/>
    <x v="2"/>
    <x v="0"/>
    <n v="4.1000000000000005"/>
    <n v="0.46"/>
    <n v="0.1343"/>
    <n v="3"/>
    <n v="43"/>
    <n v="46"/>
  </r>
  <r>
    <n v="537"/>
    <d v="2011-01-24T00:00:00"/>
    <s v="winter"/>
    <s v="JANUARY"/>
    <n v="12"/>
    <x v="0"/>
    <x v="2"/>
    <x v="1"/>
    <n v="4.92"/>
    <n v="0.42"/>
    <n v="0.19400000000000001"/>
    <n v="11"/>
    <n v="52"/>
    <n v="63"/>
  </r>
  <r>
    <n v="538"/>
    <d v="2011-01-24T00:00:00"/>
    <s v="winter"/>
    <s v="JANUARY"/>
    <n v="13"/>
    <x v="0"/>
    <x v="2"/>
    <x v="1"/>
    <n v="5.74"/>
    <n v="0.43"/>
    <n v="0.22389999999999999"/>
    <n v="6"/>
    <n v="54"/>
    <n v="60"/>
  </r>
  <r>
    <n v="539"/>
    <d v="2011-01-24T00:00:00"/>
    <s v="winter"/>
    <s v="JANUARY"/>
    <n v="14"/>
    <x v="0"/>
    <x v="2"/>
    <x v="1"/>
    <n v="5.74"/>
    <n v="0.46"/>
    <n v="0.22389999999999999"/>
    <n v="2"/>
    <n v="43"/>
    <n v="45"/>
  </r>
  <r>
    <n v="540"/>
    <d v="2011-01-24T00:00:00"/>
    <s v="winter"/>
    <s v="JANUARY"/>
    <n v="15"/>
    <x v="0"/>
    <x v="2"/>
    <x v="0"/>
    <n v="6.5600000000000005"/>
    <n v="0.4"/>
    <n v="0.16420000000000001"/>
    <n v="7"/>
    <n v="50"/>
    <n v="57"/>
  </r>
  <r>
    <n v="541"/>
    <d v="2011-01-24T00:00:00"/>
    <s v="winter"/>
    <s v="JANUARY"/>
    <n v="16"/>
    <x v="0"/>
    <x v="2"/>
    <x v="0"/>
    <n v="6.5600000000000005"/>
    <n v="0.47"/>
    <n v="0.25369999999999998"/>
    <n v="4"/>
    <n v="66"/>
    <n v="70"/>
  </r>
  <r>
    <n v="542"/>
    <d v="2011-01-24T00:00:00"/>
    <s v="winter"/>
    <s v="JANUARY"/>
    <n v="17"/>
    <x v="0"/>
    <x v="2"/>
    <x v="0"/>
    <n v="5.74"/>
    <n v="0.5"/>
    <n v="0.25369999999999998"/>
    <n v="6"/>
    <n v="178"/>
    <n v="184"/>
  </r>
  <r>
    <n v="543"/>
    <d v="2011-01-24T00:00:00"/>
    <s v="winter"/>
    <s v="JANUARY"/>
    <n v="18"/>
    <x v="0"/>
    <x v="2"/>
    <x v="0"/>
    <n v="5.74"/>
    <n v="0.59"/>
    <n v="0.19400000000000001"/>
    <n v="8"/>
    <n v="145"/>
    <n v="153"/>
  </r>
  <r>
    <n v="544"/>
    <d v="2011-01-24T00:00:00"/>
    <s v="winter"/>
    <s v="JANUARY"/>
    <n v="19"/>
    <x v="0"/>
    <x v="2"/>
    <x v="0"/>
    <n v="5.74"/>
    <n v="0.54"/>
    <n v="0.16420000000000001"/>
    <n v="5"/>
    <n v="101"/>
    <n v="106"/>
  </r>
  <r>
    <n v="545"/>
    <d v="2011-01-24T00:00:00"/>
    <s v="winter"/>
    <s v="JANUARY"/>
    <n v="20"/>
    <x v="0"/>
    <x v="2"/>
    <x v="0"/>
    <n v="5.74"/>
    <n v="0.59"/>
    <n v="0.19400000000000001"/>
    <n v="1"/>
    <n v="80"/>
    <n v="81"/>
  </r>
  <r>
    <n v="546"/>
    <d v="2011-01-24T00:00:00"/>
    <s v="winter"/>
    <s v="JANUARY"/>
    <n v="21"/>
    <x v="0"/>
    <x v="2"/>
    <x v="0"/>
    <n v="5.74"/>
    <n v="0.63"/>
    <n v="0.16420000000000001"/>
    <n v="6"/>
    <n v="53"/>
    <n v="59"/>
  </r>
  <r>
    <n v="547"/>
    <d v="2011-01-24T00:00:00"/>
    <s v="winter"/>
    <s v="JANUARY"/>
    <n v="22"/>
    <x v="0"/>
    <x v="2"/>
    <x v="1"/>
    <n v="5.74"/>
    <n v="0.63"/>
    <n v="0.22389999999999999"/>
    <n v="3"/>
    <n v="32"/>
    <n v="35"/>
  </r>
  <r>
    <n v="548"/>
    <d v="2011-01-24T00:00:00"/>
    <s v="winter"/>
    <s v="JANUARY"/>
    <n v="23"/>
    <x v="0"/>
    <x v="2"/>
    <x v="1"/>
    <n v="6.5600000000000005"/>
    <n v="0.64"/>
    <n v="0.25369999999999998"/>
    <n v="3"/>
    <n v="21"/>
    <n v="24"/>
  </r>
  <r>
    <n v="549"/>
    <d v="2011-01-25T00:00:00"/>
    <s v="winter"/>
    <s v="JANUARY"/>
    <n v="0"/>
    <x v="0"/>
    <x v="3"/>
    <x v="1"/>
    <n v="6.5600000000000005"/>
    <n v="0.69"/>
    <n v="0.28360000000000002"/>
    <n v="3"/>
    <n v="6"/>
    <n v="9"/>
  </r>
  <r>
    <n v="550"/>
    <d v="2011-01-25T00:00:00"/>
    <s v="winter"/>
    <s v="JANUARY"/>
    <n v="1"/>
    <x v="0"/>
    <x v="3"/>
    <x v="1"/>
    <n v="6.5600000000000005"/>
    <n v="0.69"/>
    <n v="0.16420000000000001"/>
    <n v="0"/>
    <n v="5"/>
    <n v="5"/>
  </r>
  <r>
    <n v="551"/>
    <d v="2011-01-25T00:00:00"/>
    <s v="winter"/>
    <s v="JANUARY"/>
    <n v="2"/>
    <x v="0"/>
    <x v="3"/>
    <x v="0"/>
    <n v="6.5600000000000005"/>
    <n v="0.69"/>
    <n v="0.22389999999999999"/>
    <n v="0"/>
    <n v="2"/>
    <n v="2"/>
  </r>
  <r>
    <n v="552"/>
    <d v="2011-01-25T00:00:00"/>
    <s v="winter"/>
    <s v="JANUARY"/>
    <n v="4"/>
    <x v="0"/>
    <x v="3"/>
    <x v="0"/>
    <n v="5.74"/>
    <n v="0.74"/>
    <n v="0.1045"/>
    <n v="0"/>
    <n v="1"/>
    <n v="1"/>
  </r>
  <r>
    <n v="553"/>
    <d v="2011-01-25T00:00:00"/>
    <s v="winter"/>
    <s v="JANUARY"/>
    <n v="5"/>
    <x v="0"/>
    <x v="3"/>
    <x v="0"/>
    <n v="5.74"/>
    <n v="0.74"/>
    <n v="0.22389999999999999"/>
    <n v="0"/>
    <n v="9"/>
    <n v="9"/>
  </r>
  <r>
    <n v="554"/>
    <d v="2011-01-25T00:00:00"/>
    <s v="winter"/>
    <s v="JANUARY"/>
    <n v="6"/>
    <x v="0"/>
    <x v="3"/>
    <x v="0"/>
    <n v="6.5600000000000005"/>
    <n v="0.74"/>
    <n v="0.1045"/>
    <n v="1"/>
    <n v="35"/>
    <n v="36"/>
  </r>
  <r>
    <n v="555"/>
    <d v="2011-01-25T00:00:00"/>
    <s v="winter"/>
    <s v="JANUARY"/>
    <n v="7"/>
    <x v="0"/>
    <x v="3"/>
    <x v="0"/>
    <n v="6.5600000000000005"/>
    <n v="0.74"/>
    <n v="0.22389999999999999"/>
    <n v="5"/>
    <n v="103"/>
    <n v="108"/>
  </r>
  <r>
    <n v="556"/>
    <d v="2011-01-25T00:00:00"/>
    <s v="winter"/>
    <s v="JANUARY"/>
    <n v="8"/>
    <x v="0"/>
    <x v="3"/>
    <x v="1"/>
    <n v="6.5600000000000005"/>
    <n v="0.74"/>
    <n v="0.1343"/>
    <n v="5"/>
    <n v="233"/>
    <n v="238"/>
  </r>
  <r>
    <n v="557"/>
    <d v="2011-01-25T00:00:00"/>
    <s v="winter"/>
    <s v="JANUARY"/>
    <n v="9"/>
    <x v="0"/>
    <x v="3"/>
    <x v="1"/>
    <n v="8.2000000000000011"/>
    <n v="0.64"/>
    <n v="8.9599999999999999E-2"/>
    <n v="10"/>
    <n v="134"/>
    <n v="144"/>
  </r>
  <r>
    <n v="558"/>
    <d v="2011-01-25T00:00:00"/>
    <s v="winter"/>
    <s v="JANUARY"/>
    <n v="10"/>
    <x v="0"/>
    <x v="3"/>
    <x v="1"/>
    <n v="9.02"/>
    <n v="0.6"/>
    <n v="0.1045"/>
    <n v="6"/>
    <n v="49"/>
    <n v="55"/>
  </r>
  <r>
    <n v="559"/>
    <d v="2011-01-25T00:00:00"/>
    <s v="winter"/>
    <s v="JANUARY"/>
    <n v="11"/>
    <x v="0"/>
    <x v="3"/>
    <x v="1"/>
    <n v="9.84"/>
    <n v="0.6"/>
    <n v="0.1343"/>
    <n v="6"/>
    <n v="55"/>
    <n v="61"/>
  </r>
  <r>
    <n v="560"/>
    <d v="2011-01-25T00:00:00"/>
    <s v="winter"/>
    <s v="JANUARY"/>
    <n v="12"/>
    <x v="0"/>
    <x v="3"/>
    <x v="1"/>
    <n v="10.66"/>
    <n v="0.56000000000000005"/>
    <n v="8.9599999999999999E-2"/>
    <n v="21"/>
    <n v="85"/>
    <n v="106"/>
  </r>
  <r>
    <n v="561"/>
    <d v="2011-01-25T00:00:00"/>
    <s v="winter"/>
    <s v="JANUARY"/>
    <n v="13"/>
    <x v="0"/>
    <x v="3"/>
    <x v="1"/>
    <n v="10.66"/>
    <n v="0.56000000000000005"/>
    <n v="0.1343"/>
    <n v="21"/>
    <n v="72"/>
    <n v="93"/>
  </r>
  <r>
    <n v="562"/>
    <d v="2011-01-25T00:00:00"/>
    <s v="winter"/>
    <s v="JANUARY"/>
    <n v="14"/>
    <x v="0"/>
    <x v="3"/>
    <x v="1"/>
    <n v="12.299999999999999"/>
    <n v="0.45"/>
    <n v="0"/>
    <n v="11"/>
    <n v="57"/>
    <n v="68"/>
  </r>
  <r>
    <n v="563"/>
    <d v="2011-01-25T00:00:00"/>
    <s v="winter"/>
    <s v="JANUARY"/>
    <n v="15"/>
    <x v="0"/>
    <x v="3"/>
    <x v="1"/>
    <n v="13.120000000000001"/>
    <n v="0.42"/>
    <n v="0"/>
    <n v="21"/>
    <n v="63"/>
    <n v="84"/>
  </r>
  <r>
    <n v="564"/>
    <d v="2011-01-25T00:00:00"/>
    <s v="winter"/>
    <s v="JANUARY"/>
    <n v="16"/>
    <x v="0"/>
    <x v="3"/>
    <x v="1"/>
    <n v="13.120000000000001"/>
    <n v="0.42"/>
    <n v="0"/>
    <n v="14"/>
    <n v="102"/>
    <n v="116"/>
  </r>
  <r>
    <n v="565"/>
    <d v="2011-01-25T00:00:00"/>
    <s v="winter"/>
    <s v="JANUARY"/>
    <n v="17"/>
    <x v="0"/>
    <x v="3"/>
    <x v="0"/>
    <n v="12.299999999999999"/>
    <n v="0.45"/>
    <n v="0"/>
    <n v="14"/>
    <n v="208"/>
    <n v="222"/>
  </r>
  <r>
    <n v="566"/>
    <d v="2011-01-25T00:00:00"/>
    <s v="winter"/>
    <s v="JANUARY"/>
    <n v="18"/>
    <x v="0"/>
    <x v="3"/>
    <x v="1"/>
    <n v="12.299999999999999"/>
    <n v="0.49"/>
    <n v="8.9599999999999999E-2"/>
    <n v="7"/>
    <n v="218"/>
    <n v="225"/>
  </r>
  <r>
    <n v="567"/>
    <d v="2011-01-25T00:00:00"/>
    <s v="winter"/>
    <s v="JANUARY"/>
    <n v="19"/>
    <x v="0"/>
    <x v="3"/>
    <x v="1"/>
    <n v="10.66"/>
    <n v="0.65"/>
    <n v="0.16420000000000001"/>
    <n v="13"/>
    <n v="133"/>
    <n v="146"/>
  </r>
  <r>
    <n v="568"/>
    <d v="2011-01-25T00:00:00"/>
    <s v="winter"/>
    <s v="JANUARY"/>
    <n v="20"/>
    <x v="0"/>
    <x v="3"/>
    <x v="0"/>
    <n v="9.84"/>
    <n v="0.65"/>
    <n v="0.19400000000000001"/>
    <n v="16"/>
    <n v="103"/>
    <n v="119"/>
  </r>
  <r>
    <n v="569"/>
    <d v="2011-01-25T00:00:00"/>
    <s v="winter"/>
    <s v="JANUARY"/>
    <n v="21"/>
    <x v="0"/>
    <x v="3"/>
    <x v="0"/>
    <n v="9.84"/>
    <n v="0.65"/>
    <n v="0.19400000000000001"/>
    <n v="5"/>
    <n v="40"/>
    <n v="45"/>
  </r>
  <r>
    <n v="570"/>
    <d v="2011-01-25T00:00:00"/>
    <s v="winter"/>
    <s v="JANUARY"/>
    <n v="22"/>
    <x v="0"/>
    <x v="3"/>
    <x v="0"/>
    <n v="9.02"/>
    <n v="0.64"/>
    <n v="0.16420000000000001"/>
    <n v="4"/>
    <n v="49"/>
    <n v="53"/>
  </r>
  <r>
    <n v="571"/>
    <d v="2011-01-25T00:00:00"/>
    <s v="winter"/>
    <s v="JANUARY"/>
    <n v="23"/>
    <x v="0"/>
    <x v="3"/>
    <x v="1"/>
    <n v="9.02"/>
    <n v="0.64"/>
    <n v="0.16420000000000001"/>
    <n v="3"/>
    <n v="37"/>
    <n v="40"/>
  </r>
  <r>
    <n v="572"/>
    <d v="2011-01-26T00:00:00"/>
    <s v="winter"/>
    <s v="JANUARY"/>
    <n v="0"/>
    <x v="0"/>
    <x v="4"/>
    <x v="1"/>
    <n v="9.02"/>
    <n v="0.69"/>
    <n v="0.1343"/>
    <n v="3"/>
    <n v="14"/>
    <n v="17"/>
  </r>
  <r>
    <n v="573"/>
    <d v="2011-01-26T00:00:00"/>
    <s v="winter"/>
    <s v="JANUARY"/>
    <n v="1"/>
    <x v="0"/>
    <x v="4"/>
    <x v="1"/>
    <n v="9.84"/>
    <n v="0.65"/>
    <n v="0.1343"/>
    <n v="0"/>
    <n v="5"/>
    <n v="5"/>
  </r>
  <r>
    <n v="574"/>
    <d v="2011-01-26T00:00:00"/>
    <s v="winter"/>
    <s v="JANUARY"/>
    <n v="2"/>
    <x v="0"/>
    <x v="4"/>
    <x v="2"/>
    <n v="9.02"/>
    <n v="0.69"/>
    <n v="0.19400000000000001"/>
    <n v="3"/>
    <n v="7"/>
    <n v="10"/>
  </r>
  <r>
    <n v="575"/>
    <d v="2011-01-26T00:00:00"/>
    <s v="winter"/>
    <s v="JANUARY"/>
    <n v="5"/>
    <x v="0"/>
    <x v="4"/>
    <x v="2"/>
    <n v="8.2000000000000011"/>
    <n v="0.86"/>
    <n v="0.28360000000000002"/>
    <n v="0"/>
    <n v="1"/>
    <n v="1"/>
  </r>
  <r>
    <n v="576"/>
    <d v="2011-01-26T00:00:00"/>
    <s v="winter"/>
    <s v="JANUARY"/>
    <n v="6"/>
    <x v="0"/>
    <x v="4"/>
    <x v="2"/>
    <n v="8.2000000000000011"/>
    <n v="0.86"/>
    <n v="0.28360000000000002"/>
    <n v="0"/>
    <n v="8"/>
    <n v="8"/>
  </r>
  <r>
    <n v="577"/>
    <d v="2011-01-26T00:00:00"/>
    <s v="winter"/>
    <s v="JANUARY"/>
    <n v="7"/>
    <x v="0"/>
    <x v="4"/>
    <x v="2"/>
    <n v="9.02"/>
    <n v="0.87"/>
    <n v="0.29849999999999999"/>
    <n v="1"/>
    <n v="29"/>
    <n v="30"/>
  </r>
  <r>
    <n v="578"/>
    <d v="2011-01-26T00:00:00"/>
    <s v="winter"/>
    <s v="JANUARY"/>
    <n v="8"/>
    <x v="0"/>
    <x v="4"/>
    <x v="2"/>
    <n v="9.02"/>
    <n v="0.87"/>
    <n v="0.29849999999999999"/>
    <n v="3"/>
    <n v="69"/>
    <n v="72"/>
  </r>
  <r>
    <n v="579"/>
    <d v="2011-01-26T00:00:00"/>
    <s v="winter"/>
    <s v="JANUARY"/>
    <n v="9"/>
    <x v="0"/>
    <x v="4"/>
    <x v="2"/>
    <n v="9.02"/>
    <n v="0.87"/>
    <n v="0.29849999999999999"/>
    <n v="3"/>
    <n v="55"/>
    <n v="58"/>
  </r>
  <r>
    <n v="580"/>
    <d v="2011-01-26T00:00:00"/>
    <s v="winter"/>
    <s v="JANUARY"/>
    <n v="10"/>
    <x v="0"/>
    <x v="4"/>
    <x v="2"/>
    <n v="9.02"/>
    <n v="0.93"/>
    <n v="0.28360000000000002"/>
    <n v="2"/>
    <n v="26"/>
    <n v="28"/>
  </r>
  <r>
    <n v="581"/>
    <d v="2011-01-26T00:00:00"/>
    <s v="winter"/>
    <s v="JANUARY"/>
    <n v="11"/>
    <x v="0"/>
    <x v="4"/>
    <x v="2"/>
    <n v="9.02"/>
    <n v="0.93"/>
    <n v="0.32840000000000003"/>
    <n v="6"/>
    <n v="35"/>
    <n v="41"/>
  </r>
  <r>
    <n v="582"/>
    <d v="2011-01-26T00:00:00"/>
    <s v="winter"/>
    <s v="JANUARY"/>
    <n v="12"/>
    <x v="0"/>
    <x v="4"/>
    <x v="2"/>
    <n v="9.02"/>
    <n v="0.93"/>
    <n v="0.32840000000000003"/>
    <n v="7"/>
    <n v="41"/>
    <n v="48"/>
  </r>
  <r>
    <n v="583"/>
    <d v="2011-01-26T00:00:00"/>
    <s v="winter"/>
    <s v="JANUARY"/>
    <n v="13"/>
    <x v="0"/>
    <x v="4"/>
    <x v="2"/>
    <n v="9.02"/>
    <n v="0.93"/>
    <n v="0.32840000000000003"/>
    <n v="4"/>
    <n v="43"/>
    <n v="47"/>
  </r>
  <r>
    <n v="584"/>
    <d v="2011-01-26T00:00:00"/>
    <s v="winter"/>
    <s v="JANUARY"/>
    <n v="14"/>
    <x v="0"/>
    <x v="4"/>
    <x v="2"/>
    <n v="9.02"/>
    <n v="0.93"/>
    <n v="0.35820000000000002"/>
    <n v="0"/>
    <n v="36"/>
    <n v="36"/>
  </r>
  <r>
    <n v="585"/>
    <d v="2011-01-26T00:00:00"/>
    <s v="winter"/>
    <s v="JANUARY"/>
    <n v="15"/>
    <x v="0"/>
    <x v="4"/>
    <x v="2"/>
    <n v="9.02"/>
    <n v="0.93"/>
    <n v="0.4627"/>
    <n v="1"/>
    <n v="42"/>
    <n v="43"/>
  </r>
  <r>
    <n v="586"/>
    <d v="2011-01-26T00:00:00"/>
    <s v="winter"/>
    <s v="JANUARY"/>
    <n v="16"/>
    <x v="0"/>
    <x v="4"/>
    <x v="3"/>
    <n v="9.02"/>
    <n v="0.93"/>
    <n v="0.32840000000000003"/>
    <n v="1"/>
    <n v="35"/>
    <n v="36"/>
  </r>
  <r>
    <n v="587"/>
    <d v="2011-01-26T00:00:00"/>
    <s v="winter"/>
    <s v="JANUARY"/>
    <n v="17"/>
    <x v="0"/>
    <x v="4"/>
    <x v="2"/>
    <n v="8.2000000000000011"/>
    <n v="0.93"/>
    <n v="0.35820000000000002"/>
    <n v="0"/>
    <n v="26"/>
    <n v="26"/>
  </r>
  <r>
    <n v="588"/>
    <d v="2011-01-27T00:00:00"/>
    <s v="winter"/>
    <s v="JANUARY"/>
    <n v="16"/>
    <x v="0"/>
    <x v="5"/>
    <x v="0"/>
    <n v="9.02"/>
    <n v="0.55000000000000004"/>
    <n v="0.19400000000000001"/>
    <n v="1"/>
    <n v="23"/>
    <n v="24"/>
  </r>
  <r>
    <n v="589"/>
    <d v="2011-01-27T00:00:00"/>
    <s v="winter"/>
    <s v="JANUARY"/>
    <n v="17"/>
    <x v="0"/>
    <x v="5"/>
    <x v="0"/>
    <n v="9.02"/>
    <n v="0.55000000000000004"/>
    <n v="0.1045"/>
    <n v="2"/>
    <n v="82"/>
    <n v="84"/>
  </r>
  <r>
    <n v="590"/>
    <d v="2011-01-27T00:00:00"/>
    <s v="winter"/>
    <s v="JANUARY"/>
    <n v="18"/>
    <x v="0"/>
    <x v="5"/>
    <x v="0"/>
    <n v="8.2000000000000011"/>
    <n v="0.69"/>
    <n v="8.9599999999999999E-2"/>
    <n v="3"/>
    <n v="101"/>
    <n v="104"/>
  </r>
  <r>
    <n v="591"/>
    <d v="2011-01-27T00:00:00"/>
    <s v="winter"/>
    <s v="JANUARY"/>
    <n v="19"/>
    <x v="0"/>
    <x v="5"/>
    <x v="0"/>
    <n v="8.2000000000000011"/>
    <n v="0.69"/>
    <n v="8.9599999999999999E-2"/>
    <n v="3"/>
    <n v="76"/>
    <n v="79"/>
  </r>
  <r>
    <n v="592"/>
    <d v="2011-01-27T00:00:00"/>
    <s v="winter"/>
    <s v="JANUARY"/>
    <n v="20"/>
    <x v="0"/>
    <x v="5"/>
    <x v="0"/>
    <n v="7.38"/>
    <n v="0.74"/>
    <n v="8.9599999999999999E-2"/>
    <n v="4"/>
    <n v="55"/>
    <n v="59"/>
  </r>
  <r>
    <n v="593"/>
    <d v="2011-01-27T00:00:00"/>
    <s v="winter"/>
    <s v="JANUARY"/>
    <n v="21"/>
    <x v="0"/>
    <x v="5"/>
    <x v="0"/>
    <n v="7.38"/>
    <n v="0.74"/>
    <n v="8.9599999999999999E-2"/>
    <n v="2"/>
    <n v="36"/>
    <n v="38"/>
  </r>
  <r>
    <n v="594"/>
    <d v="2011-01-27T00:00:00"/>
    <s v="winter"/>
    <s v="JANUARY"/>
    <n v="22"/>
    <x v="0"/>
    <x v="5"/>
    <x v="0"/>
    <n v="7.38"/>
    <n v="0.74"/>
    <n v="8.9599999999999999E-2"/>
    <n v="0"/>
    <n v="27"/>
    <n v="27"/>
  </r>
  <r>
    <n v="595"/>
    <d v="2011-01-27T00:00:00"/>
    <s v="winter"/>
    <s v="JANUARY"/>
    <n v="23"/>
    <x v="0"/>
    <x v="5"/>
    <x v="0"/>
    <n v="7.38"/>
    <n v="0.8"/>
    <n v="0.16420000000000001"/>
    <n v="0"/>
    <n v="16"/>
    <n v="16"/>
  </r>
  <r>
    <n v="596"/>
    <d v="2011-01-28T00:00:00"/>
    <s v="winter"/>
    <s v="JANUARY"/>
    <n v="0"/>
    <x v="0"/>
    <x v="6"/>
    <x v="1"/>
    <n v="8.2000000000000011"/>
    <n v="0.75"/>
    <n v="0.1343"/>
    <n v="0"/>
    <n v="9"/>
    <n v="9"/>
  </r>
  <r>
    <n v="597"/>
    <d v="2011-01-28T00:00:00"/>
    <s v="winter"/>
    <s v="JANUARY"/>
    <n v="1"/>
    <x v="0"/>
    <x v="6"/>
    <x v="1"/>
    <n v="8.2000000000000011"/>
    <n v="0.75"/>
    <n v="0.1343"/>
    <n v="1"/>
    <n v="2"/>
    <n v="3"/>
  </r>
  <r>
    <n v="598"/>
    <d v="2011-01-28T00:00:00"/>
    <s v="winter"/>
    <s v="JANUARY"/>
    <n v="2"/>
    <x v="0"/>
    <x v="6"/>
    <x v="1"/>
    <n v="8.2000000000000011"/>
    <n v="0.75"/>
    <n v="0.16420000000000001"/>
    <n v="0"/>
    <n v="2"/>
    <n v="2"/>
  </r>
  <r>
    <n v="599"/>
    <d v="2011-01-28T00:00:00"/>
    <s v="winter"/>
    <s v="JANUARY"/>
    <n v="3"/>
    <x v="0"/>
    <x v="6"/>
    <x v="1"/>
    <n v="8.2000000000000011"/>
    <n v="0.75"/>
    <n v="0.1045"/>
    <n v="1"/>
    <n v="0"/>
    <n v="1"/>
  </r>
  <r>
    <n v="600"/>
    <d v="2011-01-28T00:00:00"/>
    <s v="winter"/>
    <s v="JANUARY"/>
    <n v="5"/>
    <x v="0"/>
    <x v="6"/>
    <x v="1"/>
    <n v="7.38"/>
    <n v="0.8"/>
    <n v="0.1045"/>
    <n v="0"/>
    <n v="4"/>
    <n v="4"/>
  </r>
  <r>
    <n v="601"/>
    <d v="2011-01-28T00:00:00"/>
    <s v="winter"/>
    <s v="JANUARY"/>
    <n v="6"/>
    <x v="0"/>
    <x v="6"/>
    <x v="1"/>
    <n v="7.38"/>
    <n v="0.8"/>
    <n v="0.1343"/>
    <n v="0"/>
    <n v="16"/>
    <n v="16"/>
  </r>
  <r>
    <n v="602"/>
    <d v="2011-01-28T00:00:00"/>
    <s v="winter"/>
    <s v="JANUARY"/>
    <n v="7"/>
    <x v="0"/>
    <x v="6"/>
    <x v="1"/>
    <n v="6.5600000000000005"/>
    <n v="0.86"/>
    <n v="8.9599999999999999E-2"/>
    <n v="2"/>
    <n v="58"/>
    <n v="60"/>
  </r>
  <r>
    <n v="603"/>
    <d v="2011-01-28T00:00:00"/>
    <s v="winter"/>
    <s v="JANUARY"/>
    <n v="8"/>
    <x v="0"/>
    <x v="6"/>
    <x v="1"/>
    <n v="6.5600000000000005"/>
    <n v="0.86"/>
    <n v="8.9599999999999999E-2"/>
    <n v="2"/>
    <n v="155"/>
    <n v="157"/>
  </r>
  <r>
    <n v="604"/>
    <d v="2011-01-28T00:00:00"/>
    <s v="winter"/>
    <s v="JANUARY"/>
    <n v="9"/>
    <x v="0"/>
    <x v="6"/>
    <x v="2"/>
    <n v="7.38"/>
    <n v="0.86"/>
    <n v="8.9599999999999999E-2"/>
    <n v="6"/>
    <n v="95"/>
    <n v="101"/>
  </r>
  <r>
    <n v="605"/>
    <d v="2011-01-28T00:00:00"/>
    <s v="winter"/>
    <s v="JANUARY"/>
    <n v="10"/>
    <x v="0"/>
    <x v="6"/>
    <x v="2"/>
    <n v="7.38"/>
    <n v="0.86"/>
    <n v="0.1045"/>
    <n v="0"/>
    <n v="49"/>
    <n v="49"/>
  </r>
  <r>
    <n v="606"/>
    <d v="2011-01-28T00:00:00"/>
    <s v="winter"/>
    <s v="JANUARY"/>
    <n v="11"/>
    <x v="0"/>
    <x v="6"/>
    <x v="2"/>
    <n v="7.38"/>
    <n v="0.93"/>
    <n v="0.1045"/>
    <n v="0"/>
    <n v="30"/>
    <n v="30"/>
  </r>
  <r>
    <n v="607"/>
    <d v="2011-01-28T00:00:00"/>
    <s v="winter"/>
    <s v="JANUARY"/>
    <n v="12"/>
    <x v="0"/>
    <x v="6"/>
    <x v="2"/>
    <n v="7.38"/>
    <n v="0.93"/>
    <n v="0.1045"/>
    <n v="1"/>
    <n v="28"/>
    <n v="29"/>
  </r>
  <r>
    <n v="608"/>
    <d v="2011-01-28T00:00:00"/>
    <s v="winter"/>
    <s v="JANUARY"/>
    <n v="13"/>
    <x v="0"/>
    <x v="6"/>
    <x v="2"/>
    <n v="7.38"/>
    <n v="0.93"/>
    <n v="0.1045"/>
    <n v="0"/>
    <n v="31"/>
    <n v="31"/>
  </r>
  <r>
    <n v="609"/>
    <d v="2011-01-28T00:00:00"/>
    <s v="winter"/>
    <s v="JANUARY"/>
    <n v="14"/>
    <x v="0"/>
    <x v="6"/>
    <x v="2"/>
    <n v="9.02"/>
    <n v="0.8"/>
    <n v="0"/>
    <n v="2"/>
    <n v="36"/>
    <n v="38"/>
  </r>
  <r>
    <n v="610"/>
    <d v="2011-01-28T00:00:00"/>
    <s v="winter"/>
    <s v="JANUARY"/>
    <n v="15"/>
    <x v="0"/>
    <x v="6"/>
    <x v="1"/>
    <n v="8.2000000000000011"/>
    <n v="0.86"/>
    <n v="0"/>
    <n v="1"/>
    <n v="40"/>
    <n v="41"/>
  </r>
  <r>
    <n v="611"/>
    <d v="2011-01-28T00:00:00"/>
    <s v="winter"/>
    <s v="JANUARY"/>
    <n v="16"/>
    <x v="0"/>
    <x v="6"/>
    <x v="0"/>
    <n v="9.02"/>
    <n v="0.8"/>
    <n v="0"/>
    <n v="10"/>
    <n v="70"/>
    <n v="80"/>
  </r>
  <r>
    <n v="612"/>
    <d v="2011-01-28T00:00:00"/>
    <s v="winter"/>
    <s v="JANUARY"/>
    <n v="17"/>
    <x v="0"/>
    <x v="6"/>
    <x v="0"/>
    <n v="9.84"/>
    <n v="0.75"/>
    <n v="0.1343"/>
    <n v="2"/>
    <n v="147"/>
    <n v="149"/>
  </r>
  <r>
    <n v="613"/>
    <d v="2011-01-28T00:00:00"/>
    <s v="winter"/>
    <s v="JANUARY"/>
    <n v="18"/>
    <x v="0"/>
    <x v="6"/>
    <x v="0"/>
    <n v="9.84"/>
    <n v="0.75"/>
    <n v="0.19400000000000001"/>
    <n v="2"/>
    <n v="107"/>
    <n v="109"/>
  </r>
  <r>
    <n v="614"/>
    <d v="2011-01-28T00:00:00"/>
    <s v="winter"/>
    <s v="JANUARY"/>
    <n v="19"/>
    <x v="0"/>
    <x v="6"/>
    <x v="1"/>
    <n v="9.84"/>
    <n v="0.75"/>
    <n v="0.1343"/>
    <n v="5"/>
    <n v="84"/>
    <n v="89"/>
  </r>
  <r>
    <n v="615"/>
    <d v="2011-01-28T00:00:00"/>
    <s v="winter"/>
    <s v="JANUARY"/>
    <n v="20"/>
    <x v="0"/>
    <x v="6"/>
    <x v="1"/>
    <n v="9.84"/>
    <n v="0.7"/>
    <n v="0.19400000000000001"/>
    <n v="1"/>
    <n v="61"/>
    <n v="62"/>
  </r>
  <r>
    <n v="616"/>
    <d v="2011-01-28T00:00:00"/>
    <s v="winter"/>
    <s v="JANUARY"/>
    <n v="21"/>
    <x v="0"/>
    <x v="6"/>
    <x v="1"/>
    <n v="9.02"/>
    <n v="0.75"/>
    <n v="0.1343"/>
    <n v="1"/>
    <n v="57"/>
    <n v="58"/>
  </r>
  <r>
    <n v="617"/>
    <d v="2011-01-28T00:00:00"/>
    <s v="winter"/>
    <s v="JANUARY"/>
    <n v="22"/>
    <x v="0"/>
    <x v="6"/>
    <x v="0"/>
    <n v="9.84"/>
    <n v="0.65"/>
    <n v="0.35820000000000002"/>
    <n v="0"/>
    <n v="26"/>
    <n v="26"/>
  </r>
  <r>
    <n v="618"/>
    <d v="2011-01-28T00:00:00"/>
    <s v="winter"/>
    <s v="JANUARY"/>
    <n v="23"/>
    <x v="0"/>
    <x v="6"/>
    <x v="0"/>
    <n v="9.84"/>
    <n v="0.6"/>
    <n v="0.22389999999999999"/>
    <n v="1"/>
    <n v="22"/>
    <n v="23"/>
  </r>
  <r>
    <n v="619"/>
    <d v="2011-01-29T00:00:00"/>
    <s v="winter"/>
    <s v="JANUARY"/>
    <n v="0"/>
    <x v="0"/>
    <x v="0"/>
    <x v="0"/>
    <n v="9.02"/>
    <n v="0.64"/>
    <n v="0.35820000000000002"/>
    <n v="2"/>
    <n v="26"/>
    <n v="28"/>
  </r>
  <r>
    <n v="620"/>
    <d v="2011-01-29T00:00:00"/>
    <s v="winter"/>
    <s v="JANUARY"/>
    <n v="1"/>
    <x v="0"/>
    <x v="0"/>
    <x v="0"/>
    <n v="9.02"/>
    <n v="0.64"/>
    <n v="0.19400000000000001"/>
    <n v="0"/>
    <n v="20"/>
    <n v="20"/>
  </r>
  <r>
    <n v="621"/>
    <d v="2011-01-29T00:00:00"/>
    <s v="winter"/>
    <s v="JANUARY"/>
    <n v="2"/>
    <x v="0"/>
    <x v="0"/>
    <x v="0"/>
    <n v="9.02"/>
    <n v="0.64"/>
    <n v="0.16420000000000001"/>
    <n v="0"/>
    <n v="15"/>
    <n v="15"/>
  </r>
  <r>
    <n v="622"/>
    <d v="2011-01-29T00:00:00"/>
    <s v="winter"/>
    <s v="JANUARY"/>
    <n v="3"/>
    <x v="0"/>
    <x v="0"/>
    <x v="0"/>
    <n v="8.2000000000000011"/>
    <n v="0.64"/>
    <n v="0.1343"/>
    <n v="3"/>
    <n v="5"/>
    <n v="8"/>
  </r>
  <r>
    <n v="623"/>
    <d v="2011-01-29T00:00:00"/>
    <s v="winter"/>
    <s v="JANUARY"/>
    <n v="4"/>
    <x v="0"/>
    <x v="0"/>
    <x v="0"/>
    <n v="6.5600000000000005"/>
    <n v="0.69"/>
    <n v="0.1045"/>
    <n v="1"/>
    <n v="2"/>
    <n v="3"/>
  </r>
  <r>
    <n v="624"/>
    <d v="2011-01-29T00:00:00"/>
    <s v="winter"/>
    <s v="JANUARY"/>
    <n v="6"/>
    <x v="0"/>
    <x v="0"/>
    <x v="0"/>
    <n v="6.5600000000000005"/>
    <n v="0.64"/>
    <n v="0.1343"/>
    <n v="0"/>
    <n v="2"/>
    <n v="2"/>
  </r>
  <r>
    <n v="625"/>
    <d v="2011-01-29T00:00:00"/>
    <s v="winter"/>
    <s v="JANUARY"/>
    <n v="7"/>
    <x v="0"/>
    <x v="0"/>
    <x v="0"/>
    <n v="6.5600000000000005"/>
    <n v="0.59"/>
    <n v="0.1045"/>
    <n v="1"/>
    <n v="4"/>
    <n v="5"/>
  </r>
  <r>
    <n v="626"/>
    <d v="2011-01-29T00:00:00"/>
    <s v="winter"/>
    <s v="JANUARY"/>
    <n v="8"/>
    <x v="0"/>
    <x v="0"/>
    <x v="0"/>
    <n v="7.38"/>
    <n v="0.55000000000000004"/>
    <n v="0.16420000000000001"/>
    <n v="3"/>
    <n v="31"/>
    <n v="34"/>
  </r>
  <r>
    <n v="627"/>
    <d v="2011-01-29T00:00:00"/>
    <s v="winter"/>
    <s v="JANUARY"/>
    <n v="9"/>
    <x v="0"/>
    <x v="0"/>
    <x v="0"/>
    <n v="7.38"/>
    <n v="0.59"/>
    <n v="8.9599999999999999E-2"/>
    <n v="0"/>
    <n v="34"/>
    <n v="34"/>
  </r>
  <r>
    <n v="628"/>
    <d v="2011-01-29T00:00:00"/>
    <s v="winter"/>
    <s v="JANUARY"/>
    <n v="10"/>
    <x v="0"/>
    <x v="0"/>
    <x v="1"/>
    <n v="7.38"/>
    <n v="0.64"/>
    <n v="0.1045"/>
    <n v="4"/>
    <n v="51"/>
    <n v="55"/>
  </r>
  <r>
    <n v="629"/>
    <d v="2011-01-29T00:00:00"/>
    <s v="winter"/>
    <s v="JANUARY"/>
    <n v="11"/>
    <x v="0"/>
    <x v="0"/>
    <x v="1"/>
    <n v="7.38"/>
    <n v="0.64"/>
    <n v="0.1343"/>
    <n v="4"/>
    <n v="60"/>
    <n v="64"/>
  </r>
  <r>
    <n v="630"/>
    <d v="2011-01-29T00:00:00"/>
    <s v="winter"/>
    <s v="JANUARY"/>
    <n v="12"/>
    <x v="0"/>
    <x v="0"/>
    <x v="1"/>
    <n v="8.2000000000000011"/>
    <n v="0.59"/>
    <n v="0.19400000000000001"/>
    <n v="12"/>
    <n v="66"/>
    <n v="78"/>
  </r>
  <r>
    <n v="631"/>
    <d v="2011-01-29T00:00:00"/>
    <s v="winter"/>
    <s v="JANUARY"/>
    <n v="13"/>
    <x v="0"/>
    <x v="0"/>
    <x v="1"/>
    <n v="9.02"/>
    <n v="0.55000000000000004"/>
    <n v="0.16420000000000001"/>
    <n v="9"/>
    <n v="56"/>
    <n v="65"/>
  </r>
  <r>
    <n v="632"/>
    <d v="2011-01-29T00:00:00"/>
    <s v="winter"/>
    <s v="JANUARY"/>
    <n v="14"/>
    <x v="0"/>
    <x v="0"/>
    <x v="1"/>
    <n v="9.02"/>
    <n v="0.6"/>
    <n v="0.1343"/>
    <n v="10"/>
    <n v="89"/>
    <n v="99"/>
  </r>
  <r>
    <n v="633"/>
    <d v="2011-01-29T00:00:00"/>
    <s v="winter"/>
    <s v="JANUARY"/>
    <n v="15"/>
    <x v="0"/>
    <x v="0"/>
    <x v="0"/>
    <n v="9.02"/>
    <n v="0.69"/>
    <n v="0.25369999999999998"/>
    <n v="22"/>
    <n v="98"/>
    <n v="120"/>
  </r>
  <r>
    <n v="634"/>
    <d v="2011-01-29T00:00:00"/>
    <s v="winter"/>
    <s v="JANUARY"/>
    <n v="16"/>
    <x v="0"/>
    <x v="0"/>
    <x v="0"/>
    <n v="9.84"/>
    <n v="0.6"/>
    <n v="0.16420000000000001"/>
    <n v="19"/>
    <n v="88"/>
    <n v="107"/>
  </r>
  <r>
    <n v="635"/>
    <d v="2011-01-29T00:00:00"/>
    <s v="winter"/>
    <s v="JANUARY"/>
    <n v="17"/>
    <x v="0"/>
    <x v="0"/>
    <x v="0"/>
    <n v="9.84"/>
    <n v="0.6"/>
    <n v="0"/>
    <n v="9"/>
    <n v="82"/>
    <n v="91"/>
  </r>
  <r>
    <n v="636"/>
    <d v="2011-01-29T00:00:00"/>
    <s v="winter"/>
    <s v="JANUARY"/>
    <n v="18"/>
    <x v="0"/>
    <x v="0"/>
    <x v="0"/>
    <n v="9.02"/>
    <n v="0.69"/>
    <n v="0.1343"/>
    <n v="9"/>
    <n v="59"/>
    <n v="68"/>
  </r>
  <r>
    <n v="637"/>
    <d v="2011-01-29T00:00:00"/>
    <s v="winter"/>
    <s v="JANUARY"/>
    <n v="19"/>
    <x v="0"/>
    <x v="0"/>
    <x v="1"/>
    <n v="9.02"/>
    <n v="0.69"/>
    <n v="0.25369999999999998"/>
    <n v="6"/>
    <n v="52"/>
    <n v="58"/>
  </r>
  <r>
    <n v="638"/>
    <d v="2011-01-29T00:00:00"/>
    <s v="winter"/>
    <s v="JANUARY"/>
    <n v="20"/>
    <x v="0"/>
    <x v="0"/>
    <x v="0"/>
    <n v="7.38"/>
    <n v="0.74"/>
    <n v="8.9599999999999999E-2"/>
    <n v="1"/>
    <n v="42"/>
    <n v="43"/>
  </r>
  <r>
    <n v="639"/>
    <d v="2011-01-29T00:00:00"/>
    <s v="winter"/>
    <s v="JANUARY"/>
    <n v="21"/>
    <x v="0"/>
    <x v="0"/>
    <x v="0"/>
    <n v="7.38"/>
    <n v="0.74"/>
    <n v="8.9599999999999999E-2"/>
    <n v="1"/>
    <n v="35"/>
    <n v="36"/>
  </r>
  <r>
    <n v="640"/>
    <d v="2011-01-29T00:00:00"/>
    <s v="winter"/>
    <s v="JANUARY"/>
    <n v="22"/>
    <x v="0"/>
    <x v="0"/>
    <x v="0"/>
    <n v="6.5600000000000005"/>
    <n v="0.8"/>
    <n v="8.9599999999999999E-2"/>
    <n v="4"/>
    <n v="28"/>
    <n v="32"/>
  </r>
  <r>
    <n v="641"/>
    <d v="2011-01-29T00:00:00"/>
    <s v="winter"/>
    <s v="JANUARY"/>
    <n v="23"/>
    <x v="0"/>
    <x v="0"/>
    <x v="0"/>
    <n v="6.5600000000000005"/>
    <n v="0.8"/>
    <n v="8.9599999999999999E-2"/>
    <n v="3"/>
    <n v="30"/>
    <n v="33"/>
  </r>
  <r>
    <n v="642"/>
    <d v="2011-01-30T00:00:00"/>
    <s v="winter"/>
    <s v="JANUARY"/>
    <n v="0"/>
    <x v="0"/>
    <x v="1"/>
    <x v="0"/>
    <n v="6.5600000000000005"/>
    <n v="0.8"/>
    <n v="0.1045"/>
    <n v="0"/>
    <n v="33"/>
    <n v="33"/>
  </r>
  <r>
    <n v="643"/>
    <d v="2011-01-30T00:00:00"/>
    <s v="winter"/>
    <s v="JANUARY"/>
    <n v="1"/>
    <x v="0"/>
    <x v="1"/>
    <x v="0"/>
    <n v="5.74"/>
    <n v="0.8"/>
    <n v="0"/>
    <n v="7"/>
    <n v="22"/>
    <n v="29"/>
  </r>
  <r>
    <n v="644"/>
    <d v="2011-01-30T00:00:00"/>
    <s v="winter"/>
    <s v="JANUARY"/>
    <n v="2"/>
    <x v="0"/>
    <x v="1"/>
    <x v="0"/>
    <n v="6.5600000000000005"/>
    <n v="0.8"/>
    <n v="0"/>
    <n v="1"/>
    <n v="10"/>
    <n v="11"/>
  </r>
  <r>
    <n v="645"/>
    <d v="2011-01-30T00:00:00"/>
    <s v="winter"/>
    <s v="JANUARY"/>
    <n v="3"/>
    <x v="0"/>
    <x v="1"/>
    <x v="0"/>
    <n v="5.74"/>
    <n v="0.93"/>
    <n v="0"/>
    <n v="1"/>
    <n v="7"/>
    <n v="8"/>
  </r>
  <r>
    <n v="646"/>
    <d v="2011-01-30T00:00:00"/>
    <s v="winter"/>
    <s v="JANUARY"/>
    <n v="4"/>
    <x v="0"/>
    <x v="1"/>
    <x v="0"/>
    <n v="5.74"/>
    <n v="0.93"/>
    <n v="0"/>
    <n v="0"/>
    <n v="1"/>
    <n v="1"/>
  </r>
  <r>
    <n v="647"/>
    <d v="2011-01-30T00:00:00"/>
    <s v="winter"/>
    <s v="JANUARY"/>
    <n v="5"/>
    <x v="0"/>
    <x v="1"/>
    <x v="0"/>
    <n v="5.74"/>
    <n v="0.86"/>
    <n v="0"/>
    <n v="0"/>
    <n v="3"/>
    <n v="3"/>
  </r>
  <r>
    <n v="648"/>
    <d v="2011-01-30T00:00:00"/>
    <s v="winter"/>
    <s v="JANUARY"/>
    <n v="7"/>
    <x v="0"/>
    <x v="1"/>
    <x v="0"/>
    <n v="5.74"/>
    <n v="0.86"/>
    <n v="0"/>
    <n v="0"/>
    <n v="3"/>
    <n v="3"/>
  </r>
  <r>
    <n v="649"/>
    <d v="2011-01-30T00:00:00"/>
    <s v="winter"/>
    <s v="JANUARY"/>
    <n v="8"/>
    <x v="0"/>
    <x v="1"/>
    <x v="1"/>
    <n v="5.74"/>
    <n v="0.86"/>
    <n v="0"/>
    <n v="1"/>
    <n v="11"/>
    <n v="12"/>
  </r>
  <r>
    <n v="650"/>
    <d v="2011-01-30T00:00:00"/>
    <s v="winter"/>
    <s v="JANUARY"/>
    <n v="9"/>
    <x v="0"/>
    <x v="1"/>
    <x v="1"/>
    <n v="6.5600000000000005"/>
    <n v="0.8"/>
    <n v="0"/>
    <n v="4"/>
    <n v="34"/>
    <n v="38"/>
  </r>
  <r>
    <n v="651"/>
    <d v="2011-01-30T00:00:00"/>
    <s v="winter"/>
    <s v="JANUARY"/>
    <n v="10"/>
    <x v="0"/>
    <x v="1"/>
    <x v="1"/>
    <n v="7.38"/>
    <n v="0.8"/>
    <n v="0"/>
    <n v="7"/>
    <n v="57"/>
    <n v="64"/>
  </r>
  <r>
    <n v="652"/>
    <d v="2011-01-30T00:00:00"/>
    <s v="winter"/>
    <s v="JANUARY"/>
    <n v="11"/>
    <x v="0"/>
    <x v="1"/>
    <x v="0"/>
    <n v="9.02"/>
    <n v="0.75"/>
    <n v="0"/>
    <n v="9"/>
    <n v="50"/>
    <n v="59"/>
  </r>
  <r>
    <n v="653"/>
    <d v="2011-01-30T00:00:00"/>
    <s v="winter"/>
    <s v="JANUARY"/>
    <n v="12"/>
    <x v="0"/>
    <x v="1"/>
    <x v="0"/>
    <n v="12.299999999999999"/>
    <n v="0.52"/>
    <n v="0.1045"/>
    <n v="10"/>
    <n v="87"/>
    <n v="97"/>
  </r>
  <r>
    <n v="654"/>
    <d v="2011-01-30T00:00:00"/>
    <s v="winter"/>
    <s v="JANUARY"/>
    <n v="13"/>
    <x v="0"/>
    <x v="1"/>
    <x v="0"/>
    <n v="11.48"/>
    <n v="0.61"/>
    <n v="0.1045"/>
    <n v="13"/>
    <n v="71"/>
    <n v="84"/>
  </r>
  <r>
    <n v="655"/>
    <d v="2011-01-30T00:00:00"/>
    <s v="winter"/>
    <s v="JANUARY"/>
    <n v="14"/>
    <x v="0"/>
    <x v="1"/>
    <x v="0"/>
    <n v="11.48"/>
    <n v="0.61"/>
    <n v="8.9599999999999999E-2"/>
    <n v="18"/>
    <n v="104"/>
    <n v="122"/>
  </r>
  <r>
    <n v="656"/>
    <d v="2011-01-30T00:00:00"/>
    <s v="winter"/>
    <s v="JANUARY"/>
    <n v="15"/>
    <x v="0"/>
    <x v="1"/>
    <x v="0"/>
    <n v="12.299999999999999"/>
    <n v="0.56000000000000005"/>
    <n v="0"/>
    <n v="14"/>
    <n v="95"/>
    <n v="109"/>
  </r>
  <r>
    <n v="657"/>
    <d v="2011-01-30T00:00:00"/>
    <s v="winter"/>
    <s v="JANUARY"/>
    <n v="16"/>
    <x v="0"/>
    <x v="1"/>
    <x v="0"/>
    <n v="12.299999999999999"/>
    <n v="0.56000000000000005"/>
    <n v="0"/>
    <n v="19"/>
    <n v="104"/>
    <n v="123"/>
  </r>
  <r>
    <n v="658"/>
    <d v="2011-01-30T00:00:00"/>
    <s v="winter"/>
    <s v="JANUARY"/>
    <n v="17"/>
    <x v="0"/>
    <x v="1"/>
    <x v="0"/>
    <n v="12.299999999999999"/>
    <n v="0.56000000000000005"/>
    <n v="0.19400000000000001"/>
    <n v="6"/>
    <n v="71"/>
    <n v="77"/>
  </r>
  <r>
    <n v="659"/>
    <d v="2011-01-30T00:00:00"/>
    <s v="winter"/>
    <s v="JANUARY"/>
    <n v="18"/>
    <x v="0"/>
    <x v="1"/>
    <x v="0"/>
    <n v="10.66"/>
    <n v="0.65"/>
    <n v="0.16420000000000001"/>
    <n v="8"/>
    <n v="57"/>
    <n v="65"/>
  </r>
  <r>
    <n v="660"/>
    <d v="2011-01-30T00:00:00"/>
    <s v="winter"/>
    <s v="JANUARY"/>
    <n v="19"/>
    <x v="0"/>
    <x v="1"/>
    <x v="0"/>
    <n v="10.66"/>
    <n v="0.65"/>
    <n v="0.19400000000000001"/>
    <n v="9"/>
    <n v="46"/>
    <n v="55"/>
  </r>
  <r>
    <n v="661"/>
    <d v="2011-01-30T00:00:00"/>
    <s v="winter"/>
    <s v="JANUARY"/>
    <n v="20"/>
    <x v="0"/>
    <x v="1"/>
    <x v="1"/>
    <n v="10.66"/>
    <n v="0.65"/>
    <n v="0.1045"/>
    <n v="3"/>
    <n v="30"/>
    <n v="33"/>
  </r>
  <r>
    <n v="662"/>
    <d v="2011-01-30T00:00:00"/>
    <s v="winter"/>
    <s v="JANUARY"/>
    <n v="21"/>
    <x v="0"/>
    <x v="1"/>
    <x v="1"/>
    <n v="9.84"/>
    <n v="0.7"/>
    <n v="0.16420000000000001"/>
    <n v="3"/>
    <n v="25"/>
    <n v="28"/>
  </r>
  <r>
    <n v="663"/>
    <d v="2011-01-30T00:00:00"/>
    <s v="winter"/>
    <s v="JANUARY"/>
    <n v="22"/>
    <x v="0"/>
    <x v="1"/>
    <x v="1"/>
    <n v="9.84"/>
    <n v="0.7"/>
    <n v="0.19400000000000001"/>
    <n v="2"/>
    <n v="19"/>
    <n v="21"/>
  </r>
  <r>
    <n v="664"/>
    <d v="2011-01-30T00:00:00"/>
    <s v="winter"/>
    <s v="JANUARY"/>
    <n v="23"/>
    <x v="0"/>
    <x v="1"/>
    <x v="1"/>
    <n v="9.84"/>
    <n v="0.65"/>
    <n v="0.28360000000000002"/>
    <n v="5"/>
    <n v="16"/>
    <n v="21"/>
  </r>
  <r>
    <n v="665"/>
    <d v="2011-01-31T00:00:00"/>
    <s v="winter"/>
    <s v="JANUARY"/>
    <n v="0"/>
    <x v="0"/>
    <x v="2"/>
    <x v="1"/>
    <n v="9.84"/>
    <n v="0.65"/>
    <n v="0.22389999999999999"/>
    <n v="1"/>
    <n v="6"/>
    <n v="7"/>
  </r>
  <r>
    <n v="666"/>
    <d v="2011-01-31T00:00:00"/>
    <s v="winter"/>
    <s v="JANUARY"/>
    <n v="1"/>
    <x v="0"/>
    <x v="2"/>
    <x v="0"/>
    <n v="9.02"/>
    <n v="0.64"/>
    <n v="0.25369999999999998"/>
    <n v="2"/>
    <n v="5"/>
    <n v="7"/>
  </r>
  <r>
    <n v="667"/>
    <d v="2011-01-31T00:00:00"/>
    <s v="winter"/>
    <s v="JANUARY"/>
    <n v="2"/>
    <x v="0"/>
    <x v="2"/>
    <x v="0"/>
    <n v="9.02"/>
    <n v="0.64"/>
    <n v="0.19400000000000001"/>
    <n v="0"/>
    <n v="1"/>
    <n v="1"/>
  </r>
  <r>
    <n v="668"/>
    <d v="2011-01-31T00:00:00"/>
    <s v="winter"/>
    <s v="JANUARY"/>
    <n v="3"/>
    <x v="0"/>
    <x v="2"/>
    <x v="0"/>
    <n v="9.02"/>
    <n v="0.64"/>
    <n v="0.19400000000000001"/>
    <n v="0"/>
    <n v="2"/>
    <n v="2"/>
  </r>
  <r>
    <n v="669"/>
    <d v="2011-01-31T00:00:00"/>
    <s v="winter"/>
    <s v="JANUARY"/>
    <n v="4"/>
    <x v="0"/>
    <x v="2"/>
    <x v="0"/>
    <n v="8.2000000000000011"/>
    <n v="0.59"/>
    <n v="0.22389999999999999"/>
    <n v="0"/>
    <n v="2"/>
    <n v="2"/>
  </r>
  <r>
    <n v="670"/>
    <d v="2011-01-31T00:00:00"/>
    <s v="winter"/>
    <s v="JANUARY"/>
    <n v="5"/>
    <x v="0"/>
    <x v="2"/>
    <x v="0"/>
    <n v="7.38"/>
    <n v="0.64"/>
    <n v="0.28360000000000002"/>
    <n v="0"/>
    <n v="8"/>
    <n v="8"/>
  </r>
  <r>
    <n v="671"/>
    <d v="2011-01-31T00:00:00"/>
    <s v="winter"/>
    <s v="JANUARY"/>
    <n v="6"/>
    <x v="0"/>
    <x v="2"/>
    <x v="0"/>
    <n v="6.5600000000000005"/>
    <n v="0.69"/>
    <n v="0.32840000000000003"/>
    <n v="0"/>
    <n v="37"/>
    <n v="37"/>
  </r>
  <r>
    <n v="672"/>
    <d v="2011-01-31T00:00:00"/>
    <s v="winter"/>
    <s v="JANUARY"/>
    <n v="7"/>
    <x v="0"/>
    <x v="2"/>
    <x v="1"/>
    <n v="6.5600000000000005"/>
    <n v="0.64"/>
    <n v="0.28360000000000002"/>
    <n v="1"/>
    <n v="71"/>
    <n v="72"/>
  </r>
  <r>
    <n v="673"/>
    <d v="2011-01-31T00:00:00"/>
    <s v="winter"/>
    <s v="JANUARY"/>
    <n v="8"/>
    <x v="0"/>
    <x v="2"/>
    <x v="1"/>
    <n v="6.5600000000000005"/>
    <n v="0.59"/>
    <n v="0.28360000000000002"/>
    <n v="3"/>
    <n v="182"/>
    <n v="185"/>
  </r>
  <r>
    <n v="674"/>
    <d v="2011-01-31T00:00:00"/>
    <s v="winter"/>
    <s v="JANUARY"/>
    <n v="9"/>
    <x v="0"/>
    <x v="2"/>
    <x v="1"/>
    <n v="6.5600000000000005"/>
    <n v="0.59"/>
    <n v="0.29849999999999999"/>
    <n v="0"/>
    <n v="112"/>
    <n v="112"/>
  </r>
  <r>
    <n v="675"/>
    <d v="2011-01-31T00:00:00"/>
    <s v="winter"/>
    <s v="JANUARY"/>
    <n v="10"/>
    <x v="0"/>
    <x v="2"/>
    <x v="1"/>
    <n v="6.5600000000000005"/>
    <n v="0.59"/>
    <n v="0.19400000000000001"/>
    <n v="1"/>
    <n v="68"/>
    <n v="69"/>
  </r>
  <r>
    <n v="676"/>
    <d v="2011-01-31T00:00:00"/>
    <s v="winter"/>
    <s v="JANUARY"/>
    <n v="11"/>
    <x v="0"/>
    <x v="2"/>
    <x v="1"/>
    <n v="6.5600000000000005"/>
    <n v="0.59"/>
    <n v="0.19400000000000001"/>
    <n v="2"/>
    <n v="46"/>
    <n v="48"/>
  </r>
  <r>
    <n v="677"/>
    <d v="2011-01-31T00:00:00"/>
    <s v="winter"/>
    <s v="JANUARY"/>
    <n v="12"/>
    <x v="0"/>
    <x v="2"/>
    <x v="1"/>
    <n v="7.38"/>
    <n v="0.55000000000000004"/>
    <n v="0.1045"/>
    <n v="6"/>
    <n v="62"/>
    <n v="68"/>
  </r>
  <r>
    <n v="678"/>
    <d v="2011-01-31T00:00:00"/>
    <s v="winter"/>
    <s v="JANUARY"/>
    <n v="13"/>
    <x v="0"/>
    <x v="2"/>
    <x v="1"/>
    <n v="6.5600000000000005"/>
    <n v="0.59"/>
    <n v="0"/>
    <n v="2"/>
    <n v="52"/>
    <n v="54"/>
  </r>
  <r>
    <n v="679"/>
    <d v="2011-01-31T00:00:00"/>
    <s v="winter"/>
    <s v="JANUARY"/>
    <n v="14"/>
    <x v="0"/>
    <x v="2"/>
    <x v="1"/>
    <n v="7.38"/>
    <n v="0.55000000000000004"/>
    <n v="0.1343"/>
    <n v="1"/>
    <n v="85"/>
    <n v="86"/>
  </r>
  <r>
    <n v="680"/>
    <d v="2011-01-31T00:00:00"/>
    <s v="winter"/>
    <s v="JANUARY"/>
    <n v="15"/>
    <x v="0"/>
    <x v="2"/>
    <x v="1"/>
    <n v="6.5600000000000005"/>
    <n v="0.59"/>
    <n v="0.1343"/>
    <n v="3"/>
    <n v="41"/>
    <n v="44"/>
  </r>
  <r>
    <n v="681"/>
    <d v="2011-01-31T00:00:00"/>
    <s v="winter"/>
    <s v="JANUARY"/>
    <n v="16"/>
    <x v="0"/>
    <x v="2"/>
    <x v="1"/>
    <n v="6.5600000000000005"/>
    <n v="0.56000000000000005"/>
    <n v="0.19400000000000001"/>
    <n v="3"/>
    <n v="83"/>
    <n v="86"/>
  </r>
  <r>
    <n v="682"/>
    <d v="2011-01-31T00:00:00"/>
    <s v="winter"/>
    <s v="JANUARY"/>
    <n v="17"/>
    <x v="0"/>
    <x v="2"/>
    <x v="1"/>
    <n v="6.5600000000000005"/>
    <n v="0.59"/>
    <n v="0.19400000000000001"/>
    <n v="6"/>
    <n v="155"/>
    <n v="161"/>
  </r>
  <r>
    <n v="683"/>
    <d v="2011-01-31T00:00:00"/>
    <s v="winter"/>
    <s v="JANUARY"/>
    <n v="18"/>
    <x v="0"/>
    <x v="2"/>
    <x v="1"/>
    <n v="6.5600000000000005"/>
    <n v="0.55000000000000004"/>
    <n v="0.22389999999999999"/>
    <n v="3"/>
    <n v="153"/>
    <n v="156"/>
  </r>
  <r>
    <n v="684"/>
    <d v="2011-01-31T00:00:00"/>
    <s v="winter"/>
    <s v="JANUARY"/>
    <n v="19"/>
    <x v="0"/>
    <x v="2"/>
    <x v="0"/>
    <n v="12.299999999999999"/>
    <n v="0.61"/>
    <n v="0.1045"/>
    <n v="3"/>
    <n v="108"/>
    <n v="111"/>
  </r>
  <r>
    <n v="685"/>
    <d v="2011-01-31T00:00:00"/>
    <s v="winter"/>
    <s v="JANUARY"/>
    <n v="20"/>
    <x v="0"/>
    <x v="2"/>
    <x v="2"/>
    <n v="6.5600000000000005"/>
    <n v="0.59"/>
    <n v="0.16420000000000001"/>
    <n v="0"/>
    <n v="78"/>
    <n v="78"/>
  </r>
  <r>
    <n v="686"/>
    <d v="2011-01-31T00:00:00"/>
    <s v="winter"/>
    <s v="JANUARY"/>
    <n v="21"/>
    <x v="0"/>
    <x v="2"/>
    <x v="2"/>
    <n v="6.5600000000000005"/>
    <n v="0.59"/>
    <n v="8.9599999999999999E-2"/>
    <n v="3"/>
    <n v="53"/>
    <n v="56"/>
  </r>
  <r>
    <n v="687"/>
    <d v="2011-01-31T00:00:00"/>
    <s v="winter"/>
    <s v="JANUARY"/>
    <n v="22"/>
    <x v="0"/>
    <x v="2"/>
    <x v="1"/>
    <n v="6.5600000000000005"/>
    <n v="0.59"/>
    <n v="0.1045"/>
    <n v="0"/>
    <n v="34"/>
    <n v="34"/>
  </r>
  <r>
    <n v="688"/>
    <d v="2011-01-31T00:00:00"/>
    <s v="winter"/>
    <s v="JANUARY"/>
    <n v="23"/>
    <x v="0"/>
    <x v="2"/>
    <x v="1"/>
    <n v="6.5600000000000005"/>
    <n v="0.64"/>
    <n v="8.9599999999999999E-2"/>
    <n v="2"/>
    <n v="15"/>
    <n v="17"/>
  </r>
  <r>
    <n v="689"/>
    <d v="2011-02-01T00:00:00"/>
    <s v="winter"/>
    <s v="FEBRUARY"/>
    <n v="0"/>
    <x v="0"/>
    <x v="3"/>
    <x v="1"/>
    <n v="6.5600000000000005"/>
    <n v="0.64"/>
    <n v="0.1045"/>
    <n v="2"/>
    <n v="6"/>
    <n v="8"/>
  </r>
  <r>
    <n v="690"/>
    <d v="2011-02-01T00:00:00"/>
    <s v="winter"/>
    <s v="FEBRUARY"/>
    <n v="1"/>
    <x v="0"/>
    <x v="3"/>
    <x v="1"/>
    <n v="6.5600000000000005"/>
    <n v="0.69"/>
    <n v="0.1045"/>
    <n v="0"/>
    <n v="3"/>
    <n v="3"/>
  </r>
  <r>
    <n v="691"/>
    <d v="2011-02-01T00:00:00"/>
    <s v="winter"/>
    <s v="FEBRUARY"/>
    <n v="2"/>
    <x v="0"/>
    <x v="3"/>
    <x v="1"/>
    <n v="6.5600000000000005"/>
    <n v="0.69"/>
    <n v="0"/>
    <n v="0"/>
    <n v="2"/>
    <n v="2"/>
  </r>
  <r>
    <n v="692"/>
    <d v="2011-02-01T00:00:00"/>
    <s v="winter"/>
    <s v="FEBRUARY"/>
    <n v="3"/>
    <x v="0"/>
    <x v="3"/>
    <x v="1"/>
    <n v="6.5600000000000005"/>
    <n v="0.69"/>
    <n v="0"/>
    <n v="0"/>
    <n v="2"/>
    <n v="2"/>
  </r>
  <r>
    <n v="693"/>
    <d v="2011-02-01T00:00:00"/>
    <s v="winter"/>
    <s v="FEBRUARY"/>
    <n v="5"/>
    <x v="0"/>
    <x v="3"/>
    <x v="2"/>
    <n v="5.74"/>
    <n v="0.93"/>
    <n v="0"/>
    <n v="0"/>
    <n v="3"/>
    <n v="3"/>
  </r>
  <r>
    <n v="694"/>
    <d v="2011-02-01T00:00:00"/>
    <s v="winter"/>
    <s v="FEBRUARY"/>
    <n v="6"/>
    <x v="0"/>
    <x v="3"/>
    <x v="2"/>
    <n v="5.74"/>
    <n v="0.93"/>
    <n v="0"/>
    <n v="0"/>
    <n v="22"/>
    <n v="22"/>
  </r>
  <r>
    <n v="695"/>
    <d v="2011-02-01T00:00:00"/>
    <s v="winter"/>
    <s v="FEBRUARY"/>
    <n v="7"/>
    <x v="0"/>
    <x v="3"/>
    <x v="2"/>
    <n v="6.5600000000000005"/>
    <n v="0.93"/>
    <n v="0"/>
    <n v="0"/>
    <n v="52"/>
    <n v="52"/>
  </r>
  <r>
    <n v="696"/>
    <d v="2011-02-01T00:00:00"/>
    <s v="winter"/>
    <s v="FEBRUARY"/>
    <n v="8"/>
    <x v="0"/>
    <x v="3"/>
    <x v="2"/>
    <n v="6.5600000000000005"/>
    <n v="0.93"/>
    <n v="0"/>
    <n v="3"/>
    <n v="132"/>
    <n v="135"/>
  </r>
  <r>
    <n v="697"/>
    <d v="2011-02-01T00:00:00"/>
    <s v="winter"/>
    <s v="FEBRUARY"/>
    <n v="9"/>
    <x v="0"/>
    <x v="3"/>
    <x v="1"/>
    <n v="6.5600000000000005"/>
    <n v="0.93"/>
    <n v="0"/>
    <n v="2"/>
    <n v="114"/>
    <n v="116"/>
  </r>
  <r>
    <n v="698"/>
    <d v="2011-02-01T00:00:00"/>
    <s v="winter"/>
    <s v="FEBRUARY"/>
    <n v="10"/>
    <x v="0"/>
    <x v="3"/>
    <x v="1"/>
    <n v="6.5600000000000005"/>
    <n v="0.93"/>
    <n v="0"/>
    <n v="0"/>
    <n v="47"/>
    <n v="47"/>
  </r>
  <r>
    <n v="699"/>
    <d v="2011-02-01T00:00:00"/>
    <s v="winter"/>
    <s v="FEBRUARY"/>
    <n v="11"/>
    <x v="0"/>
    <x v="3"/>
    <x v="1"/>
    <n v="7.38"/>
    <n v="0.86"/>
    <n v="0"/>
    <n v="2"/>
    <n v="49"/>
    <n v="51"/>
  </r>
  <r>
    <n v="700"/>
    <d v="2011-02-01T00:00:00"/>
    <s v="winter"/>
    <s v="FEBRUARY"/>
    <n v="12"/>
    <x v="0"/>
    <x v="3"/>
    <x v="1"/>
    <n v="8.2000000000000011"/>
    <n v="0.86"/>
    <n v="0"/>
    <n v="2"/>
    <n v="53"/>
    <n v="55"/>
  </r>
  <r>
    <n v="701"/>
    <d v="2011-02-01T00:00:00"/>
    <s v="winter"/>
    <s v="FEBRUARY"/>
    <n v="13"/>
    <x v="0"/>
    <x v="3"/>
    <x v="1"/>
    <n v="8.2000000000000011"/>
    <n v="0.86"/>
    <n v="0"/>
    <n v="3"/>
    <n v="49"/>
    <n v="52"/>
  </r>
  <r>
    <n v="702"/>
    <d v="2011-02-01T00:00:00"/>
    <s v="winter"/>
    <s v="FEBRUARY"/>
    <n v="14"/>
    <x v="0"/>
    <x v="3"/>
    <x v="1"/>
    <n v="9.02"/>
    <n v="0.8"/>
    <n v="8.9599999999999999E-2"/>
    <n v="5"/>
    <n v="49"/>
    <n v="54"/>
  </r>
  <r>
    <n v="703"/>
    <d v="2011-02-01T00:00:00"/>
    <s v="winter"/>
    <s v="FEBRUARY"/>
    <n v="15"/>
    <x v="0"/>
    <x v="3"/>
    <x v="1"/>
    <n v="9.84"/>
    <n v="0.75"/>
    <n v="0"/>
    <n v="7"/>
    <n v="45"/>
    <n v="52"/>
  </r>
  <r>
    <n v="704"/>
    <d v="2011-02-01T00:00:00"/>
    <s v="winter"/>
    <s v="FEBRUARY"/>
    <n v="16"/>
    <x v="0"/>
    <x v="3"/>
    <x v="1"/>
    <n v="9.84"/>
    <n v="0.75"/>
    <n v="0.1343"/>
    <n v="3"/>
    <n v="61"/>
    <n v="64"/>
  </r>
  <r>
    <n v="705"/>
    <d v="2011-02-01T00:00:00"/>
    <s v="winter"/>
    <s v="FEBRUARY"/>
    <n v="17"/>
    <x v="0"/>
    <x v="3"/>
    <x v="1"/>
    <n v="9.84"/>
    <n v="0.75"/>
    <n v="0"/>
    <n v="4"/>
    <n v="172"/>
    <n v="176"/>
  </r>
  <r>
    <n v="706"/>
    <d v="2011-02-01T00:00:00"/>
    <s v="winter"/>
    <s v="FEBRUARY"/>
    <n v="18"/>
    <x v="0"/>
    <x v="3"/>
    <x v="1"/>
    <n v="9.84"/>
    <n v="0.81"/>
    <n v="0.1045"/>
    <n v="3"/>
    <n v="165"/>
    <n v="168"/>
  </r>
  <r>
    <n v="707"/>
    <d v="2011-02-01T00:00:00"/>
    <s v="winter"/>
    <s v="FEBRUARY"/>
    <n v="19"/>
    <x v="0"/>
    <x v="3"/>
    <x v="1"/>
    <n v="9.84"/>
    <n v="0.81"/>
    <n v="0.1343"/>
    <n v="3"/>
    <n v="105"/>
    <n v="108"/>
  </r>
  <r>
    <n v="708"/>
    <d v="2011-02-01T00:00:00"/>
    <s v="winter"/>
    <s v="FEBRUARY"/>
    <n v="20"/>
    <x v="0"/>
    <x v="3"/>
    <x v="1"/>
    <n v="9.02"/>
    <n v="0.87"/>
    <n v="0.1343"/>
    <n v="5"/>
    <n v="69"/>
    <n v="74"/>
  </r>
  <r>
    <n v="709"/>
    <d v="2011-02-01T00:00:00"/>
    <s v="winter"/>
    <s v="FEBRUARY"/>
    <n v="21"/>
    <x v="0"/>
    <x v="3"/>
    <x v="1"/>
    <n v="9.02"/>
    <n v="0.87"/>
    <n v="0.1343"/>
    <n v="0"/>
    <n v="64"/>
    <n v="64"/>
  </r>
  <r>
    <n v="710"/>
    <d v="2011-02-01T00:00:00"/>
    <s v="winter"/>
    <s v="FEBRUARY"/>
    <n v="22"/>
    <x v="0"/>
    <x v="3"/>
    <x v="1"/>
    <n v="9.02"/>
    <n v="0.87"/>
    <n v="8.9599999999999999E-2"/>
    <n v="2"/>
    <n v="34"/>
    <n v="36"/>
  </r>
  <r>
    <n v="711"/>
    <d v="2011-02-01T00:00:00"/>
    <s v="winter"/>
    <s v="FEBRUARY"/>
    <n v="23"/>
    <x v="0"/>
    <x v="3"/>
    <x v="2"/>
    <n v="8.2000000000000011"/>
    <n v="0.93"/>
    <n v="0.19400000000000001"/>
    <n v="1"/>
    <n v="15"/>
    <n v="16"/>
  </r>
  <r>
    <n v="712"/>
    <d v="2011-02-02T00:00:00"/>
    <s v="winter"/>
    <s v="FEBRUARY"/>
    <n v="0"/>
    <x v="0"/>
    <x v="4"/>
    <x v="2"/>
    <n v="9.02"/>
    <n v="0.93"/>
    <n v="0.1045"/>
    <n v="0"/>
    <n v="2"/>
    <n v="2"/>
  </r>
  <r>
    <n v="713"/>
    <d v="2011-02-02T00:00:00"/>
    <s v="winter"/>
    <s v="FEBRUARY"/>
    <n v="1"/>
    <x v="0"/>
    <x v="4"/>
    <x v="2"/>
    <n v="9.02"/>
    <n v="0.93"/>
    <n v="0.19400000000000001"/>
    <n v="0"/>
    <n v="3"/>
    <n v="3"/>
  </r>
  <r>
    <n v="714"/>
    <d v="2011-02-02T00:00:00"/>
    <s v="winter"/>
    <s v="FEBRUARY"/>
    <n v="2"/>
    <x v="0"/>
    <x v="4"/>
    <x v="2"/>
    <n v="9.02"/>
    <n v="0.93"/>
    <n v="0.1343"/>
    <n v="4"/>
    <n v="0"/>
    <n v="4"/>
  </r>
  <r>
    <n v="715"/>
    <d v="2011-02-02T00:00:00"/>
    <s v="winter"/>
    <s v="FEBRUARY"/>
    <n v="3"/>
    <x v="0"/>
    <x v="4"/>
    <x v="2"/>
    <n v="9.02"/>
    <n v="0.93"/>
    <n v="0.1343"/>
    <n v="0"/>
    <n v="1"/>
    <n v="1"/>
  </r>
  <r>
    <n v="716"/>
    <d v="2011-02-02T00:00:00"/>
    <s v="winter"/>
    <s v="FEBRUARY"/>
    <n v="4"/>
    <x v="0"/>
    <x v="4"/>
    <x v="2"/>
    <n v="9.02"/>
    <n v="0.93"/>
    <n v="0.28360000000000002"/>
    <n v="0"/>
    <n v="1"/>
    <n v="1"/>
  </r>
  <r>
    <n v="717"/>
    <d v="2011-02-02T00:00:00"/>
    <s v="winter"/>
    <s v="FEBRUARY"/>
    <n v="5"/>
    <x v="0"/>
    <x v="4"/>
    <x v="2"/>
    <n v="9.02"/>
    <n v="0.93"/>
    <n v="0.1045"/>
    <n v="0"/>
    <n v="3"/>
    <n v="3"/>
  </r>
  <r>
    <n v="718"/>
    <d v="2011-02-02T00:00:00"/>
    <s v="winter"/>
    <s v="FEBRUARY"/>
    <n v="6"/>
    <x v="0"/>
    <x v="4"/>
    <x v="2"/>
    <n v="9.02"/>
    <n v="0.93"/>
    <n v="0.1045"/>
    <n v="1"/>
    <n v="17"/>
    <n v="18"/>
  </r>
  <r>
    <n v="719"/>
    <d v="2011-02-02T00:00:00"/>
    <s v="winter"/>
    <s v="FEBRUARY"/>
    <n v="7"/>
    <x v="0"/>
    <x v="4"/>
    <x v="2"/>
    <n v="9.02"/>
    <n v="0.93"/>
    <n v="0.22389999999999999"/>
    <n v="1"/>
    <n v="48"/>
    <n v="49"/>
  </r>
  <r>
    <n v="720"/>
    <d v="2011-02-02T00:00:00"/>
    <s v="winter"/>
    <s v="FEBRUARY"/>
    <n v="8"/>
    <x v="0"/>
    <x v="4"/>
    <x v="2"/>
    <n v="9.02"/>
    <n v="0.93"/>
    <n v="0.22389999999999999"/>
    <n v="1"/>
    <n v="154"/>
    <n v="155"/>
  </r>
  <r>
    <n v="721"/>
    <d v="2011-02-02T00:00:00"/>
    <s v="winter"/>
    <s v="FEBRUARY"/>
    <n v="9"/>
    <x v="0"/>
    <x v="4"/>
    <x v="1"/>
    <n v="9.84"/>
    <n v="0.93"/>
    <n v="8.9599999999999999E-2"/>
    <n v="4"/>
    <n v="119"/>
    <n v="123"/>
  </r>
  <r>
    <n v="722"/>
    <d v="2011-02-02T00:00:00"/>
    <s v="winter"/>
    <s v="FEBRUARY"/>
    <n v="10"/>
    <x v="0"/>
    <x v="4"/>
    <x v="1"/>
    <n v="9.02"/>
    <n v="1"/>
    <n v="0"/>
    <n v="2"/>
    <n v="59"/>
    <n v="61"/>
  </r>
  <r>
    <n v="723"/>
    <d v="2011-02-02T00:00:00"/>
    <s v="winter"/>
    <s v="FEBRUARY"/>
    <n v="11"/>
    <x v="0"/>
    <x v="4"/>
    <x v="1"/>
    <n v="9.84"/>
    <n v="0.93"/>
    <n v="0.19400000000000001"/>
    <n v="5"/>
    <n v="47"/>
    <n v="52"/>
  </r>
  <r>
    <n v="724"/>
    <d v="2011-02-02T00:00:00"/>
    <s v="winter"/>
    <s v="FEBRUARY"/>
    <n v="12"/>
    <x v="0"/>
    <x v="4"/>
    <x v="1"/>
    <n v="9.84"/>
    <n v="0.93"/>
    <n v="0.22389999999999999"/>
    <n v="3"/>
    <n v="61"/>
    <n v="64"/>
  </r>
  <r>
    <n v="725"/>
    <d v="2011-02-02T00:00:00"/>
    <s v="winter"/>
    <s v="FEBRUARY"/>
    <n v="13"/>
    <x v="0"/>
    <x v="4"/>
    <x v="0"/>
    <n v="13.940000000000001"/>
    <n v="0.93"/>
    <n v="0.16420000000000001"/>
    <n v="1"/>
    <n v="74"/>
    <n v="75"/>
  </r>
  <r>
    <n v="726"/>
    <d v="2011-02-02T00:00:00"/>
    <s v="winter"/>
    <s v="FEBRUARY"/>
    <n v="14"/>
    <x v="0"/>
    <x v="4"/>
    <x v="0"/>
    <n v="15.58"/>
    <n v="0.82"/>
    <n v="0.3881"/>
    <n v="2"/>
    <n v="61"/>
    <n v="63"/>
  </r>
  <r>
    <n v="727"/>
    <d v="2011-02-02T00:00:00"/>
    <s v="winter"/>
    <s v="FEBRUARY"/>
    <n v="15"/>
    <x v="0"/>
    <x v="4"/>
    <x v="0"/>
    <n v="15.58"/>
    <n v="0.76"/>
    <n v="0.32840000000000003"/>
    <n v="10"/>
    <n v="66"/>
    <n v="76"/>
  </r>
  <r>
    <n v="728"/>
    <d v="2011-02-02T00:00:00"/>
    <s v="winter"/>
    <s v="FEBRUARY"/>
    <n v="16"/>
    <x v="0"/>
    <x v="4"/>
    <x v="0"/>
    <n v="14.76"/>
    <n v="0.71"/>
    <n v="0.29849999999999999"/>
    <n v="8"/>
    <n v="95"/>
    <n v="103"/>
  </r>
  <r>
    <n v="729"/>
    <d v="2011-02-02T00:00:00"/>
    <s v="winter"/>
    <s v="FEBRUARY"/>
    <n v="17"/>
    <x v="0"/>
    <x v="4"/>
    <x v="0"/>
    <n v="14.76"/>
    <n v="0.53"/>
    <n v="0.52239999999999998"/>
    <n v="7"/>
    <n v="183"/>
    <n v="190"/>
  </r>
  <r>
    <n v="730"/>
    <d v="2011-02-02T00:00:00"/>
    <s v="winter"/>
    <s v="FEBRUARY"/>
    <n v="18"/>
    <x v="0"/>
    <x v="4"/>
    <x v="0"/>
    <n v="13.940000000000001"/>
    <n v="0.42"/>
    <n v="0.55220000000000002"/>
    <n v="7"/>
    <n v="175"/>
    <n v="182"/>
  </r>
  <r>
    <n v="731"/>
    <d v="2011-02-02T00:00:00"/>
    <s v="winter"/>
    <s v="FEBRUARY"/>
    <n v="19"/>
    <x v="0"/>
    <x v="4"/>
    <x v="0"/>
    <n v="11.48"/>
    <n v="0.45"/>
    <n v="0.49249999999999999"/>
    <n v="3"/>
    <n v="88"/>
    <n v="91"/>
  </r>
  <r>
    <n v="732"/>
    <d v="2011-02-02T00:00:00"/>
    <s v="winter"/>
    <s v="FEBRUARY"/>
    <n v="20"/>
    <x v="0"/>
    <x v="4"/>
    <x v="0"/>
    <n v="9.84"/>
    <n v="0.48"/>
    <n v="0.55220000000000002"/>
    <n v="4"/>
    <n v="71"/>
    <n v="75"/>
  </r>
  <r>
    <n v="733"/>
    <d v="2011-02-02T00:00:00"/>
    <s v="winter"/>
    <s v="FEBRUARY"/>
    <n v="21"/>
    <x v="0"/>
    <x v="4"/>
    <x v="0"/>
    <n v="9.02"/>
    <n v="0.47"/>
    <n v="0.32840000000000003"/>
    <n v="1"/>
    <n v="62"/>
    <n v="63"/>
  </r>
  <r>
    <n v="734"/>
    <d v="2011-02-02T00:00:00"/>
    <s v="winter"/>
    <s v="FEBRUARY"/>
    <n v="22"/>
    <x v="0"/>
    <x v="4"/>
    <x v="0"/>
    <n v="9.02"/>
    <n v="0.44"/>
    <n v="0.25369999999999998"/>
    <n v="5"/>
    <n v="35"/>
    <n v="40"/>
  </r>
  <r>
    <n v="735"/>
    <d v="2011-02-02T00:00:00"/>
    <s v="winter"/>
    <s v="FEBRUARY"/>
    <n v="23"/>
    <x v="0"/>
    <x v="4"/>
    <x v="0"/>
    <n v="8.2000000000000011"/>
    <n v="0.44"/>
    <n v="0.44779999999999998"/>
    <n v="3"/>
    <n v="29"/>
    <n v="32"/>
  </r>
  <r>
    <n v="736"/>
    <d v="2011-02-03T00:00:00"/>
    <s v="winter"/>
    <s v="FEBRUARY"/>
    <n v="0"/>
    <x v="0"/>
    <x v="5"/>
    <x v="0"/>
    <n v="8.2000000000000011"/>
    <n v="0.4"/>
    <n v="0.44779999999999998"/>
    <n v="1"/>
    <n v="11"/>
    <n v="12"/>
  </r>
  <r>
    <n v="737"/>
    <d v="2011-02-03T00:00:00"/>
    <s v="winter"/>
    <s v="FEBRUARY"/>
    <n v="1"/>
    <x v="0"/>
    <x v="5"/>
    <x v="0"/>
    <n v="8.2000000000000011"/>
    <n v="0.44"/>
    <n v="0.52239999999999998"/>
    <n v="0"/>
    <n v="5"/>
    <n v="5"/>
  </r>
  <r>
    <n v="738"/>
    <d v="2011-02-03T00:00:00"/>
    <s v="winter"/>
    <s v="FEBRUARY"/>
    <n v="2"/>
    <x v="0"/>
    <x v="5"/>
    <x v="0"/>
    <n v="7.38"/>
    <n v="0.43"/>
    <n v="0.25369999999999998"/>
    <n v="0"/>
    <n v="2"/>
    <n v="2"/>
  </r>
  <r>
    <n v="739"/>
    <d v="2011-02-03T00:00:00"/>
    <s v="winter"/>
    <s v="FEBRUARY"/>
    <n v="3"/>
    <x v="0"/>
    <x v="5"/>
    <x v="0"/>
    <n v="7.38"/>
    <n v="0.43"/>
    <n v="0.25369999999999998"/>
    <n v="0"/>
    <n v="1"/>
    <n v="1"/>
  </r>
  <r>
    <n v="740"/>
    <d v="2011-02-03T00:00:00"/>
    <s v="winter"/>
    <s v="FEBRUARY"/>
    <n v="5"/>
    <x v="0"/>
    <x v="5"/>
    <x v="0"/>
    <n v="6.5600000000000005"/>
    <n v="0.5"/>
    <n v="0.29849999999999999"/>
    <n v="0"/>
    <n v="2"/>
    <n v="2"/>
  </r>
  <r>
    <n v="741"/>
    <d v="2011-02-03T00:00:00"/>
    <s v="winter"/>
    <s v="FEBRUARY"/>
    <n v="6"/>
    <x v="0"/>
    <x v="5"/>
    <x v="0"/>
    <n v="6.5600000000000005"/>
    <n v="0.43"/>
    <n v="0.35820000000000002"/>
    <n v="0"/>
    <n v="39"/>
    <n v="39"/>
  </r>
  <r>
    <n v="742"/>
    <d v="2011-02-03T00:00:00"/>
    <s v="winter"/>
    <s v="FEBRUARY"/>
    <n v="7"/>
    <x v="0"/>
    <x v="5"/>
    <x v="0"/>
    <n v="5.74"/>
    <n v="0.5"/>
    <n v="0.32840000000000003"/>
    <n v="1"/>
    <n v="86"/>
    <n v="87"/>
  </r>
  <r>
    <n v="743"/>
    <d v="2011-02-03T00:00:00"/>
    <s v="winter"/>
    <s v="FEBRUARY"/>
    <n v="8"/>
    <x v="0"/>
    <x v="5"/>
    <x v="0"/>
    <n v="5.74"/>
    <n v="0.5"/>
    <n v="0.35820000000000002"/>
    <n v="4"/>
    <n v="184"/>
    <n v="188"/>
  </r>
  <r>
    <n v="744"/>
    <d v="2011-02-03T00:00:00"/>
    <s v="winter"/>
    <s v="FEBRUARY"/>
    <n v="9"/>
    <x v="0"/>
    <x v="5"/>
    <x v="0"/>
    <n v="6.5600000000000005"/>
    <n v="0.47"/>
    <n v="0.29849999999999999"/>
    <n v="6"/>
    <n v="127"/>
    <n v="133"/>
  </r>
  <r>
    <n v="745"/>
    <d v="2011-02-03T00:00:00"/>
    <s v="winter"/>
    <s v="FEBRUARY"/>
    <n v="10"/>
    <x v="0"/>
    <x v="5"/>
    <x v="0"/>
    <n v="7.38"/>
    <n v="0.43"/>
    <n v="0.32840000000000003"/>
    <n v="2"/>
    <n v="50"/>
    <n v="52"/>
  </r>
  <r>
    <n v="746"/>
    <d v="2011-02-03T00:00:00"/>
    <s v="winter"/>
    <s v="FEBRUARY"/>
    <n v="11"/>
    <x v="0"/>
    <x v="5"/>
    <x v="0"/>
    <n v="7.38"/>
    <n v="0.43"/>
    <n v="0.44779999999999998"/>
    <n v="9"/>
    <n v="55"/>
    <n v="64"/>
  </r>
  <r>
    <n v="747"/>
    <d v="2011-02-03T00:00:00"/>
    <s v="winter"/>
    <s v="FEBRUARY"/>
    <n v="12"/>
    <x v="0"/>
    <x v="5"/>
    <x v="0"/>
    <n v="8.2000000000000011"/>
    <n v="0.4"/>
    <n v="0.35820000000000002"/>
    <n v="2"/>
    <n v="67"/>
    <n v="69"/>
  </r>
  <r>
    <n v="748"/>
    <d v="2011-02-03T00:00:00"/>
    <s v="winter"/>
    <s v="FEBRUARY"/>
    <n v="13"/>
    <x v="0"/>
    <x v="5"/>
    <x v="0"/>
    <n v="8.2000000000000011"/>
    <n v="0.4"/>
    <n v="0.41789999999999999"/>
    <n v="4"/>
    <n v="47"/>
    <n v="51"/>
  </r>
  <r>
    <n v="749"/>
    <d v="2011-02-03T00:00:00"/>
    <s v="winter"/>
    <s v="FEBRUARY"/>
    <n v="14"/>
    <x v="0"/>
    <x v="5"/>
    <x v="0"/>
    <n v="9.02"/>
    <n v="0.37"/>
    <n v="0.3881"/>
    <n v="4"/>
    <n v="43"/>
    <n v="47"/>
  </r>
  <r>
    <n v="750"/>
    <d v="2011-02-03T00:00:00"/>
    <s v="winter"/>
    <s v="FEBRUARY"/>
    <n v="15"/>
    <x v="0"/>
    <x v="5"/>
    <x v="0"/>
    <n v="9.02"/>
    <n v="0.37"/>
    <n v="0.32840000000000003"/>
    <n v="4"/>
    <n v="56"/>
    <n v="60"/>
  </r>
  <r>
    <n v="751"/>
    <d v="2011-02-03T00:00:00"/>
    <s v="winter"/>
    <s v="FEBRUARY"/>
    <n v="16"/>
    <x v="0"/>
    <x v="5"/>
    <x v="0"/>
    <n v="9.02"/>
    <n v="0.37"/>
    <n v="0.25369999999999998"/>
    <n v="5"/>
    <n v="73"/>
    <n v="78"/>
  </r>
  <r>
    <n v="752"/>
    <d v="2011-02-03T00:00:00"/>
    <s v="winter"/>
    <s v="FEBRUARY"/>
    <n v="17"/>
    <x v="0"/>
    <x v="5"/>
    <x v="0"/>
    <n v="8.2000000000000011"/>
    <n v="0.4"/>
    <n v="0.19400000000000001"/>
    <n v="5"/>
    <n v="170"/>
    <n v="175"/>
  </r>
  <r>
    <n v="753"/>
    <d v="2011-02-03T00:00:00"/>
    <s v="winter"/>
    <s v="FEBRUARY"/>
    <n v="18"/>
    <x v="0"/>
    <x v="5"/>
    <x v="0"/>
    <n v="8.2000000000000011"/>
    <n v="0.4"/>
    <n v="0.16420000000000001"/>
    <n v="2"/>
    <n v="145"/>
    <n v="147"/>
  </r>
  <r>
    <n v="754"/>
    <d v="2011-02-03T00:00:00"/>
    <s v="winter"/>
    <s v="FEBRUARY"/>
    <n v="19"/>
    <x v="0"/>
    <x v="5"/>
    <x v="0"/>
    <n v="8.2000000000000011"/>
    <n v="0.4"/>
    <n v="0"/>
    <n v="4"/>
    <n v="92"/>
    <n v="96"/>
  </r>
  <r>
    <n v="755"/>
    <d v="2011-02-03T00:00:00"/>
    <s v="winter"/>
    <s v="FEBRUARY"/>
    <n v="20"/>
    <x v="0"/>
    <x v="5"/>
    <x v="0"/>
    <n v="8.2000000000000011"/>
    <n v="0.47"/>
    <n v="8.9599999999999999E-2"/>
    <n v="1"/>
    <n v="108"/>
    <n v="109"/>
  </r>
  <r>
    <n v="756"/>
    <d v="2011-02-03T00:00:00"/>
    <s v="winter"/>
    <s v="FEBRUARY"/>
    <n v="21"/>
    <x v="0"/>
    <x v="5"/>
    <x v="0"/>
    <n v="7.38"/>
    <n v="0.55000000000000004"/>
    <n v="0.1045"/>
    <n v="1"/>
    <n v="53"/>
    <n v="54"/>
  </r>
  <r>
    <n v="757"/>
    <d v="2011-02-03T00:00:00"/>
    <s v="winter"/>
    <s v="FEBRUARY"/>
    <n v="22"/>
    <x v="0"/>
    <x v="5"/>
    <x v="0"/>
    <n v="7.38"/>
    <n v="0.51"/>
    <n v="8.9599999999999999E-2"/>
    <n v="2"/>
    <n v="39"/>
    <n v="41"/>
  </r>
  <r>
    <n v="758"/>
    <d v="2011-02-03T00:00:00"/>
    <s v="winter"/>
    <s v="FEBRUARY"/>
    <n v="23"/>
    <x v="0"/>
    <x v="5"/>
    <x v="0"/>
    <n v="8.2000000000000011"/>
    <n v="0.47"/>
    <n v="0.1045"/>
    <n v="4"/>
    <n v="34"/>
    <n v="38"/>
  </r>
  <r>
    <n v="759"/>
    <d v="2011-02-04T00:00:00"/>
    <s v="winter"/>
    <s v="FEBRUARY"/>
    <n v="0"/>
    <x v="0"/>
    <x v="6"/>
    <x v="1"/>
    <n v="8.2000000000000011"/>
    <n v="0.44"/>
    <n v="0"/>
    <n v="3"/>
    <n v="10"/>
    <n v="13"/>
  </r>
  <r>
    <n v="760"/>
    <d v="2011-02-04T00:00:00"/>
    <s v="winter"/>
    <s v="FEBRUARY"/>
    <n v="1"/>
    <x v="0"/>
    <x v="6"/>
    <x v="1"/>
    <n v="6.5600000000000005"/>
    <n v="0.59"/>
    <n v="0"/>
    <n v="0"/>
    <n v="7"/>
    <n v="7"/>
  </r>
  <r>
    <n v="761"/>
    <d v="2011-02-04T00:00:00"/>
    <s v="winter"/>
    <s v="FEBRUARY"/>
    <n v="2"/>
    <x v="0"/>
    <x v="6"/>
    <x v="1"/>
    <n v="5.74"/>
    <n v="0.63"/>
    <n v="0.1045"/>
    <n v="0"/>
    <n v="1"/>
    <n v="1"/>
  </r>
  <r>
    <n v="762"/>
    <d v="2011-02-04T00:00:00"/>
    <s v="winter"/>
    <s v="FEBRUARY"/>
    <n v="3"/>
    <x v="0"/>
    <x v="6"/>
    <x v="1"/>
    <n v="5.74"/>
    <n v="0.63"/>
    <n v="0.1045"/>
    <n v="0"/>
    <n v="1"/>
    <n v="1"/>
  </r>
  <r>
    <n v="763"/>
    <d v="2011-02-04T00:00:00"/>
    <s v="winter"/>
    <s v="FEBRUARY"/>
    <n v="5"/>
    <x v="0"/>
    <x v="6"/>
    <x v="1"/>
    <n v="5.74"/>
    <n v="0.63"/>
    <n v="0.1343"/>
    <n v="0"/>
    <n v="7"/>
    <n v="7"/>
  </r>
  <r>
    <n v="764"/>
    <d v="2011-02-04T00:00:00"/>
    <s v="winter"/>
    <s v="FEBRUARY"/>
    <n v="6"/>
    <x v="0"/>
    <x v="6"/>
    <x v="1"/>
    <n v="6.5600000000000005"/>
    <n v="0.55000000000000004"/>
    <n v="0"/>
    <n v="2"/>
    <n v="26"/>
    <n v="28"/>
  </r>
  <r>
    <n v="765"/>
    <d v="2011-02-04T00:00:00"/>
    <s v="winter"/>
    <s v="FEBRUARY"/>
    <n v="7"/>
    <x v="0"/>
    <x v="6"/>
    <x v="0"/>
    <n v="5.74"/>
    <n v="0.59"/>
    <n v="0"/>
    <n v="0"/>
    <n v="87"/>
    <n v="87"/>
  </r>
  <r>
    <n v="766"/>
    <d v="2011-02-04T00:00:00"/>
    <s v="winter"/>
    <s v="FEBRUARY"/>
    <n v="8"/>
    <x v="0"/>
    <x v="6"/>
    <x v="0"/>
    <n v="5.74"/>
    <n v="0.74"/>
    <n v="0.1343"/>
    <n v="3"/>
    <n v="217"/>
    <n v="220"/>
  </r>
  <r>
    <n v="767"/>
    <d v="2011-02-04T00:00:00"/>
    <s v="winter"/>
    <s v="FEBRUARY"/>
    <n v="9"/>
    <x v="0"/>
    <x v="6"/>
    <x v="1"/>
    <n v="6.5600000000000005"/>
    <n v="0.8"/>
    <n v="0.1343"/>
    <n v="3"/>
    <n v="124"/>
    <n v="127"/>
  </r>
  <r>
    <n v="768"/>
    <d v="2011-02-04T00:00:00"/>
    <s v="winter"/>
    <s v="FEBRUARY"/>
    <n v="10"/>
    <x v="0"/>
    <x v="6"/>
    <x v="1"/>
    <n v="8.2000000000000011"/>
    <n v="0.51"/>
    <n v="0.1343"/>
    <n v="5"/>
    <n v="46"/>
    <n v="51"/>
  </r>
  <r>
    <n v="769"/>
    <d v="2011-02-04T00:00:00"/>
    <s v="winter"/>
    <s v="FEBRUARY"/>
    <n v="11"/>
    <x v="0"/>
    <x v="6"/>
    <x v="0"/>
    <n v="9.02"/>
    <n v="0.51"/>
    <n v="0.16420000000000001"/>
    <n v="3"/>
    <n v="61"/>
    <n v="64"/>
  </r>
  <r>
    <n v="770"/>
    <d v="2011-02-04T00:00:00"/>
    <s v="winter"/>
    <s v="FEBRUARY"/>
    <n v="12"/>
    <x v="0"/>
    <x v="6"/>
    <x v="1"/>
    <n v="9.84"/>
    <n v="0.48"/>
    <n v="0.16420000000000001"/>
    <n v="8"/>
    <n v="78"/>
    <n v="86"/>
  </r>
  <r>
    <n v="771"/>
    <d v="2011-02-04T00:00:00"/>
    <s v="winter"/>
    <s v="FEBRUARY"/>
    <n v="13"/>
    <x v="0"/>
    <x v="6"/>
    <x v="1"/>
    <n v="10.66"/>
    <n v="0.5"/>
    <n v="0.22389999999999999"/>
    <n v="9"/>
    <n v="73"/>
    <n v="82"/>
  </r>
  <r>
    <n v="772"/>
    <d v="2011-02-04T00:00:00"/>
    <s v="winter"/>
    <s v="FEBRUARY"/>
    <n v="14"/>
    <x v="0"/>
    <x v="6"/>
    <x v="1"/>
    <n v="11.48"/>
    <n v="0.45"/>
    <n v="0.16420000000000001"/>
    <n v="15"/>
    <n v="76"/>
    <n v="91"/>
  </r>
  <r>
    <n v="773"/>
    <d v="2011-02-04T00:00:00"/>
    <s v="winter"/>
    <s v="FEBRUARY"/>
    <n v="15"/>
    <x v="0"/>
    <x v="6"/>
    <x v="1"/>
    <n v="11.48"/>
    <n v="0.48"/>
    <n v="0.25369999999999998"/>
    <n v="9"/>
    <n v="81"/>
    <n v="90"/>
  </r>
  <r>
    <n v="774"/>
    <d v="2011-02-04T00:00:00"/>
    <s v="winter"/>
    <s v="FEBRUARY"/>
    <n v="16"/>
    <x v="0"/>
    <x v="6"/>
    <x v="1"/>
    <n v="12.299999999999999"/>
    <n v="0.42"/>
    <n v="0.22389999999999999"/>
    <n v="8"/>
    <n v="91"/>
    <n v="99"/>
  </r>
  <r>
    <n v="775"/>
    <d v="2011-02-04T00:00:00"/>
    <s v="winter"/>
    <s v="FEBRUARY"/>
    <n v="17"/>
    <x v="0"/>
    <x v="6"/>
    <x v="1"/>
    <n v="10.66"/>
    <n v="0.56000000000000005"/>
    <n v="0.1343"/>
    <n v="10"/>
    <n v="195"/>
    <n v="205"/>
  </r>
  <r>
    <n v="776"/>
    <d v="2011-02-04T00:00:00"/>
    <s v="winter"/>
    <s v="FEBRUARY"/>
    <n v="18"/>
    <x v="0"/>
    <x v="6"/>
    <x v="1"/>
    <n v="9.84"/>
    <n v="0.6"/>
    <n v="0.1045"/>
    <n v="3"/>
    <n v="152"/>
    <n v="155"/>
  </r>
  <r>
    <n v="777"/>
    <d v="2011-02-04T00:00:00"/>
    <s v="winter"/>
    <s v="FEBRUARY"/>
    <n v="19"/>
    <x v="0"/>
    <x v="6"/>
    <x v="1"/>
    <n v="9.84"/>
    <n v="0.65"/>
    <n v="0.1343"/>
    <n v="1"/>
    <n v="102"/>
    <n v="103"/>
  </r>
  <r>
    <n v="778"/>
    <d v="2011-02-04T00:00:00"/>
    <s v="winter"/>
    <s v="FEBRUARY"/>
    <n v="20"/>
    <x v="0"/>
    <x v="6"/>
    <x v="1"/>
    <n v="9.84"/>
    <n v="0.65"/>
    <n v="0.16420000000000001"/>
    <n v="2"/>
    <n v="69"/>
    <n v="71"/>
  </r>
  <r>
    <n v="779"/>
    <d v="2011-02-04T00:00:00"/>
    <s v="winter"/>
    <s v="FEBRUARY"/>
    <n v="21"/>
    <x v="0"/>
    <x v="6"/>
    <x v="1"/>
    <n v="9.84"/>
    <n v="0.7"/>
    <n v="0.16420000000000001"/>
    <n v="2"/>
    <n v="41"/>
    <n v="43"/>
  </r>
  <r>
    <n v="780"/>
    <d v="2011-02-04T00:00:00"/>
    <s v="winter"/>
    <s v="FEBRUARY"/>
    <n v="22"/>
    <x v="0"/>
    <x v="6"/>
    <x v="1"/>
    <n v="9.84"/>
    <n v="0.65"/>
    <n v="0.16420000000000001"/>
    <n v="1"/>
    <n v="45"/>
    <n v="46"/>
  </r>
  <r>
    <n v="781"/>
    <d v="2011-02-04T00:00:00"/>
    <s v="winter"/>
    <s v="FEBRUARY"/>
    <n v="23"/>
    <x v="0"/>
    <x v="6"/>
    <x v="1"/>
    <n v="9.84"/>
    <n v="0.7"/>
    <n v="0.1343"/>
    <n v="1"/>
    <n v="30"/>
    <n v="31"/>
  </r>
  <r>
    <n v="782"/>
    <d v="2011-02-05T00:00:00"/>
    <s v="winter"/>
    <s v="FEBRUARY"/>
    <n v="0"/>
    <x v="0"/>
    <x v="0"/>
    <x v="1"/>
    <n v="9.84"/>
    <n v="0.7"/>
    <n v="0.16420000000000001"/>
    <n v="3"/>
    <n v="36"/>
    <n v="39"/>
  </r>
  <r>
    <n v="783"/>
    <d v="2011-02-05T00:00:00"/>
    <s v="winter"/>
    <s v="FEBRUARY"/>
    <n v="1"/>
    <x v="0"/>
    <x v="0"/>
    <x v="1"/>
    <n v="9.84"/>
    <n v="0.65"/>
    <n v="0.16420000000000001"/>
    <n v="1"/>
    <n v="17"/>
    <n v="18"/>
  </r>
  <r>
    <n v="784"/>
    <d v="2011-02-05T00:00:00"/>
    <s v="winter"/>
    <s v="FEBRUARY"/>
    <n v="2"/>
    <x v="0"/>
    <x v="0"/>
    <x v="1"/>
    <n v="9.84"/>
    <n v="0.75"/>
    <n v="0.16420000000000001"/>
    <n v="5"/>
    <n v="12"/>
    <n v="17"/>
  </r>
  <r>
    <n v="785"/>
    <d v="2011-02-05T00:00:00"/>
    <s v="winter"/>
    <s v="FEBRUARY"/>
    <n v="3"/>
    <x v="0"/>
    <x v="0"/>
    <x v="1"/>
    <n v="9.84"/>
    <n v="0.75"/>
    <n v="0.16420000000000001"/>
    <n v="1"/>
    <n v="10"/>
    <n v="11"/>
  </r>
  <r>
    <n v="786"/>
    <d v="2011-02-05T00:00:00"/>
    <s v="winter"/>
    <s v="FEBRUARY"/>
    <n v="4"/>
    <x v="0"/>
    <x v="0"/>
    <x v="2"/>
    <n v="9.02"/>
    <n v="0.93"/>
    <n v="0.1343"/>
    <n v="0"/>
    <n v="8"/>
    <n v="8"/>
  </r>
  <r>
    <n v="787"/>
    <d v="2011-02-05T00:00:00"/>
    <s v="winter"/>
    <s v="FEBRUARY"/>
    <n v="5"/>
    <x v="0"/>
    <x v="0"/>
    <x v="2"/>
    <n v="8.2000000000000011"/>
    <n v="1"/>
    <n v="8.9599999999999999E-2"/>
    <n v="0"/>
    <n v="9"/>
    <n v="9"/>
  </r>
  <r>
    <n v="788"/>
    <d v="2011-02-05T00:00:00"/>
    <s v="winter"/>
    <s v="FEBRUARY"/>
    <n v="6"/>
    <x v="0"/>
    <x v="0"/>
    <x v="2"/>
    <n v="8.2000000000000011"/>
    <n v="1"/>
    <n v="0"/>
    <n v="0"/>
    <n v="4"/>
    <n v="4"/>
  </r>
  <r>
    <n v="789"/>
    <d v="2011-02-05T00:00:00"/>
    <s v="winter"/>
    <s v="FEBRUARY"/>
    <n v="7"/>
    <x v="0"/>
    <x v="0"/>
    <x v="2"/>
    <n v="9.02"/>
    <n v="0.93"/>
    <n v="8.9599999999999999E-2"/>
    <n v="0"/>
    <n v="4"/>
    <n v="4"/>
  </r>
  <r>
    <n v="790"/>
    <d v="2011-02-05T00:00:00"/>
    <s v="winter"/>
    <s v="FEBRUARY"/>
    <n v="8"/>
    <x v="0"/>
    <x v="0"/>
    <x v="2"/>
    <n v="8.2000000000000011"/>
    <n v="1"/>
    <n v="8.9599999999999999E-2"/>
    <n v="0"/>
    <n v="10"/>
    <n v="10"/>
  </r>
  <r>
    <n v="791"/>
    <d v="2011-02-05T00:00:00"/>
    <s v="winter"/>
    <s v="FEBRUARY"/>
    <n v="9"/>
    <x v="0"/>
    <x v="0"/>
    <x v="2"/>
    <n v="8.2000000000000011"/>
    <n v="1"/>
    <n v="8.9599999999999999E-2"/>
    <n v="3"/>
    <n v="17"/>
    <n v="20"/>
  </r>
  <r>
    <n v="792"/>
    <d v="2011-02-05T00:00:00"/>
    <s v="winter"/>
    <s v="FEBRUARY"/>
    <n v="10"/>
    <x v="0"/>
    <x v="0"/>
    <x v="2"/>
    <n v="8.2000000000000011"/>
    <n v="1"/>
    <n v="0.1343"/>
    <n v="3"/>
    <n v="31"/>
    <n v="34"/>
  </r>
  <r>
    <n v="793"/>
    <d v="2011-02-05T00:00:00"/>
    <s v="winter"/>
    <s v="FEBRUARY"/>
    <n v="11"/>
    <x v="0"/>
    <x v="0"/>
    <x v="2"/>
    <n v="9.02"/>
    <n v="1"/>
    <n v="0.1343"/>
    <n v="1"/>
    <n v="46"/>
    <n v="47"/>
  </r>
  <r>
    <n v="794"/>
    <d v="2011-02-05T00:00:00"/>
    <s v="winter"/>
    <s v="FEBRUARY"/>
    <n v="12"/>
    <x v="0"/>
    <x v="0"/>
    <x v="2"/>
    <n v="9.02"/>
    <n v="1"/>
    <n v="0.16420000000000001"/>
    <n v="10"/>
    <n v="42"/>
    <n v="52"/>
  </r>
  <r>
    <n v="795"/>
    <d v="2011-02-05T00:00:00"/>
    <s v="winter"/>
    <s v="FEBRUARY"/>
    <n v="13"/>
    <x v="0"/>
    <x v="0"/>
    <x v="2"/>
    <n v="9.02"/>
    <n v="1"/>
    <n v="0.16420000000000001"/>
    <n v="10"/>
    <n v="62"/>
    <n v="72"/>
  </r>
  <r>
    <n v="796"/>
    <d v="2011-02-05T00:00:00"/>
    <s v="winter"/>
    <s v="FEBRUARY"/>
    <n v="14"/>
    <x v="0"/>
    <x v="0"/>
    <x v="2"/>
    <n v="9.02"/>
    <n v="1"/>
    <n v="0"/>
    <n v="5"/>
    <n v="50"/>
    <n v="55"/>
  </r>
  <r>
    <n v="797"/>
    <d v="2011-02-05T00:00:00"/>
    <s v="winter"/>
    <s v="FEBRUARY"/>
    <n v="15"/>
    <x v="0"/>
    <x v="0"/>
    <x v="2"/>
    <n v="9.02"/>
    <n v="1"/>
    <n v="0"/>
    <n v="11"/>
    <n v="49"/>
    <n v="60"/>
  </r>
  <r>
    <n v="798"/>
    <d v="2011-02-05T00:00:00"/>
    <s v="winter"/>
    <s v="FEBRUARY"/>
    <n v="16"/>
    <x v="0"/>
    <x v="0"/>
    <x v="2"/>
    <n v="9.02"/>
    <n v="1"/>
    <n v="0.1343"/>
    <n v="8"/>
    <n v="63"/>
    <n v="71"/>
  </r>
  <r>
    <n v="799"/>
    <d v="2011-02-05T00:00:00"/>
    <s v="winter"/>
    <s v="FEBRUARY"/>
    <n v="17"/>
    <x v="0"/>
    <x v="0"/>
    <x v="1"/>
    <n v="9.84"/>
    <n v="1"/>
    <n v="0.28360000000000002"/>
    <n v="14"/>
    <n v="64"/>
    <n v="78"/>
  </r>
  <r>
    <n v="800"/>
    <d v="2011-02-05T00:00:00"/>
    <s v="winter"/>
    <s v="FEBRUARY"/>
    <n v="18"/>
    <x v="0"/>
    <x v="0"/>
    <x v="1"/>
    <n v="11.48"/>
    <n v="0.93"/>
    <n v="0.44779999999999998"/>
    <n v="2"/>
    <n v="81"/>
    <n v="83"/>
  </r>
  <r>
    <n v="801"/>
    <d v="2011-02-05T00:00:00"/>
    <s v="winter"/>
    <s v="FEBRUARY"/>
    <n v="19"/>
    <x v="0"/>
    <x v="0"/>
    <x v="1"/>
    <n v="11.48"/>
    <n v="0.93"/>
    <n v="0.44779999999999998"/>
    <n v="6"/>
    <n v="78"/>
    <n v="84"/>
  </r>
  <r>
    <n v="802"/>
    <d v="2011-02-05T00:00:00"/>
    <s v="winter"/>
    <s v="FEBRUARY"/>
    <n v="20"/>
    <x v="0"/>
    <x v="0"/>
    <x v="0"/>
    <n v="12.299999999999999"/>
    <n v="0.87"/>
    <n v="0.25369999999999998"/>
    <n v="5"/>
    <n v="64"/>
    <n v="69"/>
  </r>
  <r>
    <n v="803"/>
    <d v="2011-02-05T00:00:00"/>
    <s v="winter"/>
    <s v="FEBRUARY"/>
    <n v="21"/>
    <x v="0"/>
    <x v="0"/>
    <x v="0"/>
    <n v="10.66"/>
    <n v="1"/>
    <n v="0.19400000000000001"/>
    <n v="3"/>
    <n v="53"/>
    <n v="56"/>
  </r>
  <r>
    <n v="804"/>
    <d v="2011-02-05T00:00:00"/>
    <s v="winter"/>
    <s v="FEBRUARY"/>
    <n v="22"/>
    <x v="0"/>
    <x v="0"/>
    <x v="0"/>
    <n v="10.66"/>
    <n v="0.93"/>
    <n v="0.1343"/>
    <n v="2"/>
    <n v="43"/>
    <n v="45"/>
  </r>
  <r>
    <n v="805"/>
    <d v="2011-02-05T00:00:00"/>
    <s v="winter"/>
    <s v="FEBRUARY"/>
    <n v="23"/>
    <x v="0"/>
    <x v="0"/>
    <x v="0"/>
    <n v="10.66"/>
    <n v="0.93"/>
    <n v="0.22389999999999999"/>
    <n v="7"/>
    <n v="52"/>
    <n v="59"/>
  </r>
  <r>
    <n v="806"/>
    <d v="2011-02-06T00:00:00"/>
    <s v="winter"/>
    <s v="FEBRUARY"/>
    <n v="0"/>
    <x v="0"/>
    <x v="1"/>
    <x v="0"/>
    <n v="10.66"/>
    <n v="0.7"/>
    <n v="0.19400000000000001"/>
    <n v="2"/>
    <n v="37"/>
    <n v="39"/>
  </r>
  <r>
    <n v="807"/>
    <d v="2011-02-06T00:00:00"/>
    <s v="winter"/>
    <s v="FEBRUARY"/>
    <n v="1"/>
    <x v="0"/>
    <x v="1"/>
    <x v="0"/>
    <n v="10.66"/>
    <n v="0.65"/>
    <n v="0.41789999999999999"/>
    <n v="4"/>
    <n v="40"/>
    <n v="44"/>
  </r>
  <r>
    <n v="808"/>
    <d v="2011-02-06T00:00:00"/>
    <s v="winter"/>
    <s v="FEBRUARY"/>
    <n v="2"/>
    <x v="0"/>
    <x v="1"/>
    <x v="0"/>
    <n v="10.66"/>
    <n v="0.6"/>
    <n v="0.32840000000000003"/>
    <n v="0"/>
    <n v="20"/>
    <n v="20"/>
  </r>
  <r>
    <n v="809"/>
    <d v="2011-02-06T00:00:00"/>
    <s v="winter"/>
    <s v="FEBRUARY"/>
    <n v="3"/>
    <x v="0"/>
    <x v="1"/>
    <x v="0"/>
    <n v="10.66"/>
    <n v="0.6"/>
    <n v="8.9599999999999999E-2"/>
    <n v="3"/>
    <n v="10"/>
    <n v="13"/>
  </r>
  <r>
    <n v="810"/>
    <d v="2011-02-06T00:00:00"/>
    <s v="winter"/>
    <s v="FEBRUARY"/>
    <n v="4"/>
    <x v="0"/>
    <x v="1"/>
    <x v="0"/>
    <n v="10.66"/>
    <n v="0.6"/>
    <n v="0.35820000000000002"/>
    <n v="0"/>
    <n v="2"/>
    <n v="2"/>
  </r>
  <r>
    <n v="811"/>
    <d v="2011-02-06T00:00:00"/>
    <s v="winter"/>
    <s v="FEBRUARY"/>
    <n v="5"/>
    <x v="0"/>
    <x v="1"/>
    <x v="0"/>
    <n v="10.66"/>
    <n v="0.6"/>
    <n v="0.22389999999999999"/>
    <n v="0"/>
    <n v="1"/>
    <n v="1"/>
  </r>
  <r>
    <n v="812"/>
    <d v="2011-02-06T00:00:00"/>
    <s v="winter"/>
    <s v="FEBRUARY"/>
    <n v="6"/>
    <x v="0"/>
    <x v="1"/>
    <x v="0"/>
    <n v="10.66"/>
    <n v="0.6"/>
    <n v="0.22389999999999999"/>
    <n v="0"/>
    <n v="1"/>
    <n v="1"/>
  </r>
  <r>
    <n v="813"/>
    <d v="2011-02-06T00:00:00"/>
    <s v="winter"/>
    <s v="FEBRUARY"/>
    <n v="7"/>
    <x v="0"/>
    <x v="1"/>
    <x v="0"/>
    <n v="9.84"/>
    <n v="0.65"/>
    <n v="0.16420000000000001"/>
    <n v="0"/>
    <n v="8"/>
    <n v="8"/>
  </r>
  <r>
    <n v="814"/>
    <d v="2011-02-06T00:00:00"/>
    <s v="winter"/>
    <s v="FEBRUARY"/>
    <n v="8"/>
    <x v="0"/>
    <x v="1"/>
    <x v="0"/>
    <n v="9.84"/>
    <n v="0.65"/>
    <n v="0.1045"/>
    <n v="2"/>
    <n v="21"/>
    <n v="23"/>
  </r>
  <r>
    <n v="815"/>
    <d v="2011-02-06T00:00:00"/>
    <s v="winter"/>
    <s v="FEBRUARY"/>
    <n v="9"/>
    <x v="0"/>
    <x v="1"/>
    <x v="0"/>
    <n v="11.48"/>
    <n v="0.56000000000000005"/>
    <n v="0.1045"/>
    <n v="7"/>
    <n v="38"/>
    <n v="45"/>
  </r>
  <r>
    <n v="816"/>
    <d v="2011-02-06T00:00:00"/>
    <s v="winter"/>
    <s v="FEBRUARY"/>
    <n v="10"/>
    <x v="0"/>
    <x v="1"/>
    <x v="0"/>
    <n v="12.299999999999999"/>
    <n v="0.52"/>
    <n v="0.25369999999999998"/>
    <n v="15"/>
    <n v="74"/>
    <n v="89"/>
  </r>
  <r>
    <n v="817"/>
    <d v="2011-02-06T00:00:00"/>
    <s v="winter"/>
    <s v="FEBRUARY"/>
    <n v="11"/>
    <x v="0"/>
    <x v="1"/>
    <x v="0"/>
    <n v="13.120000000000001"/>
    <n v="0.49"/>
    <n v="0.25369999999999998"/>
    <n v="28"/>
    <n v="89"/>
    <n v="117"/>
  </r>
  <r>
    <n v="818"/>
    <d v="2011-02-06T00:00:00"/>
    <s v="winter"/>
    <s v="FEBRUARY"/>
    <n v="12"/>
    <x v="0"/>
    <x v="1"/>
    <x v="0"/>
    <n v="13.940000000000001"/>
    <n v="0.46"/>
    <n v="0"/>
    <n v="48"/>
    <n v="126"/>
    <n v="174"/>
  </r>
  <r>
    <n v="819"/>
    <d v="2011-02-06T00:00:00"/>
    <s v="winter"/>
    <s v="FEBRUARY"/>
    <n v="13"/>
    <x v="0"/>
    <x v="1"/>
    <x v="0"/>
    <n v="13.940000000000001"/>
    <n v="0.46"/>
    <n v="0"/>
    <n v="47"/>
    <n v="135"/>
    <n v="182"/>
  </r>
  <r>
    <n v="820"/>
    <d v="2011-02-06T00:00:00"/>
    <s v="winter"/>
    <s v="FEBRUARY"/>
    <n v="14"/>
    <x v="0"/>
    <x v="1"/>
    <x v="0"/>
    <n v="13.940000000000001"/>
    <n v="0.46"/>
    <n v="8.9599999999999999E-2"/>
    <n v="47"/>
    <n v="114"/>
    <n v="161"/>
  </r>
  <r>
    <n v="821"/>
    <d v="2011-02-06T00:00:00"/>
    <s v="winter"/>
    <s v="FEBRUARY"/>
    <n v="15"/>
    <x v="0"/>
    <x v="1"/>
    <x v="0"/>
    <n v="13.940000000000001"/>
    <n v="0.46"/>
    <n v="8.9599999999999999E-2"/>
    <n v="52"/>
    <n v="130"/>
    <n v="182"/>
  </r>
  <r>
    <n v="822"/>
    <d v="2011-02-06T00:00:00"/>
    <s v="winter"/>
    <s v="FEBRUARY"/>
    <n v="16"/>
    <x v="0"/>
    <x v="1"/>
    <x v="0"/>
    <n v="13.940000000000001"/>
    <n v="0.49"/>
    <n v="0.1045"/>
    <n v="42"/>
    <n v="115"/>
    <n v="157"/>
  </r>
  <r>
    <n v="823"/>
    <d v="2011-02-06T00:00:00"/>
    <s v="winter"/>
    <s v="FEBRUARY"/>
    <n v="17"/>
    <x v="0"/>
    <x v="1"/>
    <x v="0"/>
    <n v="13.940000000000001"/>
    <n v="0.46"/>
    <n v="0"/>
    <n v="24"/>
    <n v="97"/>
    <n v="121"/>
  </r>
  <r>
    <n v="824"/>
    <d v="2011-02-06T00:00:00"/>
    <s v="winter"/>
    <s v="FEBRUARY"/>
    <n v="18"/>
    <x v="0"/>
    <x v="1"/>
    <x v="0"/>
    <n v="12.299999999999999"/>
    <n v="0.56000000000000005"/>
    <n v="0.16420000000000001"/>
    <n v="13"/>
    <n v="65"/>
    <n v="78"/>
  </r>
  <r>
    <n v="825"/>
    <d v="2011-02-06T00:00:00"/>
    <s v="winter"/>
    <s v="FEBRUARY"/>
    <n v="19"/>
    <x v="0"/>
    <x v="1"/>
    <x v="0"/>
    <n v="11.48"/>
    <n v="0.61"/>
    <n v="0.1343"/>
    <n v="1"/>
    <n v="20"/>
    <n v="21"/>
  </r>
  <r>
    <n v="826"/>
    <d v="2011-02-06T00:00:00"/>
    <s v="winter"/>
    <s v="FEBRUARY"/>
    <n v="20"/>
    <x v="0"/>
    <x v="1"/>
    <x v="0"/>
    <n v="11.48"/>
    <n v="0.61"/>
    <n v="0.1045"/>
    <n v="5"/>
    <n v="21"/>
    <n v="26"/>
  </r>
  <r>
    <n v="827"/>
    <d v="2011-02-06T00:00:00"/>
    <s v="winter"/>
    <s v="FEBRUARY"/>
    <n v="21"/>
    <x v="0"/>
    <x v="1"/>
    <x v="0"/>
    <n v="10.66"/>
    <n v="0.6"/>
    <n v="0"/>
    <n v="5"/>
    <n v="22"/>
    <n v="27"/>
  </r>
  <r>
    <n v="828"/>
    <d v="2011-02-06T00:00:00"/>
    <s v="winter"/>
    <s v="FEBRUARY"/>
    <n v="22"/>
    <x v="0"/>
    <x v="1"/>
    <x v="0"/>
    <n v="10.66"/>
    <n v="0.6"/>
    <n v="0"/>
    <n v="5"/>
    <n v="57"/>
    <n v="62"/>
  </r>
  <r>
    <n v="829"/>
    <d v="2011-02-06T00:00:00"/>
    <s v="winter"/>
    <s v="FEBRUARY"/>
    <n v="23"/>
    <x v="0"/>
    <x v="1"/>
    <x v="0"/>
    <n v="9.84"/>
    <n v="0.65"/>
    <n v="0"/>
    <n v="4"/>
    <n v="26"/>
    <n v="30"/>
  </r>
  <r>
    <n v="830"/>
    <d v="2011-02-07T00:00:00"/>
    <s v="winter"/>
    <s v="FEBRUARY"/>
    <n v="0"/>
    <x v="0"/>
    <x v="2"/>
    <x v="0"/>
    <n v="9.84"/>
    <n v="0.65"/>
    <n v="0"/>
    <n v="1"/>
    <n v="14"/>
    <n v="15"/>
  </r>
  <r>
    <n v="831"/>
    <d v="2011-02-07T00:00:00"/>
    <s v="winter"/>
    <s v="FEBRUARY"/>
    <n v="1"/>
    <x v="0"/>
    <x v="2"/>
    <x v="0"/>
    <n v="9.02"/>
    <n v="0.75"/>
    <n v="0"/>
    <n v="1"/>
    <n v="4"/>
    <n v="5"/>
  </r>
  <r>
    <n v="832"/>
    <d v="2011-02-07T00:00:00"/>
    <s v="winter"/>
    <s v="FEBRUARY"/>
    <n v="2"/>
    <x v="0"/>
    <x v="2"/>
    <x v="0"/>
    <n v="8.2000000000000011"/>
    <n v="0.8"/>
    <n v="0"/>
    <n v="0"/>
    <n v="3"/>
    <n v="3"/>
  </r>
  <r>
    <n v="833"/>
    <d v="2011-02-07T00:00:00"/>
    <s v="winter"/>
    <s v="FEBRUARY"/>
    <n v="3"/>
    <x v="0"/>
    <x v="2"/>
    <x v="0"/>
    <n v="8.2000000000000011"/>
    <n v="0.86"/>
    <n v="0"/>
    <n v="0"/>
    <n v="1"/>
    <n v="1"/>
  </r>
  <r>
    <n v="834"/>
    <d v="2011-02-07T00:00:00"/>
    <s v="winter"/>
    <s v="FEBRUARY"/>
    <n v="4"/>
    <x v="0"/>
    <x v="2"/>
    <x v="0"/>
    <n v="8.2000000000000011"/>
    <n v="0.86"/>
    <n v="0"/>
    <n v="1"/>
    <n v="1"/>
    <n v="2"/>
  </r>
  <r>
    <n v="835"/>
    <d v="2011-02-07T00:00:00"/>
    <s v="winter"/>
    <s v="FEBRUARY"/>
    <n v="5"/>
    <x v="0"/>
    <x v="2"/>
    <x v="0"/>
    <n v="8.2000000000000011"/>
    <n v="0.86"/>
    <n v="0"/>
    <n v="1"/>
    <n v="9"/>
    <n v="10"/>
  </r>
  <r>
    <n v="836"/>
    <d v="2011-02-07T00:00:00"/>
    <s v="winter"/>
    <s v="FEBRUARY"/>
    <n v="6"/>
    <x v="0"/>
    <x v="2"/>
    <x v="0"/>
    <n v="7.38"/>
    <n v="0.93"/>
    <n v="0"/>
    <n v="1"/>
    <n v="29"/>
    <n v="30"/>
  </r>
  <r>
    <n v="837"/>
    <d v="2011-02-07T00:00:00"/>
    <s v="winter"/>
    <s v="FEBRUARY"/>
    <n v="7"/>
    <x v="0"/>
    <x v="2"/>
    <x v="0"/>
    <n v="7.38"/>
    <n v="0.86"/>
    <n v="0"/>
    <n v="6"/>
    <n v="89"/>
    <n v="95"/>
  </r>
  <r>
    <n v="838"/>
    <d v="2011-02-07T00:00:00"/>
    <s v="winter"/>
    <s v="FEBRUARY"/>
    <n v="8"/>
    <x v="0"/>
    <x v="2"/>
    <x v="1"/>
    <n v="6.5600000000000005"/>
    <n v="1"/>
    <n v="0"/>
    <n v="7"/>
    <n v="223"/>
    <n v="230"/>
  </r>
  <r>
    <n v="839"/>
    <d v="2011-02-07T00:00:00"/>
    <s v="winter"/>
    <s v="FEBRUARY"/>
    <n v="9"/>
    <x v="0"/>
    <x v="2"/>
    <x v="0"/>
    <n v="9.02"/>
    <n v="0.8"/>
    <n v="0"/>
    <n v="3"/>
    <n v="115"/>
    <n v="118"/>
  </r>
  <r>
    <n v="840"/>
    <d v="2011-02-07T00:00:00"/>
    <s v="winter"/>
    <s v="FEBRUARY"/>
    <n v="10"/>
    <x v="0"/>
    <x v="2"/>
    <x v="0"/>
    <n v="9.84"/>
    <n v="0.75"/>
    <n v="0.1045"/>
    <n v="6"/>
    <n v="49"/>
    <n v="55"/>
  </r>
  <r>
    <n v="841"/>
    <d v="2011-02-07T00:00:00"/>
    <s v="winter"/>
    <s v="FEBRUARY"/>
    <n v="11"/>
    <x v="0"/>
    <x v="2"/>
    <x v="0"/>
    <n v="12.299999999999999"/>
    <n v="0.65"/>
    <n v="8.9599999999999999E-2"/>
    <n v="11"/>
    <n v="36"/>
    <n v="47"/>
  </r>
  <r>
    <n v="842"/>
    <d v="2011-02-07T00:00:00"/>
    <s v="winter"/>
    <s v="FEBRUARY"/>
    <n v="12"/>
    <x v="0"/>
    <x v="2"/>
    <x v="1"/>
    <n v="13.120000000000001"/>
    <n v="0.62"/>
    <n v="0"/>
    <n v="7"/>
    <n v="59"/>
    <n v="66"/>
  </r>
  <r>
    <n v="843"/>
    <d v="2011-02-07T00:00:00"/>
    <s v="winter"/>
    <s v="FEBRUARY"/>
    <n v="13"/>
    <x v="0"/>
    <x v="2"/>
    <x v="1"/>
    <n v="14.76"/>
    <n v="0.56999999999999995"/>
    <n v="8.9599999999999999E-2"/>
    <n v="10"/>
    <n v="54"/>
    <n v="64"/>
  </r>
  <r>
    <n v="844"/>
    <d v="2011-02-07T00:00:00"/>
    <s v="winter"/>
    <s v="FEBRUARY"/>
    <n v="14"/>
    <x v="0"/>
    <x v="2"/>
    <x v="1"/>
    <n v="14.76"/>
    <n v="0.56999999999999995"/>
    <n v="8.9599999999999999E-2"/>
    <n v="8"/>
    <n v="52"/>
    <n v="60"/>
  </r>
  <r>
    <n v="845"/>
    <d v="2011-02-07T00:00:00"/>
    <s v="winter"/>
    <s v="FEBRUARY"/>
    <n v="15"/>
    <x v="0"/>
    <x v="2"/>
    <x v="1"/>
    <n v="15.58"/>
    <n v="0.54"/>
    <n v="8.9599999999999999E-2"/>
    <n v="4"/>
    <n v="46"/>
    <n v="50"/>
  </r>
  <r>
    <n v="846"/>
    <d v="2011-02-07T00:00:00"/>
    <s v="winter"/>
    <s v="FEBRUARY"/>
    <n v="16"/>
    <x v="0"/>
    <x v="2"/>
    <x v="1"/>
    <n v="14.76"/>
    <n v="0.56999999999999995"/>
    <n v="0.1343"/>
    <n v="16"/>
    <n v="98"/>
    <n v="114"/>
  </r>
  <r>
    <n v="847"/>
    <d v="2011-02-07T00:00:00"/>
    <s v="winter"/>
    <s v="FEBRUARY"/>
    <n v="17"/>
    <x v="0"/>
    <x v="2"/>
    <x v="1"/>
    <n v="13.120000000000001"/>
    <n v="0.7"/>
    <n v="0.16420000000000001"/>
    <n v="9"/>
    <n v="207"/>
    <n v="216"/>
  </r>
  <r>
    <n v="848"/>
    <d v="2011-02-07T00:00:00"/>
    <s v="winter"/>
    <s v="FEBRUARY"/>
    <n v="18"/>
    <x v="0"/>
    <x v="2"/>
    <x v="1"/>
    <n v="13.940000000000001"/>
    <n v="0.66"/>
    <n v="0.1343"/>
    <n v="5"/>
    <n v="170"/>
    <n v="175"/>
  </r>
  <r>
    <n v="849"/>
    <d v="2011-02-07T00:00:00"/>
    <s v="winter"/>
    <s v="FEBRUARY"/>
    <n v="19"/>
    <x v="0"/>
    <x v="2"/>
    <x v="1"/>
    <n v="13.120000000000001"/>
    <n v="0.7"/>
    <n v="0"/>
    <n v="5"/>
    <n v="123"/>
    <n v="128"/>
  </r>
  <r>
    <n v="850"/>
    <d v="2011-02-07T00:00:00"/>
    <s v="winter"/>
    <s v="FEBRUARY"/>
    <n v="20"/>
    <x v="0"/>
    <x v="2"/>
    <x v="1"/>
    <n v="13.120000000000001"/>
    <n v="0.7"/>
    <n v="0.1045"/>
    <n v="6"/>
    <n v="82"/>
    <n v="88"/>
  </r>
  <r>
    <n v="851"/>
    <d v="2011-02-07T00:00:00"/>
    <s v="winter"/>
    <s v="FEBRUARY"/>
    <n v="21"/>
    <x v="0"/>
    <x v="2"/>
    <x v="0"/>
    <n v="13.120000000000001"/>
    <n v="0.7"/>
    <n v="0"/>
    <n v="3"/>
    <n v="75"/>
    <n v="78"/>
  </r>
  <r>
    <n v="852"/>
    <d v="2011-02-07T00:00:00"/>
    <s v="winter"/>
    <s v="FEBRUARY"/>
    <n v="22"/>
    <x v="0"/>
    <x v="2"/>
    <x v="0"/>
    <n v="11.48"/>
    <n v="0.81"/>
    <n v="8.9599999999999999E-2"/>
    <n v="3"/>
    <n v="34"/>
    <n v="37"/>
  </r>
  <r>
    <n v="853"/>
    <d v="2011-02-07T00:00:00"/>
    <s v="winter"/>
    <s v="FEBRUARY"/>
    <n v="23"/>
    <x v="0"/>
    <x v="2"/>
    <x v="1"/>
    <n v="12.299999999999999"/>
    <n v="0.81"/>
    <n v="0"/>
    <n v="6"/>
    <n v="19"/>
    <n v="25"/>
  </r>
  <r>
    <n v="854"/>
    <d v="2011-02-08T00:00:00"/>
    <s v="winter"/>
    <s v="FEBRUARY"/>
    <n v="0"/>
    <x v="0"/>
    <x v="3"/>
    <x v="1"/>
    <n v="11.48"/>
    <n v="0.87"/>
    <n v="0"/>
    <n v="4"/>
    <n v="6"/>
    <n v="10"/>
  </r>
  <r>
    <n v="855"/>
    <d v="2011-02-08T00:00:00"/>
    <s v="winter"/>
    <s v="FEBRUARY"/>
    <n v="1"/>
    <x v="0"/>
    <x v="3"/>
    <x v="1"/>
    <n v="11.48"/>
    <n v="0.87"/>
    <n v="0"/>
    <n v="0"/>
    <n v="4"/>
    <n v="4"/>
  </r>
  <r>
    <n v="856"/>
    <d v="2011-02-08T00:00:00"/>
    <s v="winter"/>
    <s v="FEBRUARY"/>
    <n v="2"/>
    <x v="0"/>
    <x v="3"/>
    <x v="1"/>
    <n v="10.66"/>
    <n v="0.93"/>
    <n v="0.1045"/>
    <n v="1"/>
    <n v="1"/>
    <n v="2"/>
  </r>
  <r>
    <n v="857"/>
    <d v="2011-02-08T00:00:00"/>
    <s v="winter"/>
    <s v="FEBRUARY"/>
    <n v="3"/>
    <x v="0"/>
    <x v="3"/>
    <x v="2"/>
    <n v="11.48"/>
    <n v="0.93"/>
    <n v="0.16420000000000001"/>
    <n v="0"/>
    <n v="1"/>
    <n v="1"/>
  </r>
  <r>
    <n v="858"/>
    <d v="2011-02-08T00:00:00"/>
    <s v="winter"/>
    <s v="FEBRUARY"/>
    <n v="4"/>
    <x v="0"/>
    <x v="3"/>
    <x v="0"/>
    <n v="10.66"/>
    <n v="0.93"/>
    <n v="0.16420000000000001"/>
    <n v="0"/>
    <n v="3"/>
    <n v="3"/>
  </r>
  <r>
    <n v="859"/>
    <d v="2011-02-08T00:00:00"/>
    <s v="winter"/>
    <s v="FEBRUARY"/>
    <n v="5"/>
    <x v="0"/>
    <x v="3"/>
    <x v="0"/>
    <n v="10.66"/>
    <n v="0.81"/>
    <n v="0.32840000000000003"/>
    <n v="0"/>
    <n v="2"/>
    <n v="2"/>
  </r>
  <r>
    <n v="860"/>
    <d v="2011-02-08T00:00:00"/>
    <s v="winter"/>
    <s v="FEBRUARY"/>
    <n v="6"/>
    <x v="0"/>
    <x v="3"/>
    <x v="0"/>
    <n v="10.66"/>
    <n v="0.7"/>
    <n v="0.32840000000000003"/>
    <n v="0"/>
    <n v="39"/>
    <n v="39"/>
  </r>
  <r>
    <n v="861"/>
    <d v="2011-02-08T00:00:00"/>
    <s v="winter"/>
    <s v="FEBRUARY"/>
    <n v="7"/>
    <x v="0"/>
    <x v="3"/>
    <x v="0"/>
    <n v="9.84"/>
    <n v="0.65"/>
    <n v="0.41789999999999999"/>
    <n v="3"/>
    <n v="97"/>
    <n v="100"/>
  </r>
  <r>
    <n v="862"/>
    <d v="2011-02-08T00:00:00"/>
    <s v="winter"/>
    <s v="FEBRUARY"/>
    <n v="8"/>
    <x v="0"/>
    <x v="3"/>
    <x v="0"/>
    <n v="9.84"/>
    <n v="0.56000000000000005"/>
    <n v="0.49249999999999999"/>
    <n v="7"/>
    <n v="236"/>
    <n v="243"/>
  </r>
  <r>
    <n v="863"/>
    <d v="2011-02-08T00:00:00"/>
    <s v="winter"/>
    <s v="FEBRUARY"/>
    <n v="9"/>
    <x v="0"/>
    <x v="3"/>
    <x v="0"/>
    <n v="9.84"/>
    <n v="0.52"/>
    <n v="0.49249999999999999"/>
    <n v="7"/>
    <n v="128"/>
    <n v="135"/>
  </r>
  <r>
    <n v="864"/>
    <d v="2011-02-08T00:00:00"/>
    <s v="winter"/>
    <s v="FEBRUARY"/>
    <n v="10"/>
    <x v="0"/>
    <x v="3"/>
    <x v="0"/>
    <n v="9.02"/>
    <n v="0.47"/>
    <n v="0.55220000000000002"/>
    <n v="4"/>
    <n v="44"/>
    <n v="48"/>
  </r>
  <r>
    <n v="865"/>
    <d v="2011-02-08T00:00:00"/>
    <s v="winter"/>
    <s v="FEBRUARY"/>
    <n v="11"/>
    <x v="0"/>
    <x v="3"/>
    <x v="0"/>
    <n v="9.02"/>
    <n v="0.47"/>
    <n v="0.4627"/>
    <n v="1"/>
    <n v="49"/>
    <n v="50"/>
  </r>
  <r>
    <n v="866"/>
    <d v="2011-02-08T00:00:00"/>
    <s v="winter"/>
    <s v="FEBRUARY"/>
    <n v="12"/>
    <x v="0"/>
    <x v="3"/>
    <x v="0"/>
    <n v="9.84"/>
    <n v="0.38"/>
    <n v="0.49249999999999999"/>
    <n v="2"/>
    <n v="63"/>
    <n v="65"/>
  </r>
  <r>
    <n v="867"/>
    <d v="2011-02-08T00:00:00"/>
    <s v="winter"/>
    <s v="FEBRUARY"/>
    <n v="13"/>
    <x v="0"/>
    <x v="3"/>
    <x v="1"/>
    <n v="9.84"/>
    <n v="0.32"/>
    <n v="0.44779999999999998"/>
    <n v="2"/>
    <n v="48"/>
    <n v="50"/>
  </r>
  <r>
    <n v="868"/>
    <d v="2011-02-08T00:00:00"/>
    <s v="winter"/>
    <s v="FEBRUARY"/>
    <n v="14"/>
    <x v="0"/>
    <x v="3"/>
    <x v="0"/>
    <n v="9.02"/>
    <n v="0.37"/>
    <n v="0.41789999999999999"/>
    <n v="3"/>
    <n v="61"/>
    <n v="64"/>
  </r>
  <r>
    <n v="869"/>
    <d v="2011-02-08T00:00:00"/>
    <s v="winter"/>
    <s v="FEBRUARY"/>
    <n v="15"/>
    <x v="0"/>
    <x v="3"/>
    <x v="0"/>
    <n v="9.02"/>
    <n v="0.35"/>
    <n v="0.3881"/>
    <n v="6"/>
    <n v="45"/>
    <n v="51"/>
  </r>
  <r>
    <n v="870"/>
    <d v="2011-02-08T00:00:00"/>
    <s v="winter"/>
    <s v="FEBRUARY"/>
    <n v="16"/>
    <x v="0"/>
    <x v="3"/>
    <x v="0"/>
    <n v="9.02"/>
    <n v="0.35"/>
    <n v="0.52239999999999998"/>
    <n v="4"/>
    <n v="79"/>
    <n v="83"/>
  </r>
  <r>
    <n v="871"/>
    <d v="2011-02-08T00:00:00"/>
    <s v="winter"/>
    <s v="FEBRUARY"/>
    <n v="17"/>
    <x v="0"/>
    <x v="3"/>
    <x v="0"/>
    <n v="9.02"/>
    <n v="0.32"/>
    <n v="0.58209999999999995"/>
    <n v="4"/>
    <n v="172"/>
    <n v="176"/>
  </r>
  <r>
    <n v="872"/>
    <d v="2011-02-08T00:00:00"/>
    <s v="winter"/>
    <s v="FEBRUARY"/>
    <n v="18"/>
    <x v="0"/>
    <x v="3"/>
    <x v="0"/>
    <n v="8.2000000000000011"/>
    <n v="0.32"/>
    <n v="0.3881"/>
    <n v="1"/>
    <n v="151"/>
    <n v="152"/>
  </r>
  <r>
    <n v="873"/>
    <d v="2011-02-08T00:00:00"/>
    <s v="winter"/>
    <s v="FEBRUARY"/>
    <n v="19"/>
    <x v="0"/>
    <x v="3"/>
    <x v="0"/>
    <n v="6.5600000000000005"/>
    <n v="0.4"/>
    <n v="0.4627"/>
    <n v="1"/>
    <n v="100"/>
    <n v="101"/>
  </r>
  <r>
    <n v="874"/>
    <d v="2011-02-08T00:00:00"/>
    <s v="winter"/>
    <s v="FEBRUARY"/>
    <n v="20"/>
    <x v="0"/>
    <x v="3"/>
    <x v="0"/>
    <n v="6.5600000000000005"/>
    <n v="0.4"/>
    <n v="0.32840000000000003"/>
    <n v="3"/>
    <n v="53"/>
    <n v="56"/>
  </r>
  <r>
    <n v="875"/>
    <d v="2011-02-08T00:00:00"/>
    <s v="winter"/>
    <s v="FEBRUARY"/>
    <n v="21"/>
    <x v="0"/>
    <x v="3"/>
    <x v="0"/>
    <n v="5.74"/>
    <n v="0.33"/>
    <n v="0.4627"/>
    <n v="8"/>
    <n v="46"/>
    <n v="54"/>
  </r>
  <r>
    <n v="876"/>
    <d v="2011-02-08T00:00:00"/>
    <s v="winter"/>
    <s v="FEBRUARY"/>
    <n v="22"/>
    <x v="0"/>
    <x v="3"/>
    <x v="0"/>
    <n v="4.92"/>
    <n v="0.33"/>
    <n v="0.35820000000000002"/>
    <n v="0"/>
    <n v="29"/>
    <n v="29"/>
  </r>
  <r>
    <n v="877"/>
    <d v="2011-02-08T00:00:00"/>
    <s v="winter"/>
    <s v="FEBRUARY"/>
    <n v="23"/>
    <x v="0"/>
    <x v="3"/>
    <x v="0"/>
    <n v="4.92"/>
    <n v="0.33"/>
    <n v="0.32840000000000003"/>
    <n v="3"/>
    <n v="9"/>
    <n v="12"/>
  </r>
  <r>
    <n v="878"/>
    <d v="2011-02-09T00:00:00"/>
    <s v="winter"/>
    <s v="FEBRUARY"/>
    <n v="0"/>
    <x v="0"/>
    <x v="4"/>
    <x v="0"/>
    <n v="4.1000000000000005"/>
    <n v="0.36"/>
    <n v="0.35820000000000002"/>
    <n v="0"/>
    <n v="17"/>
    <n v="17"/>
  </r>
  <r>
    <n v="879"/>
    <d v="2011-02-09T00:00:00"/>
    <s v="winter"/>
    <s v="FEBRUARY"/>
    <n v="1"/>
    <x v="0"/>
    <x v="4"/>
    <x v="0"/>
    <n v="4.1000000000000005"/>
    <n v="0.36"/>
    <n v="0.22389999999999999"/>
    <n v="0"/>
    <n v="7"/>
    <n v="7"/>
  </r>
  <r>
    <n v="880"/>
    <d v="2011-02-09T00:00:00"/>
    <s v="winter"/>
    <s v="FEBRUARY"/>
    <n v="2"/>
    <x v="0"/>
    <x v="4"/>
    <x v="0"/>
    <n v="3.2800000000000002"/>
    <n v="0.38"/>
    <n v="0.28360000000000002"/>
    <n v="1"/>
    <n v="2"/>
    <n v="3"/>
  </r>
  <r>
    <n v="881"/>
    <d v="2011-02-09T00:00:00"/>
    <s v="winter"/>
    <s v="FEBRUARY"/>
    <n v="3"/>
    <x v="0"/>
    <x v="4"/>
    <x v="0"/>
    <n v="2.46"/>
    <n v="0.45"/>
    <n v="0.1343"/>
    <n v="0"/>
    <n v="2"/>
    <n v="2"/>
  </r>
  <r>
    <n v="882"/>
    <d v="2011-02-09T00:00:00"/>
    <s v="winter"/>
    <s v="FEBRUARY"/>
    <n v="5"/>
    <x v="0"/>
    <x v="4"/>
    <x v="0"/>
    <n v="2.46"/>
    <n v="0.45"/>
    <n v="0.1045"/>
    <n v="0"/>
    <n v="7"/>
    <n v="7"/>
  </r>
  <r>
    <n v="883"/>
    <d v="2011-02-09T00:00:00"/>
    <s v="winter"/>
    <s v="FEBRUARY"/>
    <n v="6"/>
    <x v="0"/>
    <x v="4"/>
    <x v="0"/>
    <n v="2.46"/>
    <n v="0.45"/>
    <n v="0"/>
    <n v="0"/>
    <n v="43"/>
    <n v="43"/>
  </r>
  <r>
    <n v="884"/>
    <d v="2011-02-09T00:00:00"/>
    <s v="winter"/>
    <s v="FEBRUARY"/>
    <n v="7"/>
    <x v="0"/>
    <x v="4"/>
    <x v="0"/>
    <n v="2.46"/>
    <n v="0.49"/>
    <n v="0.1045"/>
    <n v="4"/>
    <n v="95"/>
    <n v="99"/>
  </r>
  <r>
    <n v="885"/>
    <d v="2011-02-09T00:00:00"/>
    <s v="winter"/>
    <s v="FEBRUARY"/>
    <n v="8"/>
    <x v="0"/>
    <x v="4"/>
    <x v="0"/>
    <n v="4.1000000000000005"/>
    <n v="0.42"/>
    <n v="0"/>
    <n v="1"/>
    <n v="198"/>
    <n v="199"/>
  </r>
  <r>
    <n v="886"/>
    <d v="2011-02-09T00:00:00"/>
    <s v="winter"/>
    <s v="FEBRUARY"/>
    <n v="9"/>
    <x v="0"/>
    <x v="4"/>
    <x v="0"/>
    <n v="4.92"/>
    <n v="0.39"/>
    <n v="0.16420000000000001"/>
    <n v="4"/>
    <n v="119"/>
    <n v="123"/>
  </r>
  <r>
    <n v="887"/>
    <d v="2011-02-09T00:00:00"/>
    <s v="winter"/>
    <s v="FEBRUARY"/>
    <n v="10"/>
    <x v="0"/>
    <x v="4"/>
    <x v="0"/>
    <n v="5.74"/>
    <n v="0.36"/>
    <n v="0"/>
    <n v="8"/>
    <n v="51"/>
    <n v="59"/>
  </r>
  <r>
    <n v="888"/>
    <d v="2011-02-09T00:00:00"/>
    <s v="winter"/>
    <s v="FEBRUARY"/>
    <n v="11"/>
    <x v="0"/>
    <x v="4"/>
    <x v="1"/>
    <n v="5.74"/>
    <n v="0.43"/>
    <n v="0.16420000000000001"/>
    <n v="1"/>
    <n v="40"/>
    <n v="41"/>
  </r>
  <r>
    <n v="889"/>
    <d v="2011-02-09T00:00:00"/>
    <s v="winter"/>
    <s v="FEBRUARY"/>
    <n v="12"/>
    <x v="0"/>
    <x v="4"/>
    <x v="1"/>
    <n v="7.38"/>
    <n v="0.4"/>
    <n v="0.22389999999999999"/>
    <n v="4"/>
    <n v="57"/>
    <n v="61"/>
  </r>
  <r>
    <n v="890"/>
    <d v="2011-02-09T00:00:00"/>
    <s v="winter"/>
    <s v="FEBRUARY"/>
    <n v="13"/>
    <x v="0"/>
    <x v="4"/>
    <x v="0"/>
    <n v="7.38"/>
    <n v="0.4"/>
    <n v="0.25369999999999998"/>
    <n v="2"/>
    <n v="67"/>
    <n v="69"/>
  </r>
  <r>
    <n v="891"/>
    <d v="2011-02-09T00:00:00"/>
    <s v="winter"/>
    <s v="FEBRUARY"/>
    <n v="14"/>
    <x v="0"/>
    <x v="4"/>
    <x v="0"/>
    <n v="8.2000000000000011"/>
    <n v="0.34"/>
    <n v="0.29849999999999999"/>
    <n v="2"/>
    <n v="56"/>
    <n v="58"/>
  </r>
  <r>
    <n v="892"/>
    <d v="2011-02-09T00:00:00"/>
    <s v="winter"/>
    <s v="FEBRUARY"/>
    <n v="15"/>
    <x v="0"/>
    <x v="4"/>
    <x v="1"/>
    <n v="8.2000000000000011"/>
    <n v="0.34"/>
    <n v="0.28360000000000002"/>
    <n v="3"/>
    <n v="61"/>
    <n v="64"/>
  </r>
  <r>
    <n v="893"/>
    <d v="2011-02-09T00:00:00"/>
    <s v="winter"/>
    <s v="FEBRUARY"/>
    <n v="16"/>
    <x v="0"/>
    <x v="4"/>
    <x v="1"/>
    <n v="8.2000000000000011"/>
    <n v="0.37"/>
    <n v="0.25369999999999998"/>
    <n v="7"/>
    <n v="72"/>
    <n v="79"/>
  </r>
  <r>
    <n v="894"/>
    <d v="2011-02-09T00:00:00"/>
    <s v="winter"/>
    <s v="FEBRUARY"/>
    <n v="17"/>
    <x v="0"/>
    <x v="4"/>
    <x v="1"/>
    <n v="8.2000000000000011"/>
    <n v="0.34"/>
    <n v="0.25369999999999998"/>
    <n v="9"/>
    <n v="157"/>
    <n v="166"/>
  </r>
  <r>
    <n v="895"/>
    <d v="2011-02-09T00:00:00"/>
    <s v="winter"/>
    <s v="FEBRUARY"/>
    <n v="18"/>
    <x v="0"/>
    <x v="4"/>
    <x v="1"/>
    <n v="7.38"/>
    <n v="0.47"/>
    <n v="0.29849999999999999"/>
    <n v="2"/>
    <n v="168"/>
    <n v="170"/>
  </r>
  <r>
    <n v="896"/>
    <d v="2011-02-09T00:00:00"/>
    <s v="winter"/>
    <s v="FEBRUARY"/>
    <n v="19"/>
    <x v="0"/>
    <x v="4"/>
    <x v="2"/>
    <n v="5.74"/>
    <n v="0.86"/>
    <n v="0.25369999999999998"/>
    <n v="1"/>
    <n v="87"/>
    <n v="88"/>
  </r>
  <r>
    <n v="897"/>
    <d v="2011-02-09T00:00:00"/>
    <s v="winter"/>
    <s v="FEBRUARY"/>
    <n v="20"/>
    <x v="0"/>
    <x v="4"/>
    <x v="2"/>
    <n v="5.74"/>
    <n v="0.86"/>
    <n v="0.16420000000000001"/>
    <n v="0"/>
    <n v="84"/>
    <n v="84"/>
  </r>
  <r>
    <n v="898"/>
    <d v="2011-02-09T00:00:00"/>
    <s v="winter"/>
    <s v="FEBRUARY"/>
    <n v="21"/>
    <x v="0"/>
    <x v="4"/>
    <x v="1"/>
    <n v="5.74"/>
    <n v="0.86"/>
    <n v="0.16420000000000001"/>
    <n v="0"/>
    <n v="83"/>
    <n v="83"/>
  </r>
  <r>
    <n v="899"/>
    <d v="2011-02-09T00:00:00"/>
    <s v="winter"/>
    <s v="FEBRUARY"/>
    <n v="22"/>
    <x v="0"/>
    <x v="4"/>
    <x v="2"/>
    <n v="6.5600000000000005"/>
    <n v="0.8"/>
    <n v="0.16420000000000001"/>
    <n v="4"/>
    <n v="42"/>
    <n v="46"/>
  </r>
  <r>
    <n v="900"/>
    <d v="2011-02-09T00:00:00"/>
    <s v="winter"/>
    <s v="FEBRUARY"/>
    <n v="23"/>
    <x v="0"/>
    <x v="4"/>
    <x v="2"/>
    <n v="6.5600000000000005"/>
    <n v="0.8"/>
    <n v="0.19400000000000001"/>
    <n v="0"/>
    <n v="37"/>
    <n v="37"/>
  </r>
  <r>
    <n v="901"/>
    <d v="2011-02-10T00:00:00"/>
    <s v="winter"/>
    <s v="FEBRUARY"/>
    <n v="0"/>
    <x v="0"/>
    <x v="5"/>
    <x v="2"/>
    <n v="5.74"/>
    <n v="0.86"/>
    <n v="0.19400000000000001"/>
    <n v="0"/>
    <n v="16"/>
    <n v="16"/>
  </r>
  <r>
    <n v="902"/>
    <d v="2011-02-10T00:00:00"/>
    <s v="winter"/>
    <s v="FEBRUARY"/>
    <n v="1"/>
    <x v="0"/>
    <x v="5"/>
    <x v="2"/>
    <n v="5.74"/>
    <n v="0.8"/>
    <n v="0.1343"/>
    <n v="0"/>
    <n v="7"/>
    <n v="7"/>
  </r>
  <r>
    <n v="903"/>
    <d v="2011-02-10T00:00:00"/>
    <s v="winter"/>
    <s v="FEBRUARY"/>
    <n v="2"/>
    <x v="0"/>
    <x v="5"/>
    <x v="2"/>
    <n v="5.74"/>
    <n v="0.8"/>
    <n v="0.1343"/>
    <n v="0"/>
    <n v="3"/>
    <n v="3"/>
  </r>
  <r>
    <n v="904"/>
    <d v="2011-02-10T00:00:00"/>
    <s v="winter"/>
    <s v="FEBRUARY"/>
    <n v="4"/>
    <x v="0"/>
    <x v="5"/>
    <x v="1"/>
    <n v="5.74"/>
    <n v="0.59"/>
    <n v="0.22389999999999999"/>
    <n v="0"/>
    <n v="1"/>
    <n v="1"/>
  </r>
  <r>
    <n v="905"/>
    <d v="2011-02-10T00:00:00"/>
    <s v="winter"/>
    <s v="FEBRUARY"/>
    <n v="5"/>
    <x v="0"/>
    <x v="5"/>
    <x v="1"/>
    <n v="4.92"/>
    <n v="0.5"/>
    <n v="0.22389999999999999"/>
    <n v="0"/>
    <n v="6"/>
    <n v="6"/>
  </r>
  <r>
    <n v="906"/>
    <d v="2011-02-10T00:00:00"/>
    <s v="winter"/>
    <s v="FEBRUARY"/>
    <n v="6"/>
    <x v="0"/>
    <x v="5"/>
    <x v="1"/>
    <n v="4.92"/>
    <n v="0.54"/>
    <n v="0.28360000000000002"/>
    <n v="0"/>
    <n v="26"/>
    <n v="26"/>
  </r>
  <r>
    <n v="907"/>
    <d v="2011-02-10T00:00:00"/>
    <s v="winter"/>
    <s v="FEBRUARY"/>
    <n v="7"/>
    <x v="0"/>
    <x v="5"/>
    <x v="0"/>
    <n v="4.1000000000000005"/>
    <n v="0.5"/>
    <n v="0.41789999999999999"/>
    <n v="0"/>
    <n v="99"/>
    <n v="99"/>
  </r>
  <r>
    <n v="908"/>
    <d v="2011-02-10T00:00:00"/>
    <s v="winter"/>
    <s v="FEBRUARY"/>
    <n v="8"/>
    <x v="0"/>
    <x v="5"/>
    <x v="0"/>
    <n v="4.1000000000000005"/>
    <n v="0.49"/>
    <n v="0.32840000000000003"/>
    <n v="5"/>
    <n v="173"/>
    <n v="178"/>
  </r>
  <r>
    <n v="909"/>
    <d v="2011-02-10T00:00:00"/>
    <s v="winter"/>
    <s v="FEBRUARY"/>
    <n v="9"/>
    <x v="0"/>
    <x v="5"/>
    <x v="0"/>
    <n v="4.92"/>
    <n v="0.42"/>
    <n v="0.35820000000000002"/>
    <n v="1"/>
    <n v="121"/>
    <n v="122"/>
  </r>
  <r>
    <n v="910"/>
    <d v="2011-02-10T00:00:00"/>
    <s v="winter"/>
    <s v="FEBRUARY"/>
    <n v="10"/>
    <x v="0"/>
    <x v="5"/>
    <x v="0"/>
    <n v="4.92"/>
    <n v="0.42"/>
    <n v="0.29849999999999999"/>
    <n v="1"/>
    <n v="34"/>
    <n v="35"/>
  </r>
  <r>
    <n v="911"/>
    <d v="2011-02-10T00:00:00"/>
    <s v="winter"/>
    <s v="FEBRUARY"/>
    <n v="11"/>
    <x v="0"/>
    <x v="5"/>
    <x v="0"/>
    <n v="5.74"/>
    <n v="0.39"/>
    <n v="0.35820000000000002"/>
    <n v="1"/>
    <n v="44"/>
    <n v="45"/>
  </r>
  <r>
    <n v="912"/>
    <d v="2011-02-10T00:00:00"/>
    <s v="winter"/>
    <s v="FEBRUARY"/>
    <n v="12"/>
    <x v="0"/>
    <x v="5"/>
    <x v="0"/>
    <n v="6.5600000000000005"/>
    <n v="0.34"/>
    <n v="0.3881"/>
    <n v="4"/>
    <n v="65"/>
    <n v="69"/>
  </r>
  <r>
    <n v="913"/>
    <d v="2011-02-10T00:00:00"/>
    <s v="winter"/>
    <s v="FEBRUARY"/>
    <n v="13"/>
    <x v="0"/>
    <x v="5"/>
    <x v="0"/>
    <n v="7.38"/>
    <n v="0.28999999999999998"/>
    <n v="0.29849999999999999"/>
    <n v="3"/>
    <n v="59"/>
    <n v="62"/>
  </r>
  <r>
    <n v="914"/>
    <d v="2011-02-10T00:00:00"/>
    <s v="winter"/>
    <s v="FEBRUARY"/>
    <n v="14"/>
    <x v="0"/>
    <x v="5"/>
    <x v="0"/>
    <n v="8.2000000000000011"/>
    <n v="0.27"/>
    <n v="0.28360000000000002"/>
    <n v="6"/>
    <n v="42"/>
    <n v="48"/>
  </r>
  <r>
    <n v="915"/>
    <d v="2011-02-10T00:00:00"/>
    <s v="winter"/>
    <s v="FEBRUARY"/>
    <n v="15"/>
    <x v="0"/>
    <x v="5"/>
    <x v="0"/>
    <n v="8.2000000000000011"/>
    <n v="0.25"/>
    <n v="0.25369999999999998"/>
    <n v="0"/>
    <n v="50"/>
    <n v="50"/>
  </r>
  <r>
    <n v="916"/>
    <d v="2011-02-10T00:00:00"/>
    <s v="winter"/>
    <s v="FEBRUARY"/>
    <n v="16"/>
    <x v="0"/>
    <x v="5"/>
    <x v="0"/>
    <n v="8.2000000000000011"/>
    <n v="0.27"/>
    <n v="0.29849999999999999"/>
    <n v="4"/>
    <n v="76"/>
    <n v="80"/>
  </r>
  <r>
    <n v="917"/>
    <d v="2011-02-10T00:00:00"/>
    <s v="winter"/>
    <s v="FEBRUARY"/>
    <n v="17"/>
    <x v="0"/>
    <x v="5"/>
    <x v="0"/>
    <n v="7.38"/>
    <n v="0.26"/>
    <n v="0.19400000000000001"/>
    <n v="6"/>
    <n v="159"/>
    <n v="165"/>
  </r>
  <r>
    <n v="918"/>
    <d v="2011-02-10T00:00:00"/>
    <s v="winter"/>
    <s v="FEBRUARY"/>
    <n v="18"/>
    <x v="0"/>
    <x v="5"/>
    <x v="0"/>
    <n v="6.5600000000000005"/>
    <n v="0.28000000000000003"/>
    <n v="0.1343"/>
    <n v="3"/>
    <n v="157"/>
    <n v="160"/>
  </r>
  <r>
    <n v="919"/>
    <d v="2011-02-10T00:00:00"/>
    <s v="winter"/>
    <s v="FEBRUARY"/>
    <n v="19"/>
    <x v="0"/>
    <x v="5"/>
    <x v="0"/>
    <n v="5.74"/>
    <n v="0.28000000000000003"/>
    <n v="0.1045"/>
    <n v="2"/>
    <n v="110"/>
    <n v="112"/>
  </r>
  <r>
    <n v="920"/>
    <d v="2011-02-10T00:00:00"/>
    <s v="winter"/>
    <s v="FEBRUARY"/>
    <n v="20"/>
    <x v="0"/>
    <x v="5"/>
    <x v="0"/>
    <n v="5.74"/>
    <n v="0.31"/>
    <n v="8.9599999999999999E-2"/>
    <n v="4"/>
    <n v="93"/>
    <n v="97"/>
  </r>
  <r>
    <n v="921"/>
    <d v="2011-02-10T00:00:00"/>
    <s v="winter"/>
    <s v="FEBRUARY"/>
    <n v="21"/>
    <x v="0"/>
    <x v="5"/>
    <x v="0"/>
    <n v="5.74"/>
    <n v="0.39"/>
    <n v="0"/>
    <n v="2"/>
    <n v="70"/>
    <n v="72"/>
  </r>
  <r>
    <n v="922"/>
    <d v="2011-02-10T00:00:00"/>
    <s v="winter"/>
    <s v="FEBRUARY"/>
    <n v="22"/>
    <x v="0"/>
    <x v="5"/>
    <x v="0"/>
    <n v="4.92"/>
    <n v="0.39"/>
    <n v="0"/>
    <n v="4"/>
    <n v="47"/>
    <n v="51"/>
  </r>
  <r>
    <n v="923"/>
    <d v="2011-02-10T00:00:00"/>
    <s v="winter"/>
    <s v="FEBRUARY"/>
    <n v="23"/>
    <x v="0"/>
    <x v="5"/>
    <x v="0"/>
    <n v="4.92"/>
    <n v="0.42"/>
    <n v="0.1045"/>
    <n v="1"/>
    <n v="33"/>
    <n v="34"/>
  </r>
  <r>
    <n v="924"/>
    <d v="2011-02-11T00:00:00"/>
    <s v="winter"/>
    <s v="FEBRUARY"/>
    <n v="0"/>
    <x v="0"/>
    <x v="6"/>
    <x v="0"/>
    <n v="4.1000000000000005"/>
    <n v="0.49"/>
    <n v="0.1045"/>
    <n v="2"/>
    <n v="12"/>
    <n v="14"/>
  </r>
  <r>
    <n v="925"/>
    <d v="2011-02-11T00:00:00"/>
    <s v="winter"/>
    <s v="FEBRUARY"/>
    <n v="1"/>
    <x v="0"/>
    <x v="6"/>
    <x v="0"/>
    <n v="4.1000000000000005"/>
    <n v="0.54"/>
    <n v="8.9599999999999999E-2"/>
    <n v="1"/>
    <n v="6"/>
    <n v="7"/>
  </r>
  <r>
    <n v="926"/>
    <d v="2011-02-11T00:00:00"/>
    <s v="winter"/>
    <s v="FEBRUARY"/>
    <n v="2"/>
    <x v="0"/>
    <x v="6"/>
    <x v="0"/>
    <n v="4.1000000000000005"/>
    <n v="0.54"/>
    <n v="8.9599999999999999E-2"/>
    <n v="0"/>
    <n v="3"/>
    <n v="3"/>
  </r>
  <r>
    <n v="927"/>
    <d v="2011-02-11T00:00:00"/>
    <s v="winter"/>
    <s v="FEBRUARY"/>
    <n v="5"/>
    <x v="0"/>
    <x v="6"/>
    <x v="0"/>
    <n v="3.2800000000000002"/>
    <n v="0.63"/>
    <n v="8.9599999999999999E-2"/>
    <n v="0"/>
    <n v="4"/>
    <n v="4"/>
  </r>
  <r>
    <n v="928"/>
    <d v="2011-02-11T00:00:00"/>
    <s v="winter"/>
    <s v="FEBRUARY"/>
    <n v="6"/>
    <x v="0"/>
    <x v="6"/>
    <x v="0"/>
    <n v="4.1000000000000005"/>
    <n v="0.68"/>
    <n v="0"/>
    <n v="1"/>
    <n v="23"/>
    <n v="24"/>
  </r>
  <r>
    <n v="929"/>
    <d v="2011-02-11T00:00:00"/>
    <s v="winter"/>
    <s v="FEBRUARY"/>
    <n v="7"/>
    <x v="0"/>
    <x v="6"/>
    <x v="0"/>
    <n v="3.2800000000000002"/>
    <n v="0.73"/>
    <n v="0"/>
    <n v="1"/>
    <n v="73"/>
    <n v="74"/>
  </r>
  <r>
    <n v="930"/>
    <d v="2011-02-11T00:00:00"/>
    <s v="winter"/>
    <s v="FEBRUARY"/>
    <n v="8"/>
    <x v="0"/>
    <x v="6"/>
    <x v="0"/>
    <n v="4.1000000000000005"/>
    <n v="0.74"/>
    <n v="0.16420000000000001"/>
    <n v="4"/>
    <n v="212"/>
    <n v="216"/>
  </r>
  <r>
    <n v="931"/>
    <d v="2011-02-11T00:00:00"/>
    <s v="winter"/>
    <s v="FEBRUARY"/>
    <n v="9"/>
    <x v="0"/>
    <x v="6"/>
    <x v="0"/>
    <n v="4.92"/>
    <n v="0.74"/>
    <n v="0.22389999999999999"/>
    <n v="8"/>
    <n v="132"/>
    <n v="140"/>
  </r>
  <r>
    <n v="932"/>
    <d v="2011-02-11T00:00:00"/>
    <s v="winter"/>
    <s v="FEBRUARY"/>
    <n v="10"/>
    <x v="0"/>
    <x v="6"/>
    <x v="0"/>
    <n v="5.74"/>
    <n v="0.69"/>
    <n v="0.19400000000000001"/>
    <n v="5"/>
    <n v="39"/>
    <n v="44"/>
  </r>
  <r>
    <n v="933"/>
    <d v="2011-02-11T00:00:00"/>
    <s v="winter"/>
    <s v="FEBRUARY"/>
    <n v="11"/>
    <x v="0"/>
    <x v="6"/>
    <x v="0"/>
    <n v="9.02"/>
    <n v="0.47"/>
    <n v="0.1343"/>
    <n v="12"/>
    <n v="52"/>
    <n v="64"/>
  </r>
  <r>
    <n v="934"/>
    <d v="2011-02-11T00:00:00"/>
    <s v="winter"/>
    <s v="FEBRUARY"/>
    <n v="12"/>
    <x v="0"/>
    <x v="6"/>
    <x v="0"/>
    <n v="9.02"/>
    <n v="0.47"/>
    <n v="0.1343"/>
    <n v="7"/>
    <n v="64"/>
    <n v="71"/>
  </r>
  <r>
    <n v="935"/>
    <d v="2011-02-11T00:00:00"/>
    <s v="winter"/>
    <s v="FEBRUARY"/>
    <n v="13"/>
    <x v="0"/>
    <x v="6"/>
    <x v="0"/>
    <n v="9.84"/>
    <n v="0.35"/>
    <n v="0.19400000000000001"/>
    <n v="21"/>
    <n v="89"/>
    <n v="110"/>
  </r>
  <r>
    <n v="936"/>
    <d v="2011-02-11T00:00:00"/>
    <s v="winter"/>
    <s v="FEBRUARY"/>
    <n v="14"/>
    <x v="0"/>
    <x v="6"/>
    <x v="0"/>
    <n v="12.299999999999999"/>
    <n v="0.26"/>
    <n v="0.25369999999999998"/>
    <n v="17"/>
    <n v="67"/>
    <n v="84"/>
  </r>
  <r>
    <n v="937"/>
    <d v="2011-02-11T00:00:00"/>
    <s v="winter"/>
    <s v="FEBRUARY"/>
    <n v="15"/>
    <x v="0"/>
    <x v="6"/>
    <x v="0"/>
    <n v="13.120000000000001"/>
    <n v="0.21"/>
    <n v="0.16420000000000001"/>
    <n v="12"/>
    <n v="62"/>
    <n v="74"/>
  </r>
  <r>
    <n v="938"/>
    <d v="2011-02-11T00:00:00"/>
    <s v="winter"/>
    <s v="FEBRUARY"/>
    <n v="16"/>
    <x v="0"/>
    <x v="6"/>
    <x v="0"/>
    <n v="12.299999999999999"/>
    <n v="0.28000000000000003"/>
    <n v="0.19400000000000001"/>
    <n v="14"/>
    <n v="111"/>
    <n v="125"/>
  </r>
  <r>
    <n v="939"/>
    <d v="2011-02-11T00:00:00"/>
    <s v="winter"/>
    <s v="FEBRUARY"/>
    <n v="17"/>
    <x v="0"/>
    <x v="6"/>
    <x v="0"/>
    <n v="12.299999999999999"/>
    <n v="0.24"/>
    <n v="0"/>
    <n v="18"/>
    <n v="193"/>
    <n v="211"/>
  </r>
  <r>
    <n v="940"/>
    <d v="2011-02-11T00:00:00"/>
    <s v="winter"/>
    <s v="FEBRUARY"/>
    <n v="18"/>
    <x v="0"/>
    <x v="6"/>
    <x v="0"/>
    <n v="11.48"/>
    <n v="0.28000000000000003"/>
    <n v="0"/>
    <n v="9"/>
    <n v="165"/>
    <n v="174"/>
  </r>
  <r>
    <n v="941"/>
    <d v="2011-02-11T00:00:00"/>
    <s v="winter"/>
    <s v="FEBRUARY"/>
    <n v="19"/>
    <x v="0"/>
    <x v="6"/>
    <x v="0"/>
    <n v="10.66"/>
    <n v="0.33"/>
    <n v="0"/>
    <n v="7"/>
    <n v="94"/>
    <n v="101"/>
  </r>
  <r>
    <n v="942"/>
    <d v="2011-02-11T00:00:00"/>
    <s v="winter"/>
    <s v="FEBRUARY"/>
    <n v="20"/>
    <x v="0"/>
    <x v="6"/>
    <x v="0"/>
    <n v="9.02"/>
    <n v="0.55000000000000004"/>
    <n v="0.1343"/>
    <n v="2"/>
    <n v="61"/>
    <n v="63"/>
  </r>
  <r>
    <n v="943"/>
    <d v="2011-02-11T00:00:00"/>
    <s v="winter"/>
    <s v="FEBRUARY"/>
    <n v="21"/>
    <x v="0"/>
    <x v="6"/>
    <x v="0"/>
    <n v="8.2000000000000011"/>
    <n v="0.59"/>
    <n v="0.1343"/>
    <n v="1"/>
    <n v="46"/>
    <n v="47"/>
  </r>
  <r>
    <n v="944"/>
    <d v="2011-02-11T00:00:00"/>
    <s v="winter"/>
    <s v="FEBRUARY"/>
    <n v="22"/>
    <x v="0"/>
    <x v="6"/>
    <x v="0"/>
    <n v="8.2000000000000011"/>
    <n v="0.64"/>
    <n v="8.9599999999999999E-2"/>
    <n v="2"/>
    <n v="41"/>
    <n v="43"/>
  </r>
  <r>
    <n v="945"/>
    <d v="2011-02-11T00:00:00"/>
    <s v="winter"/>
    <s v="FEBRUARY"/>
    <n v="23"/>
    <x v="0"/>
    <x v="6"/>
    <x v="0"/>
    <n v="7.38"/>
    <n v="0.69"/>
    <n v="0"/>
    <n v="5"/>
    <n v="48"/>
    <n v="53"/>
  </r>
  <r>
    <n v="946"/>
    <d v="2011-02-12T00:00:00"/>
    <s v="winter"/>
    <s v="FEBRUARY"/>
    <n v="0"/>
    <x v="0"/>
    <x v="0"/>
    <x v="0"/>
    <n v="6.5600000000000005"/>
    <n v="0.69"/>
    <n v="8.9599999999999999E-2"/>
    <n v="3"/>
    <n v="27"/>
    <n v="30"/>
  </r>
  <r>
    <n v="947"/>
    <d v="2011-02-12T00:00:00"/>
    <s v="winter"/>
    <s v="FEBRUARY"/>
    <n v="1"/>
    <x v="0"/>
    <x v="0"/>
    <x v="0"/>
    <n v="5.74"/>
    <n v="0.86"/>
    <n v="0"/>
    <n v="2"/>
    <n v="22"/>
    <n v="24"/>
  </r>
  <r>
    <n v="948"/>
    <d v="2011-02-12T00:00:00"/>
    <s v="winter"/>
    <s v="FEBRUARY"/>
    <n v="2"/>
    <x v="0"/>
    <x v="0"/>
    <x v="0"/>
    <n v="5.74"/>
    <n v="0.8"/>
    <n v="0"/>
    <n v="2"/>
    <n v="13"/>
    <n v="15"/>
  </r>
  <r>
    <n v="949"/>
    <d v="2011-02-12T00:00:00"/>
    <s v="winter"/>
    <s v="FEBRUARY"/>
    <n v="3"/>
    <x v="0"/>
    <x v="0"/>
    <x v="0"/>
    <n v="4.92"/>
    <n v="0.8"/>
    <n v="0"/>
    <n v="3"/>
    <n v="7"/>
    <n v="10"/>
  </r>
  <r>
    <n v="950"/>
    <d v="2011-02-12T00:00:00"/>
    <s v="winter"/>
    <s v="FEBRUARY"/>
    <n v="4"/>
    <x v="0"/>
    <x v="0"/>
    <x v="0"/>
    <n v="4.92"/>
    <n v="0.74"/>
    <n v="8.9599999999999999E-2"/>
    <n v="0"/>
    <n v="4"/>
    <n v="4"/>
  </r>
  <r>
    <n v="951"/>
    <d v="2011-02-12T00:00:00"/>
    <s v="winter"/>
    <s v="FEBRUARY"/>
    <n v="5"/>
    <x v="0"/>
    <x v="0"/>
    <x v="0"/>
    <n v="4.92"/>
    <n v="0.74"/>
    <n v="8.9599999999999999E-2"/>
    <n v="0"/>
    <n v="1"/>
    <n v="1"/>
  </r>
  <r>
    <n v="952"/>
    <d v="2011-02-12T00:00:00"/>
    <s v="winter"/>
    <s v="FEBRUARY"/>
    <n v="6"/>
    <x v="0"/>
    <x v="0"/>
    <x v="0"/>
    <n v="4.92"/>
    <n v="0.93"/>
    <n v="0.19400000000000001"/>
    <n v="1"/>
    <n v="1"/>
    <n v="2"/>
  </r>
  <r>
    <n v="953"/>
    <d v="2011-02-12T00:00:00"/>
    <s v="winter"/>
    <s v="FEBRUARY"/>
    <n v="7"/>
    <x v="0"/>
    <x v="0"/>
    <x v="0"/>
    <n v="4.92"/>
    <n v="0.8"/>
    <n v="0.1045"/>
    <n v="2"/>
    <n v="9"/>
    <n v="11"/>
  </r>
  <r>
    <n v="954"/>
    <d v="2011-02-12T00:00:00"/>
    <s v="winter"/>
    <s v="FEBRUARY"/>
    <n v="8"/>
    <x v="0"/>
    <x v="0"/>
    <x v="0"/>
    <n v="5.74"/>
    <n v="0.86"/>
    <n v="0.1343"/>
    <n v="2"/>
    <n v="28"/>
    <n v="30"/>
  </r>
  <r>
    <n v="955"/>
    <d v="2011-02-12T00:00:00"/>
    <s v="winter"/>
    <s v="FEBRUARY"/>
    <n v="9"/>
    <x v="0"/>
    <x v="0"/>
    <x v="0"/>
    <n v="6.5600000000000005"/>
    <n v="0.64"/>
    <n v="0.1343"/>
    <n v="5"/>
    <n v="38"/>
    <n v="43"/>
  </r>
  <r>
    <n v="956"/>
    <d v="2011-02-12T00:00:00"/>
    <s v="winter"/>
    <s v="FEBRUARY"/>
    <n v="10"/>
    <x v="0"/>
    <x v="0"/>
    <x v="0"/>
    <n v="9.02"/>
    <n v="0.41"/>
    <n v="0.25369999999999998"/>
    <n v="13"/>
    <n v="71"/>
    <n v="84"/>
  </r>
  <r>
    <n v="957"/>
    <d v="2011-02-12T00:00:00"/>
    <s v="winter"/>
    <s v="FEBRUARY"/>
    <n v="11"/>
    <x v="0"/>
    <x v="0"/>
    <x v="0"/>
    <n v="12.299999999999999"/>
    <n v="0.28000000000000003"/>
    <n v="0.32840000000000003"/>
    <n v="30"/>
    <n v="84"/>
    <n v="114"/>
  </r>
  <r>
    <n v="958"/>
    <d v="2011-02-12T00:00:00"/>
    <s v="winter"/>
    <s v="FEBRUARY"/>
    <n v="12"/>
    <x v="0"/>
    <x v="0"/>
    <x v="0"/>
    <n v="12.299999999999999"/>
    <n v="0.39"/>
    <n v="0.4627"/>
    <n v="27"/>
    <n v="93"/>
    <n v="120"/>
  </r>
  <r>
    <n v="959"/>
    <d v="2011-02-12T00:00:00"/>
    <s v="winter"/>
    <s v="FEBRUARY"/>
    <n v="13"/>
    <x v="0"/>
    <x v="0"/>
    <x v="0"/>
    <n v="12.299999999999999"/>
    <n v="0.39"/>
    <n v="0.41789999999999999"/>
    <n v="32"/>
    <n v="103"/>
    <n v="135"/>
  </r>
  <r>
    <n v="960"/>
    <d v="2011-02-12T00:00:00"/>
    <s v="winter"/>
    <s v="FEBRUARY"/>
    <n v="14"/>
    <x v="0"/>
    <x v="0"/>
    <x v="0"/>
    <n v="13.940000000000001"/>
    <n v="0.31"/>
    <n v="0.28360000000000002"/>
    <n v="30"/>
    <n v="90"/>
    <n v="120"/>
  </r>
  <r>
    <n v="961"/>
    <d v="2011-02-12T00:00:00"/>
    <s v="winter"/>
    <s v="FEBRUARY"/>
    <n v="15"/>
    <x v="0"/>
    <x v="0"/>
    <x v="0"/>
    <n v="13.940000000000001"/>
    <n v="0.28999999999999998"/>
    <n v="0.41789999999999999"/>
    <n v="47"/>
    <n v="127"/>
    <n v="174"/>
  </r>
  <r>
    <n v="962"/>
    <d v="2011-02-12T00:00:00"/>
    <s v="winter"/>
    <s v="FEBRUARY"/>
    <n v="16"/>
    <x v="0"/>
    <x v="0"/>
    <x v="0"/>
    <n v="13.940000000000001"/>
    <n v="0.28999999999999998"/>
    <n v="0.41789999999999999"/>
    <n v="42"/>
    <n v="103"/>
    <n v="145"/>
  </r>
  <r>
    <n v="963"/>
    <d v="2011-02-12T00:00:00"/>
    <s v="winter"/>
    <s v="FEBRUARY"/>
    <n v="17"/>
    <x v="0"/>
    <x v="0"/>
    <x v="0"/>
    <n v="13.120000000000001"/>
    <n v="0.31"/>
    <n v="0.52239999999999998"/>
    <n v="24"/>
    <n v="113"/>
    <n v="137"/>
  </r>
  <r>
    <n v="964"/>
    <d v="2011-02-12T00:00:00"/>
    <s v="winter"/>
    <s v="FEBRUARY"/>
    <n v="18"/>
    <x v="0"/>
    <x v="0"/>
    <x v="0"/>
    <n v="11.48"/>
    <n v="0.38"/>
    <n v="0.32840000000000003"/>
    <n v="4"/>
    <n v="60"/>
    <n v="64"/>
  </r>
  <r>
    <n v="965"/>
    <d v="2011-02-12T00:00:00"/>
    <s v="winter"/>
    <s v="FEBRUARY"/>
    <n v="19"/>
    <x v="0"/>
    <x v="0"/>
    <x v="0"/>
    <n v="11.48"/>
    <n v="0.38"/>
    <n v="0.16420000000000001"/>
    <n v="2"/>
    <n v="39"/>
    <n v="41"/>
  </r>
  <r>
    <n v="966"/>
    <d v="2011-02-12T00:00:00"/>
    <s v="winter"/>
    <s v="FEBRUARY"/>
    <n v="20"/>
    <x v="0"/>
    <x v="0"/>
    <x v="0"/>
    <n v="10.66"/>
    <n v="0.41"/>
    <n v="0.22389999999999999"/>
    <n v="1"/>
    <n v="39"/>
    <n v="40"/>
  </r>
  <r>
    <n v="967"/>
    <d v="2011-02-12T00:00:00"/>
    <s v="winter"/>
    <s v="FEBRUARY"/>
    <n v="21"/>
    <x v="0"/>
    <x v="0"/>
    <x v="0"/>
    <n v="10.66"/>
    <n v="0.41"/>
    <n v="0"/>
    <n v="9"/>
    <n v="42"/>
    <n v="51"/>
  </r>
  <r>
    <n v="968"/>
    <d v="2011-02-12T00:00:00"/>
    <s v="winter"/>
    <s v="FEBRUARY"/>
    <n v="22"/>
    <x v="0"/>
    <x v="0"/>
    <x v="0"/>
    <n v="9.84"/>
    <n v="0.44"/>
    <n v="8.9599999999999999E-2"/>
    <n v="6"/>
    <n v="39"/>
    <n v="45"/>
  </r>
  <r>
    <n v="969"/>
    <d v="2011-02-12T00:00:00"/>
    <s v="winter"/>
    <s v="FEBRUARY"/>
    <n v="23"/>
    <x v="0"/>
    <x v="0"/>
    <x v="0"/>
    <n v="9.02"/>
    <n v="0.51"/>
    <n v="0.1343"/>
    <n v="1"/>
    <n v="31"/>
    <n v="32"/>
  </r>
  <r>
    <n v="970"/>
    <d v="2011-02-13T00:00:00"/>
    <s v="winter"/>
    <s v="FEBRUARY"/>
    <n v="0"/>
    <x v="0"/>
    <x v="1"/>
    <x v="0"/>
    <n v="8.2000000000000011"/>
    <n v="0.64"/>
    <n v="0.1045"/>
    <n v="5"/>
    <n v="34"/>
    <n v="39"/>
  </r>
  <r>
    <n v="971"/>
    <d v="2011-02-13T00:00:00"/>
    <s v="winter"/>
    <s v="FEBRUARY"/>
    <n v="1"/>
    <x v="0"/>
    <x v="1"/>
    <x v="0"/>
    <n v="8.2000000000000011"/>
    <n v="0.59"/>
    <n v="8.9599999999999999E-2"/>
    <n v="1"/>
    <n v="23"/>
    <n v="24"/>
  </r>
  <r>
    <n v="972"/>
    <d v="2011-02-13T00:00:00"/>
    <s v="winter"/>
    <s v="FEBRUARY"/>
    <n v="2"/>
    <x v="0"/>
    <x v="1"/>
    <x v="1"/>
    <n v="8.2000000000000011"/>
    <n v="0.75"/>
    <n v="8.9599999999999999E-2"/>
    <n v="1"/>
    <n v="19"/>
    <n v="20"/>
  </r>
  <r>
    <n v="973"/>
    <d v="2011-02-13T00:00:00"/>
    <s v="winter"/>
    <s v="FEBRUARY"/>
    <n v="3"/>
    <x v="0"/>
    <x v="1"/>
    <x v="1"/>
    <n v="8.2000000000000011"/>
    <n v="0.69"/>
    <n v="0.1045"/>
    <n v="4"/>
    <n v="8"/>
    <n v="12"/>
  </r>
  <r>
    <n v="974"/>
    <d v="2011-02-13T00:00:00"/>
    <s v="winter"/>
    <s v="FEBRUARY"/>
    <n v="4"/>
    <x v="0"/>
    <x v="1"/>
    <x v="1"/>
    <n v="8.2000000000000011"/>
    <n v="0.69"/>
    <n v="0.16420000000000001"/>
    <n v="0"/>
    <n v="2"/>
    <n v="2"/>
  </r>
  <r>
    <n v="975"/>
    <d v="2011-02-13T00:00:00"/>
    <s v="winter"/>
    <s v="FEBRUARY"/>
    <n v="6"/>
    <x v="0"/>
    <x v="1"/>
    <x v="1"/>
    <n v="8.2000000000000011"/>
    <n v="0.69"/>
    <n v="0.1343"/>
    <n v="2"/>
    <n v="3"/>
    <n v="5"/>
  </r>
  <r>
    <n v="976"/>
    <d v="2011-02-13T00:00:00"/>
    <s v="winter"/>
    <s v="FEBRUARY"/>
    <n v="7"/>
    <x v="0"/>
    <x v="1"/>
    <x v="1"/>
    <n v="9.02"/>
    <n v="0.55000000000000004"/>
    <n v="0"/>
    <n v="0"/>
    <n v="3"/>
    <n v="3"/>
  </r>
  <r>
    <n v="977"/>
    <d v="2011-02-13T00:00:00"/>
    <s v="winter"/>
    <s v="FEBRUARY"/>
    <n v="8"/>
    <x v="0"/>
    <x v="1"/>
    <x v="1"/>
    <n v="9.02"/>
    <n v="0.64"/>
    <n v="0.19400000000000001"/>
    <n v="1"/>
    <n v="11"/>
    <n v="12"/>
  </r>
  <r>
    <n v="978"/>
    <d v="2011-02-13T00:00:00"/>
    <s v="winter"/>
    <s v="FEBRUARY"/>
    <n v="9"/>
    <x v="0"/>
    <x v="1"/>
    <x v="1"/>
    <n v="9.84"/>
    <n v="0.6"/>
    <n v="0.22389999999999999"/>
    <n v="12"/>
    <n v="35"/>
    <n v="47"/>
  </r>
  <r>
    <n v="979"/>
    <d v="2011-02-13T00:00:00"/>
    <s v="winter"/>
    <s v="FEBRUARY"/>
    <n v="10"/>
    <x v="0"/>
    <x v="1"/>
    <x v="0"/>
    <n v="12.299999999999999"/>
    <n v="0.45"/>
    <n v="0.32840000000000003"/>
    <n v="19"/>
    <n v="86"/>
    <n v="105"/>
  </r>
  <r>
    <n v="980"/>
    <d v="2011-02-13T00:00:00"/>
    <s v="winter"/>
    <s v="FEBRUARY"/>
    <n v="11"/>
    <x v="0"/>
    <x v="1"/>
    <x v="0"/>
    <n v="13.120000000000001"/>
    <n v="0.39"/>
    <n v="0.44779999999999998"/>
    <n v="26"/>
    <n v="86"/>
    <n v="112"/>
  </r>
  <r>
    <n v="981"/>
    <d v="2011-02-13T00:00:00"/>
    <s v="winter"/>
    <s v="FEBRUARY"/>
    <n v="12"/>
    <x v="0"/>
    <x v="1"/>
    <x v="0"/>
    <n v="14.76"/>
    <n v="0.32"/>
    <n v="0.4627"/>
    <n v="58"/>
    <n v="94"/>
    <n v="152"/>
  </r>
  <r>
    <n v="982"/>
    <d v="2011-02-13T00:00:00"/>
    <s v="winter"/>
    <s v="FEBRUARY"/>
    <n v="13"/>
    <x v="0"/>
    <x v="1"/>
    <x v="0"/>
    <n v="15.58"/>
    <n v="0.28999999999999998"/>
    <n v="0.35820000000000002"/>
    <n v="62"/>
    <n v="92"/>
    <n v="154"/>
  </r>
  <r>
    <n v="983"/>
    <d v="2011-02-13T00:00:00"/>
    <s v="winter"/>
    <s v="FEBRUARY"/>
    <n v="14"/>
    <x v="0"/>
    <x v="1"/>
    <x v="1"/>
    <n v="16.400000000000002"/>
    <n v="0.3"/>
    <n v="0.41789999999999999"/>
    <n v="51"/>
    <n v="110"/>
    <n v="161"/>
  </r>
  <r>
    <n v="984"/>
    <d v="2011-02-13T00:00:00"/>
    <s v="winter"/>
    <s v="FEBRUARY"/>
    <n v="15"/>
    <x v="0"/>
    <x v="1"/>
    <x v="1"/>
    <n v="16.400000000000002"/>
    <n v="0.3"/>
    <n v="0.29849999999999999"/>
    <n v="40"/>
    <n v="122"/>
    <n v="162"/>
  </r>
  <r>
    <n v="985"/>
    <d v="2011-02-13T00:00:00"/>
    <s v="winter"/>
    <s v="FEBRUARY"/>
    <n v="16"/>
    <x v="0"/>
    <x v="1"/>
    <x v="1"/>
    <n v="17.22"/>
    <n v="0.28000000000000003"/>
    <n v="0.32840000000000003"/>
    <n v="28"/>
    <n v="106"/>
    <n v="134"/>
  </r>
  <r>
    <n v="986"/>
    <d v="2011-02-13T00:00:00"/>
    <s v="winter"/>
    <s v="FEBRUARY"/>
    <n v="17"/>
    <x v="0"/>
    <x v="1"/>
    <x v="0"/>
    <n v="17.22"/>
    <n v="0.28000000000000003"/>
    <n v="0.32840000000000003"/>
    <n v="30"/>
    <n v="95"/>
    <n v="125"/>
  </r>
  <r>
    <n v="987"/>
    <d v="2011-02-13T00:00:00"/>
    <s v="winter"/>
    <s v="FEBRUARY"/>
    <n v="18"/>
    <x v="0"/>
    <x v="1"/>
    <x v="0"/>
    <n v="16.400000000000002"/>
    <n v="0.32"/>
    <n v="0.29849999999999999"/>
    <n v="17"/>
    <n v="78"/>
    <n v="95"/>
  </r>
  <r>
    <n v="988"/>
    <d v="2011-02-13T00:00:00"/>
    <s v="winter"/>
    <s v="FEBRUARY"/>
    <n v="19"/>
    <x v="0"/>
    <x v="1"/>
    <x v="0"/>
    <n v="16.400000000000002"/>
    <n v="0.35"/>
    <n v="0.28360000000000002"/>
    <n v="11"/>
    <n v="50"/>
    <n v="61"/>
  </r>
  <r>
    <n v="989"/>
    <d v="2011-02-13T00:00:00"/>
    <s v="winter"/>
    <s v="FEBRUARY"/>
    <n v="20"/>
    <x v="0"/>
    <x v="1"/>
    <x v="0"/>
    <n v="16.400000000000002"/>
    <n v="0.35"/>
    <n v="0.32840000000000003"/>
    <n v="15"/>
    <n v="32"/>
    <n v="47"/>
  </r>
  <r>
    <n v="990"/>
    <d v="2011-02-13T00:00:00"/>
    <s v="winter"/>
    <s v="FEBRUARY"/>
    <n v="21"/>
    <x v="0"/>
    <x v="1"/>
    <x v="0"/>
    <n v="16.400000000000002"/>
    <n v="0.35"/>
    <n v="0.35820000000000002"/>
    <n v="6"/>
    <n v="45"/>
    <n v="51"/>
  </r>
  <r>
    <n v="991"/>
    <d v="2011-02-13T00:00:00"/>
    <s v="winter"/>
    <s v="FEBRUARY"/>
    <n v="22"/>
    <x v="0"/>
    <x v="1"/>
    <x v="0"/>
    <n v="16.400000000000002"/>
    <n v="0.35"/>
    <n v="0.29849999999999999"/>
    <n v="5"/>
    <n v="31"/>
    <n v="36"/>
  </r>
  <r>
    <n v="992"/>
    <d v="2011-02-13T00:00:00"/>
    <s v="winter"/>
    <s v="FEBRUARY"/>
    <n v="23"/>
    <x v="0"/>
    <x v="1"/>
    <x v="0"/>
    <n v="16.400000000000002"/>
    <n v="0.35"/>
    <n v="0.35820000000000002"/>
    <n v="3"/>
    <n v="27"/>
    <n v="30"/>
  </r>
  <r>
    <n v="993"/>
    <d v="2011-02-14T00:00:00"/>
    <s v="winter"/>
    <s v="FEBRUARY"/>
    <n v="0"/>
    <x v="0"/>
    <x v="2"/>
    <x v="0"/>
    <n v="15.58"/>
    <n v="0.37"/>
    <n v="0.35820000000000002"/>
    <n v="3"/>
    <n v="8"/>
    <n v="11"/>
  </r>
  <r>
    <n v="994"/>
    <d v="2011-02-14T00:00:00"/>
    <s v="winter"/>
    <s v="FEBRUARY"/>
    <n v="1"/>
    <x v="0"/>
    <x v="2"/>
    <x v="0"/>
    <n v="15.58"/>
    <n v="0.37"/>
    <n v="0.35820000000000002"/>
    <n v="1"/>
    <n v="6"/>
    <n v="7"/>
  </r>
  <r>
    <n v="995"/>
    <d v="2011-02-14T00:00:00"/>
    <s v="winter"/>
    <s v="FEBRUARY"/>
    <n v="2"/>
    <x v="0"/>
    <x v="2"/>
    <x v="0"/>
    <n v="14.76"/>
    <n v="0.4"/>
    <n v="0.29849999999999999"/>
    <n v="0"/>
    <n v="2"/>
    <n v="2"/>
  </r>
  <r>
    <n v="996"/>
    <d v="2011-02-14T00:00:00"/>
    <s v="winter"/>
    <s v="FEBRUARY"/>
    <n v="3"/>
    <x v="0"/>
    <x v="2"/>
    <x v="0"/>
    <n v="13.940000000000001"/>
    <n v="0.46"/>
    <n v="0.22389999999999999"/>
    <n v="1"/>
    <n v="1"/>
    <n v="2"/>
  </r>
  <r>
    <n v="997"/>
    <d v="2011-02-14T00:00:00"/>
    <s v="winter"/>
    <s v="FEBRUARY"/>
    <n v="4"/>
    <x v="0"/>
    <x v="2"/>
    <x v="0"/>
    <n v="13.120000000000001"/>
    <n v="0.53"/>
    <n v="0.28360000000000002"/>
    <n v="0"/>
    <n v="2"/>
    <n v="2"/>
  </r>
  <r>
    <n v="998"/>
    <d v="2011-02-14T00:00:00"/>
    <s v="winter"/>
    <s v="FEBRUARY"/>
    <n v="5"/>
    <x v="0"/>
    <x v="2"/>
    <x v="0"/>
    <n v="13.120000000000001"/>
    <n v="0.53"/>
    <n v="0.28360000000000002"/>
    <n v="0"/>
    <n v="3"/>
    <n v="3"/>
  </r>
  <r>
    <n v="999"/>
    <d v="2011-02-14T00:00:00"/>
    <s v="winter"/>
    <s v="FEBRUARY"/>
    <n v="6"/>
    <x v="0"/>
    <x v="2"/>
    <x v="0"/>
    <n v="13.940000000000001"/>
    <n v="0.46"/>
    <n v="0.29849999999999999"/>
    <n v="1"/>
    <n v="25"/>
    <n v="26"/>
  </r>
  <r>
    <n v="1000"/>
    <d v="2011-02-14T00:00:00"/>
    <s v="winter"/>
    <s v="FEBRUARY"/>
    <n v="7"/>
    <x v="0"/>
    <x v="2"/>
    <x v="0"/>
    <n v="13.940000000000001"/>
    <n v="0.46"/>
    <n v="0.29849999999999999"/>
    <n v="2"/>
    <n v="96"/>
    <n v="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winter"/>
    <s v="JANUARY"/>
    <n v="0"/>
    <s v="NO"/>
    <x v="0"/>
    <s v="Clear Sky"/>
    <n v="9.84"/>
    <n v="0.81"/>
    <n v="0"/>
    <n v="3"/>
    <n v="13"/>
    <n v="16"/>
  </r>
  <r>
    <n v="2"/>
    <x v="0"/>
    <s v="winter"/>
    <s v="JANUARY"/>
    <n v="1"/>
    <s v="NO"/>
    <x v="0"/>
    <s v="Clear Sky"/>
    <n v="9.02"/>
    <n v="0.8"/>
    <n v="0"/>
    <n v="8"/>
    <n v="32"/>
    <n v="40"/>
  </r>
  <r>
    <n v="3"/>
    <x v="0"/>
    <s v="winter"/>
    <s v="JANUARY"/>
    <n v="2"/>
    <s v="NO"/>
    <x v="0"/>
    <s v="Clear Sky"/>
    <n v="9.02"/>
    <n v="0.8"/>
    <n v="0"/>
    <n v="5"/>
    <n v="27"/>
    <n v="32"/>
  </r>
  <r>
    <n v="4"/>
    <x v="0"/>
    <s v="winter"/>
    <s v="JANUARY"/>
    <n v="3"/>
    <s v="NO"/>
    <x v="0"/>
    <s v="Clear Sky"/>
    <n v="9.84"/>
    <n v="0.75"/>
    <n v="0"/>
    <n v="3"/>
    <n v="10"/>
    <n v="13"/>
  </r>
  <r>
    <n v="5"/>
    <x v="0"/>
    <s v="winter"/>
    <s v="JANUARY"/>
    <n v="4"/>
    <s v="NO"/>
    <x v="0"/>
    <s v="Clear Sky"/>
    <n v="9.84"/>
    <n v="0.75"/>
    <n v="0"/>
    <n v="0"/>
    <n v="1"/>
    <n v="1"/>
  </r>
  <r>
    <n v="6"/>
    <x v="0"/>
    <s v="winter"/>
    <s v="JANUARY"/>
    <n v="5"/>
    <s v="NO"/>
    <x v="0"/>
    <s v="Mist"/>
    <n v="9.84"/>
    <n v="0.75"/>
    <n v="8.9599999999999999E-2"/>
    <n v="0"/>
    <n v="1"/>
    <n v="1"/>
  </r>
  <r>
    <n v="7"/>
    <x v="0"/>
    <s v="winter"/>
    <s v="JANUARY"/>
    <n v="6"/>
    <s v="NO"/>
    <x v="0"/>
    <s v="Clear Sky"/>
    <n v="9.02"/>
    <n v="0.8"/>
    <n v="0"/>
    <n v="2"/>
    <n v="0"/>
    <n v="2"/>
  </r>
  <r>
    <n v="8"/>
    <x v="0"/>
    <s v="winter"/>
    <s v="JANUARY"/>
    <n v="7"/>
    <s v="NO"/>
    <x v="0"/>
    <s v="Clear Sky"/>
    <n v="8.2000000000000011"/>
    <n v="0.86"/>
    <n v="0"/>
    <n v="1"/>
    <n v="2"/>
    <n v="3"/>
  </r>
  <r>
    <n v="9"/>
    <x v="0"/>
    <s v="winter"/>
    <s v="JANUARY"/>
    <n v="8"/>
    <s v="NO"/>
    <x v="0"/>
    <s v="Clear Sky"/>
    <n v="9.84"/>
    <n v="0.75"/>
    <n v="0"/>
    <n v="1"/>
    <n v="7"/>
    <n v="8"/>
  </r>
  <r>
    <n v="10"/>
    <x v="0"/>
    <s v="winter"/>
    <s v="JANUARY"/>
    <n v="9"/>
    <s v="NO"/>
    <x v="0"/>
    <s v="Clear Sky"/>
    <n v="13.120000000000001"/>
    <n v="0.76"/>
    <n v="0"/>
    <n v="8"/>
    <n v="6"/>
    <n v="14"/>
  </r>
  <r>
    <n v="11"/>
    <x v="0"/>
    <s v="winter"/>
    <s v="JANUARY"/>
    <n v="10"/>
    <s v="NO"/>
    <x v="0"/>
    <s v="Clear Sky"/>
    <n v="15.58"/>
    <n v="0.76"/>
    <n v="0.25369999999999998"/>
    <n v="12"/>
    <n v="24"/>
    <n v="36"/>
  </r>
  <r>
    <n v="12"/>
    <x v="0"/>
    <s v="winter"/>
    <s v="JANUARY"/>
    <n v="11"/>
    <s v="NO"/>
    <x v="0"/>
    <s v="Clear Sky"/>
    <n v="14.76"/>
    <n v="0.81"/>
    <n v="0.28360000000000002"/>
    <n v="26"/>
    <n v="30"/>
    <n v="56"/>
  </r>
  <r>
    <n v="13"/>
    <x v="0"/>
    <s v="winter"/>
    <s v="JANUARY"/>
    <n v="12"/>
    <s v="NO"/>
    <x v="0"/>
    <s v="Clear Sky"/>
    <n v="17.22"/>
    <n v="0.77"/>
    <n v="0.28360000000000002"/>
    <n v="29"/>
    <n v="55"/>
    <n v="84"/>
  </r>
  <r>
    <n v="14"/>
    <x v="0"/>
    <s v="winter"/>
    <s v="JANUARY"/>
    <n v="13"/>
    <s v="NO"/>
    <x v="0"/>
    <s v="Mist"/>
    <n v="18.86"/>
    <n v="0.72"/>
    <n v="0.29849999999999999"/>
    <n v="47"/>
    <n v="47"/>
    <n v="94"/>
  </r>
  <r>
    <n v="15"/>
    <x v="0"/>
    <s v="winter"/>
    <s v="JANUARY"/>
    <n v="14"/>
    <s v="NO"/>
    <x v="0"/>
    <s v="Mist"/>
    <n v="18.86"/>
    <n v="0.72"/>
    <n v="0.28360000000000002"/>
    <n v="35"/>
    <n v="71"/>
    <n v="106"/>
  </r>
  <r>
    <n v="16"/>
    <x v="0"/>
    <s v="winter"/>
    <s v="JANUARY"/>
    <n v="15"/>
    <s v="NO"/>
    <x v="0"/>
    <s v="Mist"/>
    <n v="18.04"/>
    <n v="0.77"/>
    <n v="0.29849999999999999"/>
    <n v="40"/>
    <n v="70"/>
    <n v="110"/>
  </r>
  <r>
    <n v="17"/>
    <x v="0"/>
    <s v="winter"/>
    <s v="JANUARY"/>
    <n v="16"/>
    <s v="NO"/>
    <x v="0"/>
    <s v="Mist"/>
    <n v="17.22"/>
    <n v="0.82"/>
    <n v="0.29849999999999999"/>
    <n v="41"/>
    <n v="52"/>
    <n v="93"/>
  </r>
  <r>
    <n v="18"/>
    <x v="0"/>
    <s v="winter"/>
    <s v="JANUARY"/>
    <n v="17"/>
    <s v="NO"/>
    <x v="0"/>
    <s v="Mist"/>
    <n v="18.04"/>
    <n v="0.82"/>
    <n v="0.28360000000000002"/>
    <n v="15"/>
    <n v="52"/>
    <n v="67"/>
  </r>
  <r>
    <n v="19"/>
    <x v="0"/>
    <s v="winter"/>
    <s v="JANUARY"/>
    <n v="18"/>
    <s v="NO"/>
    <x v="0"/>
    <s v="Dark Cloud"/>
    <n v="17.22"/>
    <n v="0.88"/>
    <n v="0.25369999999999998"/>
    <n v="9"/>
    <n v="26"/>
    <n v="35"/>
  </r>
  <r>
    <n v="20"/>
    <x v="0"/>
    <s v="winter"/>
    <s v="JANUARY"/>
    <n v="19"/>
    <s v="NO"/>
    <x v="0"/>
    <s v="Dark Cloud"/>
    <n v="17.22"/>
    <n v="0.88"/>
    <n v="0.25369999999999998"/>
    <n v="6"/>
    <n v="31"/>
    <n v="37"/>
  </r>
  <r>
    <n v="21"/>
    <x v="0"/>
    <s v="winter"/>
    <s v="JANUARY"/>
    <n v="20"/>
    <s v="NO"/>
    <x v="0"/>
    <s v="Mist"/>
    <n v="16.400000000000002"/>
    <n v="0.87"/>
    <n v="0.25369999999999998"/>
    <n v="11"/>
    <n v="25"/>
    <n v="36"/>
  </r>
  <r>
    <n v="22"/>
    <x v="0"/>
    <s v="winter"/>
    <s v="JANUARY"/>
    <n v="21"/>
    <s v="NO"/>
    <x v="0"/>
    <s v="Mist"/>
    <n v="16.400000000000002"/>
    <n v="0.87"/>
    <n v="0.19400000000000001"/>
    <n v="3"/>
    <n v="31"/>
    <n v="34"/>
  </r>
  <r>
    <n v="23"/>
    <x v="0"/>
    <s v="winter"/>
    <s v="JANUARY"/>
    <n v="22"/>
    <s v="NO"/>
    <x v="0"/>
    <s v="Mist"/>
    <n v="16.400000000000002"/>
    <n v="0.94"/>
    <n v="0.22389999999999999"/>
    <n v="11"/>
    <n v="17"/>
    <n v="28"/>
  </r>
  <r>
    <n v="24"/>
    <x v="0"/>
    <s v="winter"/>
    <s v="JANUARY"/>
    <n v="23"/>
    <s v="NO"/>
    <x v="0"/>
    <s v="Mist"/>
    <n v="18.86"/>
    <n v="0.88"/>
    <n v="0.29849999999999999"/>
    <n v="15"/>
    <n v="24"/>
    <n v="39"/>
  </r>
  <r>
    <n v="25"/>
    <x v="1"/>
    <s v="winter"/>
    <s v="JANUARY"/>
    <n v="0"/>
    <s v="NO"/>
    <x v="1"/>
    <s v="Mist"/>
    <n v="18.86"/>
    <n v="0.88"/>
    <n v="0.29849999999999999"/>
    <n v="4"/>
    <n v="13"/>
    <n v="17"/>
  </r>
  <r>
    <n v="26"/>
    <x v="1"/>
    <s v="winter"/>
    <s v="JANUARY"/>
    <n v="1"/>
    <s v="NO"/>
    <x v="1"/>
    <s v="Mist"/>
    <n v="18.04"/>
    <n v="0.94"/>
    <n v="0.25369999999999998"/>
    <n v="1"/>
    <n v="16"/>
    <n v="17"/>
  </r>
  <r>
    <n v="27"/>
    <x v="1"/>
    <s v="winter"/>
    <s v="JANUARY"/>
    <n v="2"/>
    <s v="NO"/>
    <x v="1"/>
    <s v="Mist"/>
    <n v="17.22"/>
    <n v="1"/>
    <n v="0.28360000000000002"/>
    <n v="1"/>
    <n v="8"/>
    <n v="9"/>
  </r>
  <r>
    <n v="28"/>
    <x v="1"/>
    <s v="winter"/>
    <s v="JANUARY"/>
    <n v="3"/>
    <s v="NO"/>
    <x v="1"/>
    <s v="Mist"/>
    <n v="18.86"/>
    <n v="0.94"/>
    <n v="0.19400000000000001"/>
    <n v="2"/>
    <n v="4"/>
    <n v="6"/>
  </r>
  <r>
    <n v="29"/>
    <x v="1"/>
    <s v="winter"/>
    <s v="JANUARY"/>
    <n v="4"/>
    <s v="NO"/>
    <x v="1"/>
    <s v="Mist"/>
    <n v="18.86"/>
    <n v="0.94"/>
    <n v="0.19400000000000001"/>
    <n v="2"/>
    <n v="1"/>
    <n v="3"/>
  </r>
  <r>
    <n v="30"/>
    <x v="1"/>
    <s v="winter"/>
    <s v="JANUARY"/>
    <n v="6"/>
    <s v="NO"/>
    <x v="1"/>
    <s v="Dark Cloud"/>
    <n v="17.22"/>
    <n v="0.77"/>
    <n v="0.29849999999999999"/>
    <n v="0"/>
    <n v="2"/>
    <n v="2"/>
  </r>
  <r>
    <n v="31"/>
    <x v="1"/>
    <s v="winter"/>
    <s v="JANUARY"/>
    <n v="7"/>
    <s v="NO"/>
    <x v="1"/>
    <s v="Mist"/>
    <n v="16.400000000000002"/>
    <n v="0.76"/>
    <n v="0.19400000000000001"/>
    <n v="0"/>
    <n v="1"/>
    <n v="1"/>
  </r>
  <r>
    <n v="32"/>
    <x v="1"/>
    <s v="winter"/>
    <s v="JANUARY"/>
    <n v="8"/>
    <s v="NO"/>
    <x v="1"/>
    <s v="Dark Cloud"/>
    <n v="16.400000000000002"/>
    <n v="0.71"/>
    <n v="0.22389999999999999"/>
    <n v="0"/>
    <n v="8"/>
    <n v="8"/>
  </r>
  <r>
    <n v="33"/>
    <x v="1"/>
    <s v="winter"/>
    <s v="JANUARY"/>
    <n v="9"/>
    <s v="NO"/>
    <x v="1"/>
    <s v="Mist"/>
    <n v="15.58"/>
    <n v="0.76"/>
    <n v="0.22389999999999999"/>
    <n v="1"/>
    <n v="19"/>
    <n v="20"/>
  </r>
  <r>
    <n v="34"/>
    <x v="1"/>
    <s v="winter"/>
    <s v="JANUARY"/>
    <n v="10"/>
    <s v="NO"/>
    <x v="1"/>
    <s v="Mist"/>
    <n v="14.76"/>
    <n v="0.81"/>
    <n v="0.22389999999999999"/>
    <n v="7"/>
    <n v="46"/>
    <n v="53"/>
  </r>
  <r>
    <n v="35"/>
    <x v="1"/>
    <s v="winter"/>
    <s v="JANUARY"/>
    <n v="11"/>
    <s v="NO"/>
    <x v="1"/>
    <s v="Mist"/>
    <n v="14.76"/>
    <n v="0.71"/>
    <n v="0.25369999999999998"/>
    <n v="16"/>
    <n v="54"/>
    <n v="70"/>
  </r>
  <r>
    <n v="36"/>
    <x v="1"/>
    <s v="winter"/>
    <s v="JANUARY"/>
    <n v="12"/>
    <s v="NO"/>
    <x v="1"/>
    <s v="Mist"/>
    <n v="14.76"/>
    <n v="0.66"/>
    <n v="0.29849999999999999"/>
    <n v="20"/>
    <n v="73"/>
    <n v="93"/>
  </r>
  <r>
    <n v="37"/>
    <x v="1"/>
    <s v="winter"/>
    <s v="JANUARY"/>
    <n v="13"/>
    <s v="NO"/>
    <x v="1"/>
    <s v="Mist"/>
    <n v="14.76"/>
    <n v="0.66"/>
    <n v="0.1343"/>
    <n v="11"/>
    <n v="64"/>
    <n v="75"/>
  </r>
  <r>
    <n v="38"/>
    <x v="1"/>
    <s v="winter"/>
    <s v="JANUARY"/>
    <n v="14"/>
    <s v="NO"/>
    <x v="1"/>
    <s v="Dark Cloud"/>
    <n v="14.76"/>
    <n v="0.76"/>
    <n v="0.19400000000000001"/>
    <n v="4"/>
    <n v="55"/>
    <n v="59"/>
  </r>
  <r>
    <n v="39"/>
    <x v="1"/>
    <s v="winter"/>
    <s v="JANUARY"/>
    <n v="15"/>
    <s v="NO"/>
    <x v="1"/>
    <s v="Dark Cloud"/>
    <n v="13.940000000000001"/>
    <n v="0.81"/>
    <n v="0.16420000000000001"/>
    <n v="19"/>
    <n v="55"/>
    <n v="74"/>
  </r>
  <r>
    <n v="40"/>
    <x v="1"/>
    <s v="winter"/>
    <s v="JANUARY"/>
    <n v="16"/>
    <s v="NO"/>
    <x v="1"/>
    <s v="Dark Cloud"/>
    <n v="13.940000000000001"/>
    <n v="0.71"/>
    <n v="0.16420000000000001"/>
    <n v="9"/>
    <n v="67"/>
    <n v="76"/>
  </r>
  <r>
    <n v="41"/>
    <x v="1"/>
    <s v="winter"/>
    <s v="JANUARY"/>
    <n v="17"/>
    <s v="NO"/>
    <x v="1"/>
    <s v="Clear Sky"/>
    <n v="13.940000000000001"/>
    <n v="0.56999999999999995"/>
    <n v="0.19400000000000001"/>
    <n v="7"/>
    <n v="58"/>
    <n v="65"/>
  </r>
  <r>
    <n v="42"/>
    <x v="1"/>
    <s v="winter"/>
    <s v="JANUARY"/>
    <n v="18"/>
    <s v="NO"/>
    <x v="1"/>
    <s v="Mist"/>
    <n v="14.76"/>
    <n v="0.46"/>
    <n v="0.32840000000000003"/>
    <n v="10"/>
    <n v="43"/>
    <n v="53"/>
  </r>
  <r>
    <n v="43"/>
    <x v="1"/>
    <s v="winter"/>
    <s v="JANUARY"/>
    <n v="19"/>
    <s v="NO"/>
    <x v="1"/>
    <s v="Clear Sky"/>
    <n v="13.120000000000001"/>
    <n v="0.42"/>
    <n v="0.44779999999999998"/>
    <n v="1"/>
    <n v="29"/>
    <n v="30"/>
  </r>
  <r>
    <n v="44"/>
    <x v="1"/>
    <s v="winter"/>
    <s v="JANUARY"/>
    <n v="20"/>
    <s v="NO"/>
    <x v="1"/>
    <s v="Clear Sky"/>
    <n v="12.299999999999999"/>
    <n v="0.39"/>
    <n v="0.35820000000000002"/>
    <n v="5"/>
    <n v="17"/>
    <n v="22"/>
  </r>
  <r>
    <n v="45"/>
    <x v="1"/>
    <s v="winter"/>
    <s v="JANUARY"/>
    <n v="21"/>
    <s v="NO"/>
    <x v="1"/>
    <s v="Clear Sky"/>
    <n v="10.66"/>
    <n v="0.44"/>
    <n v="0.32840000000000003"/>
    <n v="11"/>
    <n v="20"/>
    <n v="31"/>
  </r>
  <r>
    <n v="46"/>
    <x v="1"/>
    <s v="winter"/>
    <s v="JANUARY"/>
    <n v="22"/>
    <s v="NO"/>
    <x v="1"/>
    <s v="Clear Sky"/>
    <n v="9.84"/>
    <n v="0.44"/>
    <n v="0.29849999999999999"/>
    <n v="0"/>
    <n v="9"/>
    <n v="9"/>
  </r>
  <r>
    <n v="47"/>
    <x v="1"/>
    <s v="winter"/>
    <s v="JANUARY"/>
    <n v="23"/>
    <s v="NO"/>
    <x v="1"/>
    <s v="Clear Sky"/>
    <n v="9.02"/>
    <n v="0.47"/>
    <n v="0.16420000000000001"/>
    <n v="0"/>
    <n v="8"/>
    <n v="8"/>
  </r>
  <r>
    <n v="48"/>
    <x v="2"/>
    <s v="winter"/>
    <s v="JANUARY"/>
    <n v="0"/>
    <s v="NO"/>
    <x v="2"/>
    <s v="Clear Sky"/>
    <n v="9.02"/>
    <n v="0.44"/>
    <n v="0.35820000000000002"/>
    <n v="0"/>
    <n v="5"/>
    <n v="5"/>
  </r>
  <r>
    <n v="49"/>
    <x v="2"/>
    <s v="winter"/>
    <s v="JANUARY"/>
    <n v="1"/>
    <s v="NO"/>
    <x v="2"/>
    <s v="Clear Sky"/>
    <n v="8.2000000000000011"/>
    <n v="0.44"/>
    <n v="0.41789999999999999"/>
    <n v="0"/>
    <n v="2"/>
    <n v="2"/>
  </r>
  <r>
    <n v="50"/>
    <x v="2"/>
    <s v="winter"/>
    <s v="JANUARY"/>
    <n v="4"/>
    <s v="NO"/>
    <x v="2"/>
    <s v="Clear Sky"/>
    <n v="6.5600000000000005"/>
    <n v="0.47"/>
    <n v="0.3881"/>
    <n v="0"/>
    <n v="1"/>
    <n v="1"/>
  </r>
  <r>
    <n v="51"/>
    <x v="2"/>
    <s v="winter"/>
    <s v="JANUARY"/>
    <n v="5"/>
    <s v="NO"/>
    <x v="2"/>
    <s v="Clear Sky"/>
    <n v="6.5600000000000005"/>
    <n v="0.47"/>
    <n v="0.28360000000000002"/>
    <n v="0"/>
    <n v="3"/>
    <n v="3"/>
  </r>
  <r>
    <n v="52"/>
    <x v="2"/>
    <s v="winter"/>
    <s v="JANUARY"/>
    <n v="6"/>
    <s v="NO"/>
    <x v="2"/>
    <s v="Clear Sky"/>
    <n v="5.74"/>
    <n v="0.5"/>
    <n v="0.3881"/>
    <n v="0"/>
    <n v="30"/>
    <n v="30"/>
  </r>
  <r>
    <n v="53"/>
    <x v="2"/>
    <s v="winter"/>
    <s v="JANUARY"/>
    <n v="7"/>
    <s v="NO"/>
    <x v="2"/>
    <s v="Clear Sky"/>
    <n v="5.74"/>
    <n v="0.5"/>
    <n v="0.19400000000000001"/>
    <n v="1"/>
    <n v="63"/>
    <n v="64"/>
  </r>
  <r>
    <n v="54"/>
    <x v="2"/>
    <s v="winter"/>
    <s v="JANUARY"/>
    <n v="8"/>
    <s v="NO"/>
    <x v="2"/>
    <s v="Clear Sky"/>
    <n v="5.74"/>
    <n v="0.5"/>
    <n v="0.28360000000000002"/>
    <n v="1"/>
    <n v="153"/>
    <n v="154"/>
  </r>
  <r>
    <n v="55"/>
    <x v="2"/>
    <s v="winter"/>
    <s v="JANUARY"/>
    <n v="9"/>
    <s v="NO"/>
    <x v="2"/>
    <s v="Clear Sky"/>
    <n v="6.5600000000000005"/>
    <n v="0.43"/>
    <n v="0.3881"/>
    <n v="7"/>
    <n v="81"/>
    <n v="88"/>
  </r>
  <r>
    <n v="56"/>
    <x v="2"/>
    <s v="winter"/>
    <s v="JANUARY"/>
    <n v="10"/>
    <s v="NO"/>
    <x v="2"/>
    <s v="Clear Sky"/>
    <n v="7.38"/>
    <n v="0.43"/>
    <n v="0.25369999999999998"/>
    <n v="11"/>
    <n v="33"/>
    <n v="44"/>
  </r>
  <r>
    <n v="57"/>
    <x v="2"/>
    <s v="winter"/>
    <s v="JANUARY"/>
    <n v="11"/>
    <s v="NO"/>
    <x v="2"/>
    <s v="Clear Sky"/>
    <n v="8.2000000000000011"/>
    <n v="0.4"/>
    <n v="0.32840000000000003"/>
    <n v="10"/>
    <n v="41"/>
    <n v="51"/>
  </r>
  <r>
    <n v="58"/>
    <x v="2"/>
    <s v="winter"/>
    <s v="JANUARY"/>
    <n v="12"/>
    <s v="NO"/>
    <x v="2"/>
    <s v="Clear Sky"/>
    <n v="9.02"/>
    <n v="0.35"/>
    <n v="0.29849999999999999"/>
    <n v="13"/>
    <n v="48"/>
    <n v="61"/>
  </r>
  <r>
    <n v="59"/>
    <x v="2"/>
    <s v="winter"/>
    <s v="JANUARY"/>
    <n v="13"/>
    <s v="NO"/>
    <x v="2"/>
    <s v="Clear Sky"/>
    <n v="9.84"/>
    <n v="0.35"/>
    <n v="0.28360000000000002"/>
    <n v="8"/>
    <n v="53"/>
    <n v="61"/>
  </r>
  <r>
    <n v="60"/>
    <x v="2"/>
    <s v="winter"/>
    <s v="JANUARY"/>
    <n v="14"/>
    <s v="NO"/>
    <x v="2"/>
    <s v="Clear Sky"/>
    <n v="10.66"/>
    <n v="0.3"/>
    <n v="0.28360000000000002"/>
    <n v="11"/>
    <n v="66"/>
    <n v="77"/>
  </r>
  <r>
    <n v="61"/>
    <x v="2"/>
    <s v="winter"/>
    <s v="JANUARY"/>
    <n v="15"/>
    <s v="NO"/>
    <x v="2"/>
    <s v="Clear Sky"/>
    <n v="10.66"/>
    <n v="0.3"/>
    <n v="0.25369999999999998"/>
    <n v="14"/>
    <n v="58"/>
    <n v="72"/>
  </r>
  <r>
    <n v="62"/>
    <x v="2"/>
    <s v="winter"/>
    <s v="JANUARY"/>
    <n v="16"/>
    <s v="NO"/>
    <x v="2"/>
    <s v="Clear Sky"/>
    <n v="10.66"/>
    <n v="0.3"/>
    <n v="0.25369999999999998"/>
    <n v="9"/>
    <n v="67"/>
    <n v="76"/>
  </r>
  <r>
    <n v="63"/>
    <x v="2"/>
    <s v="winter"/>
    <s v="JANUARY"/>
    <n v="17"/>
    <s v="NO"/>
    <x v="2"/>
    <s v="Clear Sky"/>
    <n v="9.84"/>
    <n v="0.3"/>
    <n v="0.22389999999999999"/>
    <n v="11"/>
    <n v="146"/>
    <n v="157"/>
  </r>
  <r>
    <n v="64"/>
    <x v="2"/>
    <s v="winter"/>
    <s v="JANUARY"/>
    <n v="18"/>
    <s v="NO"/>
    <x v="2"/>
    <s v="Clear Sky"/>
    <n v="9.84"/>
    <n v="0.32"/>
    <n v="0.1045"/>
    <n v="9"/>
    <n v="148"/>
    <n v="157"/>
  </r>
  <r>
    <n v="65"/>
    <x v="2"/>
    <s v="winter"/>
    <s v="JANUARY"/>
    <n v="19"/>
    <s v="NO"/>
    <x v="2"/>
    <s v="Clear Sky"/>
    <n v="8.2000000000000011"/>
    <n v="0.47"/>
    <n v="0"/>
    <n v="8"/>
    <n v="102"/>
    <n v="110"/>
  </r>
  <r>
    <n v="66"/>
    <x v="2"/>
    <s v="winter"/>
    <s v="JANUARY"/>
    <n v="20"/>
    <s v="NO"/>
    <x v="2"/>
    <s v="Clear Sky"/>
    <n v="8.2000000000000011"/>
    <n v="0.47"/>
    <n v="0.1045"/>
    <n v="3"/>
    <n v="49"/>
    <n v="52"/>
  </r>
  <r>
    <n v="67"/>
    <x v="2"/>
    <s v="winter"/>
    <s v="JANUARY"/>
    <n v="21"/>
    <s v="NO"/>
    <x v="2"/>
    <s v="Clear Sky"/>
    <n v="7.38"/>
    <n v="0.64"/>
    <n v="0.1343"/>
    <n v="3"/>
    <n v="49"/>
    <n v="52"/>
  </r>
  <r>
    <n v="68"/>
    <x v="2"/>
    <s v="winter"/>
    <s v="JANUARY"/>
    <n v="22"/>
    <s v="NO"/>
    <x v="2"/>
    <s v="Clear Sky"/>
    <n v="5.74"/>
    <n v="0.69"/>
    <n v="0.1343"/>
    <n v="0"/>
    <n v="20"/>
    <n v="20"/>
  </r>
  <r>
    <n v="69"/>
    <x v="2"/>
    <s v="winter"/>
    <s v="JANUARY"/>
    <n v="23"/>
    <s v="NO"/>
    <x v="2"/>
    <s v="Clear Sky"/>
    <n v="7.38"/>
    <n v="0.55000000000000004"/>
    <n v="0.1045"/>
    <n v="1"/>
    <n v="11"/>
    <n v="12"/>
  </r>
  <r>
    <n v="70"/>
    <x v="3"/>
    <s v="winter"/>
    <s v="JANUARY"/>
    <n v="0"/>
    <s v="NO"/>
    <x v="3"/>
    <s v="Clear Sky"/>
    <n v="6.5600000000000005"/>
    <n v="0.55000000000000004"/>
    <n v="0.1045"/>
    <n v="0"/>
    <n v="5"/>
    <n v="5"/>
  </r>
  <r>
    <n v="71"/>
    <x v="3"/>
    <s v="winter"/>
    <s v="JANUARY"/>
    <n v="1"/>
    <s v="NO"/>
    <x v="3"/>
    <s v="Clear Sky"/>
    <n v="6.5600000000000005"/>
    <n v="0.59"/>
    <n v="0.1045"/>
    <n v="0"/>
    <n v="2"/>
    <n v="2"/>
  </r>
  <r>
    <n v="72"/>
    <x v="3"/>
    <s v="winter"/>
    <s v="JANUARY"/>
    <n v="2"/>
    <s v="NO"/>
    <x v="3"/>
    <s v="Clear Sky"/>
    <n v="5.74"/>
    <n v="0.63"/>
    <n v="0.1343"/>
    <n v="0"/>
    <n v="1"/>
    <n v="1"/>
  </r>
  <r>
    <n v="73"/>
    <x v="3"/>
    <s v="winter"/>
    <s v="JANUARY"/>
    <n v="4"/>
    <s v="NO"/>
    <x v="3"/>
    <s v="Clear Sky"/>
    <n v="5.74"/>
    <n v="0.63"/>
    <n v="8.9599999999999999E-2"/>
    <n v="0"/>
    <n v="2"/>
    <n v="2"/>
  </r>
  <r>
    <n v="74"/>
    <x v="3"/>
    <s v="winter"/>
    <s v="JANUARY"/>
    <n v="5"/>
    <s v="NO"/>
    <x v="3"/>
    <s v="Clear Sky"/>
    <n v="4.92"/>
    <n v="0.68"/>
    <n v="0.1045"/>
    <n v="0"/>
    <n v="4"/>
    <n v="4"/>
  </r>
  <r>
    <n v="75"/>
    <x v="3"/>
    <s v="winter"/>
    <s v="JANUARY"/>
    <n v="6"/>
    <s v="NO"/>
    <x v="3"/>
    <s v="Clear Sky"/>
    <n v="4.92"/>
    <n v="0.74"/>
    <n v="0.1045"/>
    <n v="0"/>
    <n v="36"/>
    <n v="36"/>
  </r>
  <r>
    <n v="76"/>
    <x v="3"/>
    <s v="winter"/>
    <s v="JANUARY"/>
    <n v="7"/>
    <s v="NO"/>
    <x v="3"/>
    <s v="Clear Sky"/>
    <n v="4.92"/>
    <n v="0.74"/>
    <n v="0.1343"/>
    <n v="2"/>
    <n v="92"/>
    <n v="94"/>
  </r>
  <r>
    <n v="77"/>
    <x v="3"/>
    <s v="winter"/>
    <s v="JANUARY"/>
    <n v="8"/>
    <s v="NO"/>
    <x v="3"/>
    <s v="Clear Sky"/>
    <n v="5.74"/>
    <n v="0.69"/>
    <n v="0.16420000000000001"/>
    <n v="2"/>
    <n v="177"/>
    <n v="179"/>
  </r>
  <r>
    <n v="78"/>
    <x v="3"/>
    <s v="winter"/>
    <s v="JANUARY"/>
    <n v="9"/>
    <s v="NO"/>
    <x v="3"/>
    <s v="Clear Sky"/>
    <n v="6.5600000000000005"/>
    <n v="0.64"/>
    <n v="0.22389999999999999"/>
    <n v="2"/>
    <n v="98"/>
    <n v="100"/>
  </r>
  <r>
    <n v="79"/>
    <x v="3"/>
    <s v="winter"/>
    <s v="JANUARY"/>
    <n v="10"/>
    <s v="NO"/>
    <x v="3"/>
    <s v="Mist"/>
    <n v="6.5600000000000005"/>
    <n v="0.69"/>
    <n v="0.32840000000000003"/>
    <n v="5"/>
    <n v="37"/>
    <n v="42"/>
  </r>
  <r>
    <n v="80"/>
    <x v="3"/>
    <s v="winter"/>
    <s v="JANUARY"/>
    <n v="11"/>
    <s v="NO"/>
    <x v="3"/>
    <s v="Clear Sky"/>
    <n v="9.02"/>
    <n v="0.51"/>
    <n v="0.29849999999999999"/>
    <n v="7"/>
    <n v="50"/>
    <n v="57"/>
  </r>
  <r>
    <n v="81"/>
    <x v="3"/>
    <s v="winter"/>
    <s v="JANUARY"/>
    <n v="12"/>
    <s v="NO"/>
    <x v="3"/>
    <s v="Clear Sky"/>
    <n v="9.02"/>
    <n v="0.51"/>
    <n v="0.16420000000000001"/>
    <n v="12"/>
    <n v="66"/>
    <n v="78"/>
  </r>
  <r>
    <n v="82"/>
    <x v="3"/>
    <s v="winter"/>
    <s v="JANUARY"/>
    <n v="13"/>
    <s v="NO"/>
    <x v="3"/>
    <s v="Clear Sky"/>
    <n v="9.84"/>
    <n v="0.56000000000000005"/>
    <n v="0.19400000000000001"/>
    <n v="18"/>
    <n v="79"/>
    <n v="97"/>
  </r>
  <r>
    <n v="83"/>
    <x v="3"/>
    <s v="winter"/>
    <s v="JANUARY"/>
    <n v="14"/>
    <s v="NO"/>
    <x v="3"/>
    <s v="Clear Sky"/>
    <n v="10.66"/>
    <n v="0.52"/>
    <n v="0.22389999999999999"/>
    <n v="9"/>
    <n v="54"/>
    <n v="63"/>
  </r>
  <r>
    <n v="84"/>
    <x v="3"/>
    <s v="winter"/>
    <s v="JANUARY"/>
    <n v="15"/>
    <s v="NO"/>
    <x v="3"/>
    <s v="Clear Sky"/>
    <n v="11.48"/>
    <n v="0.52"/>
    <n v="0.25369999999999998"/>
    <n v="17"/>
    <n v="48"/>
    <n v="65"/>
  </r>
  <r>
    <n v="85"/>
    <x v="3"/>
    <s v="winter"/>
    <s v="JANUARY"/>
    <n v="16"/>
    <s v="NO"/>
    <x v="3"/>
    <s v="Clear Sky"/>
    <n v="12.299999999999999"/>
    <n v="0.49"/>
    <n v="0.25369999999999998"/>
    <n v="15"/>
    <n v="68"/>
    <n v="83"/>
  </r>
  <r>
    <n v="86"/>
    <x v="3"/>
    <s v="winter"/>
    <s v="JANUARY"/>
    <n v="17"/>
    <s v="NO"/>
    <x v="3"/>
    <s v="Clear Sky"/>
    <n v="11.48"/>
    <n v="0.48"/>
    <n v="0.22389999999999999"/>
    <n v="10"/>
    <n v="202"/>
    <n v="212"/>
  </r>
  <r>
    <n v="87"/>
    <x v="3"/>
    <s v="winter"/>
    <s v="JANUARY"/>
    <n v="18"/>
    <s v="NO"/>
    <x v="3"/>
    <s v="Clear Sky"/>
    <n v="10.66"/>
    <n v="0.48"/>
    <n v="0.19400000000000001"/>
    <n v="3"/>
    <n v="179"/>
    <n v="182"/>
  </r>
  <r>
    <n v="88"/>
    <x v="3"/>
    <s v="winter"/>
    <s v="JANUARY"/>
    <n v="19"/>
    <s v="NO"/>
    <x v="3"/>
    <s v="Clear Sky"/>
    <n v="9.84"/>
    <n v="0.48"/>
    <n v="0.1045"/>
    <n v="2"/>
    <n v="110"/>
    <n v="112"/>
  </r>
  <r>
    <n v="89"/>
    <x v="3"/>
    <s v="winter"/>
    <s v="JANUARY"/>
    <n v="20"/>
    <s v="NO"/>
    <x v="3"/>
    <s v="Clear Sky"/>
    <n v="9.84"/>
    <n v="0.48"/>
    <n v="0.1045"/>
    <n v="1"/>
    <n v="53"/>
    <n v="54"/>
  </r>
  <r>
    <n v="90"/>
    <x v="3"/>
    <s v="winter"/>
    <s v="JANUARY"/>
    <n v="21"/>
    <s v="NO"/>
    <x v="3"/>
    <s v="Clear Sky"/>
    <n v="9.02"/>
    <n v="0.64"/>
    <n v="0"/>
    <n v="0"/>
    <n v="48"/>
    <n v="48"/>
  </r>
  <r>
    <n v="91"/>
    <x v="3"/>
    <s v="winter"/>
    <s v="JANUARY"/>
    <n v="22"/>
    <s v="NO"/>
    <x v="3"/>
    <s v="Clear Sky"/>
    <n v="9.02"/>
    <n v="0.64"/>
    <n v="8.9599999999999999E-2"/>
    <n v="1"/>
    <n v="34"/>
    <n v="35"/>
  </r>
  <r>
    <n v="92"/>
    <x v="3"/>
    <s v="winter"/>
    <s v="JANUARY"/>
    <n v="23"/>
    <s v="NO"/>
    <x v="3"/>
    <s v="Clear Sky"/>
    <n v="8.2000000000000011"/>
    <n v="0.69"/>
    <n v="8.9599999999999999E-2"/>
    <n v="2"/>
    <n v="9"/>
    <n v="11"/>
  </r>
  <r>
    <n v="93"/>
    <x v="4"/>
    <s v="winter"/>
    <s v="JANUARY"/>
    <n v="0"/>
    <s v="NO"/>
    <x v="4"/>
    <s v="Clear Sky"/>
    <n v="8.2000000000000011"/>
    <n v="0.64"/>
    <n v="0"/>
    <n v="0"/>
    <n v="6"/>
    <n v="6"/>
  </r>
  <r>
    <n v="94"/>
    <x v="4"/>
    <s v="winter"/>
    <s v="JANUARY"/>
    <n v="1"/>
    <s v="NO"/>
    <x v="4"/>
    <s v="Clear Sky"/>
    <n v="6.5600000000000005"/>
    <n v="0.74"/>
    <n v="8.9599999999999999E-2"/>
    <n v="0"/>
    <n v="6"/>
    <n v="6"/>
  </r>
  <r>
    <n v="95"/>
    <x v="4"/>
    <s v="winter"/>
    <s v="JANUARY"/>
    <n v="2"/>
    <s v="NO"/>
    <x v="4"/>
    <s v="Clear Sky"/>
    <n v="6.5600000000000005"/>
    <n v="0.74"/>
    <n v="8.9599999999999999E-2"/>
    <n v="0"/>
    <n v="2"/>
    <n v="2"/>
  </r>
  <r>
    <n v="96"/>
    <x v="4"/>
    <s v="winter"/>
    <s v="JANUARY"/>
    <n v="4"/>
    <s v="NO"/>
    <x v="4"/>
    <s v="Clear Sky"/>
    <n v="9.84"/>
    <n v="0.48"/>
    <n v="0.22389999999999999"/>
    <n v="0"/>
    <n v="2"/>
    <n v="2"/>
  </r>
  <r>
    <n v="97"/>
    <x v="4"/>
    <s v="winter"/>
    <s v="JANUARY"/>
    <n v="5"/>
    <s v="NO"/>
    <x v="4"/>
    <s v="Clear Sky"/>
    <n v="9.02"/>
    <n v="0.47"/>
    <n v="0.16420000000000001"/>
    <n v="0"/>
    <n v="3"/>
    <n v="3"/>
  </r>
  <r>
    <n v="98"/>
    <x v="4"/>
    <s v="winter"/>
    <s v="JANUARY"/>
    <n v="6"/>
    <s v="NO"/>
    <x v="4"/>
    <s v="Clear Sky"/>
    <n v="8.2000000000000011"/>
    <n v="0.47"/>
    <n v="0.22389999999999999"/>
    <n v="0"/>
    <n v="33"/>
    <n v="33"/>
  </r>
  <r>
    <n v="99"/>
    <x v="4"/>
    <s v="winter"/>
    <s v="JANUARY"/>
    <n v="7"/>
    <s v="NO"/>
    <x v="4"/>
    <s v="Clear Sky"/>
    <n v="7.38"/>
    <n v="0.43"/>
    <n v="0.19400000000000001"/>
    <n v="1"/>
    <n v="87"/>
    <n v="88"/>
  </r>
  <r>
    <n v="100"/>
    <x v="4"/>
    <s v="winter"/>
    <s v="JANUARY"/>
    <n v="8"/>
    <s v="NO"/>
    <x v="4"/>
    <s v="Clear Sky"/>
    <n v="8.2000000000000011"/>
    <n v="0.4"/>
    <n v="0.29849999999999999"/>
    <n v="3"/>
    <n v="192"/>
    <n v="195"/>
  </r>
  <r>
    <n v="101"/>
    <x v="4"/>
    <s v="winter"/>
    <s v="JANUARY"/>
    <n v="9"/>
    <s v="NO"/>
    <x v="4"/>
    <s v="Clear Sky"/>
    <n v="9.02"/>
    <n v="0.37"/>
    <n v="0.32840000000000003"/>
    <n v="6"/>
    <n v="109"/>
    <n v="115"/>
  </r>
  <r>
    <n v="102"/>
    <x v="4"/>
    <s v="winter"/>
    <s v="JANUARY"/>
    <n v="10"/>
    <s v="NO"/>
    <x v="4"/>
    <s v="Clear Sky"/>
    <n v="9.02"/>
    <n v="0.37"/>
    <n v="0.32840000000000003"/>
    <n v="4"/>
    <n v="53"/>
    <n v="57"/>
  </r>
  <r>
    <n v="103"/>
    <x v="4"/>
    <s v="winter"/>
    <s v="JANUARY"/>
    <n v="11"/>
    <s v="NO"/>
    <x v="4"/>
    <s v="Clear Sky"/>
    <n v="10.66"/>
    <n v="0.33"/>
    <n v="0.32840000000000003"/>
    <n v="12"/>
    <n v="34"/>
    <n v="46"/>
  </r>
  <r>
    <n v="104"/>
    <x v="4"/>
    <s v="winter"/>
    <s v="JANUARY"/>
    <n v="12"/>
    <s v="NO"/>
    <x v="4"/>
    <s v="Clear Sky"/>
    <n v="10.66"/>
    <n v="0.33"/>
    <n v="0.32840000000000003"/>
    <n v="5"/>
    <n v="74"/>
    <n v="79"/>
  </r>
  <r>
    <n v="105"/>
    <x v="4"/>
    <s v="winter"/>
    <s v="JANUARY"/>
    <n v="13"/>
    <s v="NO"/>
    <x v="4"/>
    <s v="Clear Sky"/>
    <n v="11.48"/>
    <n v="0.3"/>
    <n v="0.29849999999999999"/>
    <n v="6"/>
    <n v="65"/>
    <n v="71"/>
  </r>
  <r>
    <n v="106"/>
    <x v="4"/>
    <s v="winter"/>
    <s v="JANUARY"/>
    <n v="14"/>
    <s v="NO"/>
    <x v="4"/>
    <s v="Clear Sky"/>
    <n v="12.299999999999999"/>
    <n v="0.28000000000000003"/>
    <n v="0.19400000000000001"/>
    <n v="10"/>
    <n v="52"/>
    <n v="62"/>
  </r>
  <r>
    <n v="107"/>
    <x v="4"/>
    <s v="winter"/>
    <s v="JANUARY"/>
    <n v="15"/>
    <s v="NO"/>
    <x v="4"/>
    <s v="Clear Sky"/>
    <n v="12.299999999999999"/>
    <n v="0.28000000000000003"/>
    <n v="0.19400000000000001"/>
    <n v="7"/>
    <n v="55"/>
    <n v="62"/>
  </r>
  <r>
    <n v="108"/>
    <x v="4"/>
    <s v="winter"/>
    <s v="JANUARY"/>
    <n v="16"/>
    <s v="NO"/>
    <x v="4"/>
    <s v="Clear Sky"/>
    <n v="12.299999999999999"/>
    <n v="0.28000000000000003"/>
    <n v="8.9599999999999999E-2"/>
    <n v="4"/>
    <n v="85"/>
    <n v="89"/>
  </r>
  <r>
    <n v="109"/>
    <x v="4"/>
    <s v="winter"/>
    <s v="JANUARY"/>
    <n v="17"/>
    <s v="NO"/>
    <x v="4"/>
    <s v="Clear Sky"/>
    <n v="9.84"/>
    <n v="0.38"/>
    <n v="0.19400000000000001"/>
    <n v="4"/>
    <n v="186"/>
    <n v="190"/>
  </r>
  <r>
    <n v="110"/>
    <x v="4"/>
    <s v="winter"/>
    <s v="JANUARY"/>
    <n v="18"/>
    <s v="NO"/>
    <x v="4"/>
    <s v="Clear Sky"/>
    <n v="9.84"/>
    <n v="0.38"/>
    <n v="0.1343"/>
    <n v="3"/>
    <n v="166"/>
    <n v="169"/>
  </r>
  <r>
    <n v="111"/>
    <x v="4"/>
    <s v="winter"/>
    <s v="JANUARY"/>
    <n v="19"/>
    <s v="NO"/>
    <x v="4"/>
    <s v="Clear Sky"/>
    <n v="9.84"/>
    <n v="0.38"/>
    <n v="0.1045"/>
    <n v="5"/>
    <n v="127"/>
    <n v="132"/>
  </r>
  <r>
    <n v="112"/>
    <x v="4"/>
    <s v="winter"/>
    <s v="JANUARY"/>
    <n v="20"/>
    <s v="NO"/>
    <x v="4"/>
    <s v="Clear Sky"/>
    <n v="9.02"/>
    <n v="0.47"/>
    <n v="0.16420000000000001"/>
    <n v="7"/>
    <n v="82"/>
    <n v="89"/>
  </r>
  <r>
    <n v="113"/>
    <x v="4"/>
    <s v="winter"/>
    <s v="JANUARY"/>
    <n v="21"/>
    <s v="NO"/>
    <x v="4"/>
    <s v="Clear Sky"/>
    <n v="8.2000000000000011"/>
    <n v="0.51"/>
    <n v="0.19400000000000001"/>
    <n v="3"/>
    <n v="40"/>
    <n v="43"/>
  </r>
  <r>
    <n v="114"/>
    <x v="4"/>
    <s v="winter"/>
    <s v="JANUARY"/>
    <n v="22"/>
    <s v="NO"/>
    <x v="4"/>
    <s v="Clear Sky"/>
    <n v="7.38"/>
    <n v="0.55000000000000004"/>
    <n v="0.1343"/>
    <n v="1"/>
    <n v="41"/>
    <n v="42"/>
  </r>
  <r>
    <n v="115"/>
    <x v="4"/>
    <s v="winter"/>
    <s v="JANUARY"/>
    <n v="23"/>
    <s v="NO"/>
    <x v="4"/>
    <s v="Clear Sky"/>
    <n v="8.2000000000000011"/>
    <n v="0.47"/>
    <n v="0"/>
    <n v="1"/>
    <n v="18"/>
    <n v="19"/>
  </r>
  <r>
    <n v="116"/>
    <x v="5"/>
    <s v="winter"/>
    <s v="JANUARY"/>
    <n v="0"/>
    <s v="NO"/>
    <x v="5"/>
    <s v="Clear Sky"/>
    <n v="7.38"/>
    <n v="0.55000000000000004"/>
    <n v="0"/>
    <n v="0"/>
    <n v="11"/>
    <n v="11"/>
  </r>
  <r>
    <n v="117"/>
    <x v="5"/>
    <s v="winter"/>
    <s v="JANUARY"/>
    <n v="1"/>
    <s v="NO"/>
    <x v="5"/>
    <s v="Clear Sky"/>
    <n v="6.5600000000000005"/>
    <n v="0.64"/>
    <n v="0"/>
    <n v="0"/>
    <n v="4"/>
    <n v="4"/>
  </r>
  <r>
    <n v="118"/>
    <x v="5"/>
    <s v="winter"/>
    <s v="JANUARY"/>
    <n v="2"/>
    <s v="NO"/>
    <x v="5"/>
    <s v="Clear Sky"/>
    <n v="6.5600000000000005"/>
    <n v="0.64"/>
    <n v="0"/>
    <n v="0"/>
    <n v="2"/>
    <n v="2"/>
  </r>
  <r>
    <n v="119"/>
    <x v="5"/>
    <s v="winter"/>
    <s v="JANUARY"/>
    <n v="4"/>
    <s v="NO"/>
    <x v="5"/>
    <s v="Mist"/>
    <n v="6.5600000000000005"/>
    <n v="0.64"/>
    <n v="8.9599999999999999E-2"/>
    <n v="0"/>
    <n v="1"/>
    <n v="1"/>
  </r>
  <r>
    <n v="120"/>
    <x v="5"/>
    <s v="winter"/>
    <s v="JANUARY"/>
    <n v="5"/>
    <s v="NO"/>
    <x v="5"/>
    <s v="Mist"/>
    <n v="5.74"/>
    <n v="0.69"/>
    <n v="8.9599999999999999E-2"/>
    <n v="0"/>
    <n v="4"/>
    <n v="4"/>
  </r>
  <r>
    <n v="121"/>
    <x v="5"/>
    <s v="winter"/>
    <s v="JANUARY"/>
    <n v="6"/>
    <s v="NO"/>
    <x v="5"/>
    <s v="Mist"/>
    <n v="5.74"/>
    <n v="0.63"/>
    <n v="0.1045"/>
    <n v="0"/>
    <n v="36"/>
    <n v="36"/>
  </r>
  <r>
    <n v="122"/>
    <x v="5"/>
    <s v="winter"/>
    <s v="JANUARY"/>
    <n v="7"/>
    <s v="NO"/>
    <x v="5"/>
    <s v="Mist"/>
    <n v="6.5600000000000005"/>
    <n v="0.59"/>
    <n v="0"/>
    <n v="0"/>
    <n v="95"/>
    <n v="95"/>
  </r>
  <r>
    <n v="123"/>
    <x v="5"/>
    <s v="winter"/>
    <s v="JANUARY"/>
    <n v="8"/>
    <s v="NO"/>
    <x v="5"/>
    <s v="Clear Sky"/>
    <n v="6.5600000000000005"/>
    <n v="0.59"/>
    <n v="0"/>
    <n v="3"/>
    <n v="216"/>
    <n v="219"/>
  </r>
  <r>
    <n v="124"/>
    <x v="5"/>
    <s v="winter"/>
    <s v="JANUARY"/>
    <n v="9"/>
    <s v="NO"/>
    <x v="5"/>
    <s v="Mist"/>
    <n v="7.38"/>
    <n v="0.51"/>
    <n v="0"/>
    <n v="6"/>
    <n v="116"/>
    <n v="122"/>
  </r>
  <r>
    <n v="125"/>
    <x v="5"/>
    <s v="winter"/>
    <s v="JANUARY"/>
    <n v="10"/>
    <s v="NO"/>
    <x v="5"/>
    <s v="Clear Sky"/>
    <n v="8.2000000000000011"/>
    <n v="0.47"/>
    <n v="0"/>
    <n v="3"/>
    <n v="42"/>
    <n v="45"/>
  </r>
  <r>
    <n v="126"/>
    <x v="5"/>
    <s v="winter"/>
    <s v="JANUARY"/>
    <n v="11"/>
    <s v="NO"/>
    <x v="5"/>
    <s v="Clear Sky"/>
    <n v="9.02"/>
    <n v="0.44"/>
    <n v="8.9599999999999999E-2"/>
    <n v="2"/>
    <n v="57"/>
    <n v="59"/>
  </r>
  <r>
    <n v="127"/>
    <x v="5"/>
    <s v="winter"/>
    <s v="JANUARY"/>
    <n v="12"/>
    <s v="NO"/>
    <x v="5"/>
    <s v="Clear Sky"/>
    <n v="10.66"/>
    <n v="0.35"/>
    <n v="0"/>
    <n v="6"/>
    <n v="78"/>
    <n v="84"/>
  </r>
  <r>
    <n v="128"/>
    <x v="5"/>
    <s v="winter"/>
    <s v="JANUARY"/>
    <n v="13"/>
    <s v="NO"/>
    <x v="5"/>
    <s v="Clear Sky"/>
    <n v="10.66"/>
    <n v="0.35"/>
    <n v="0.1045"/>
    <n v="12"/>
    <n v="55"/>
    <n v="67"/>
  </r>
  <r>
    <n v="129"/>
    <x v="5"/>
    <s v="winter"/>
    <s v="JANUARY"/>
    <n v="14"/>
    <s v="NO"/>
    <x v="5"/>
    <s v="Clear Sky"/>
    <n v="11.48"/>
    <n v="0.36"/>
    <n v="0.16420000000000001"/>
    <n v="11"/>
    <n v="59"/>
    <n v="70"/>
  </r>
  <r>
    <n v="130"/>
    <x v="5"/>
    <s v="winter"/>
    <s v="JANUARY"/>
    <n v="15"/>
    <s v="NO"/>
    <x v="5"/>
    <s v="Clear Sky"/>
    <n v="11.48"/>
    <n v="0.36"/>
    <n v="0"/>
    <n v="8"/>
    <n v="54"/>
    <n v="62"/>
  </r>
  <r>
    <n v="131"/>
    <x v="5"/>
    <s v="winter"/>
    <s v="JANUARY"/>
    <n v="16"/>
    <s v="NO"/>
    <x v="5"/>
    <s v="Clear Sky"/>
    <n v="10.66"/>
    <n v="0.38"/>
    <n v="0.16420000000000001"/>
    <n v="12"/>
    <n v="74"/>
    <n v="86"/>
  </r>
  <r>
    <n v="132"/>
    <x v="5"/>
    <s v="winter"/>
    <s v="JANUARY"/>
    <n v="17"/>
    <s v="NO"/>
    <x v="5"/>
    <s v="Clear Sky"/>
    <n v="9.02"/>
    <n v="0.51"/>
    <n v="0.16420000000000001"/>
    <n v="9"/>
    <n v="163"/>
    <n v="172"/>
  </r>
  <r>
    <n v="133"/>
    <x v="5"/>
    <s v="winter"/>
    <s v="JANUARY"/>
    <n v="18"/>
    <s v="NO"/>
    <x v="5"/>
    <s v="Clear Sky"/>
    <n v="9.02"/>
    <n v="0.51"/>
    <n v="0.1343"/>
    <n v="5"/>
    <n v="158"/>
    <n v="163"/>
  </r>
  <r>
    <n v="134"/>
    <x v="5"/>
    <s v="winter"/>
    <s v="JANUARY"/>
    <n v="19"/>
    <s v="NO"/>
    <x v="5"/>
    <s v="Clear Sky"/>
    <n v="9.02"/>
    <n v="0.55000000000000004"/>
    <n v="8.9599999999999999E-2"/>
    <n v="3"/>
    <n v="109"/>
    <n v="112"/>
  </r>
  <r>
    <n v="135"/>
    <x v="5"/>
    <s v="winter"/>
    <s v="JANUARY"/>
    <n v="20"/>
    <s v="NO"/>
    <x v="5"/>
    <s v="Clear Sky"/>
    <n v="8.2000000000000011"/>
    <n v="0.51"/>
    <n v="0.16420000000000001"/>
    <n v="3"/>
    <n v="66"/>
    <n v="69"/>
  </r>
  <r>
    <n v="136"/>
    <x v="5"/>
    <s v="winter"/>
    <s v="JANUARY"/>
    <n v="21"/>
    <s v="NO"/>
    <x v="5"/>
    <s v="Mist"/>
    <n v="9.02"/>
    <n v="0.55000000000000004"/>
    <n v="0.22389999999999999"/>
    <n v="0"/>
    <n v="48"/>
    <n v="48"/>
  </r>
  <r>
    <n v="137"/>
    <x v="5"/>
    <s v="winter"/>
    <s v="JANUARY"/>
    <n v="22"/>
    <s v="NO"/>
    <x v="5"/>
    <s v="Mist"/>
    <n v="9.02"/>
    <n v="0.51"/>
    <n v="0.28360000000000002"/>
    <n v="1"/>
    <n v="51"/>
    <n v="52"/>
  </r>
  <r>
    <n v="138"/>
    <x v="5"/>
    <s v="winter"/>
    <s v="JANUARY"/>
    <n v="23"/>
    <s v="NO"/>
    <x v="5"/>
    <s v="Mist"/>
    <n v="8.2000000000000011"/>
    <n v="0.59"/>
    <n v="0.19400000000000001"/>
    <n v="4"/>
    <n v="19"/>
    <n v="23"/>
  </r>
  <r>
    <n v="139"/>
    <x v="6"/>
    <s v="winter"/>
    <s v="JANUARY"/>
    <n v="0"/>
    <s v="NO"/>
    <x v="6"/>
    <s v="Mist"/>
    <n v="8.2000000000000011"/>
    <n v="0.64"/>
    <n v="0.19400000000000001"/>
    <n v="4"/>
    <n v="13"/>
    <n v="17"/>
  </r>
  <r>
    <n v="140"/>
    <x v="6"/>
    <s v="winter"/>
    <s v="JANUARY"/>
    <n v="1"/>
    <s v="NO"/>
    <x v="6"/>
    <s v="Mist"/>
    <n v="8.2000000000000011"/>
    <n v="0.69"/>
    <n v="0.22389999999999999"/>
    <n v="2"/>
    <n v="5"/>
    <n v="7"/>
  </r>
  <r>
    <n v="141"/>
    <x v="6"/>
    <s v="winter"/>
    <s v="JANUARY"/>
    <n v="2"/>
    <s v="NO"/>
    <x v="6"/>
    <s v="Mist"/>
    <n v="8.2000000000000011"/>
    <n v="0.69"/>
    <n v="0.22389999999999999"/>
    <n v="0"/>
    <n v="1"/>
    <n v="1"/>
  </r>
  <r>
    <n v="142"/>
    <x v="6"/>
    <s v="winter"/>
    <s v="JANUARY"/>
    <n v="4"/>
    <s v="NO"/>
    <x v="6"/>
    <s v="Mist"/>
    <n v="8.2000000000000011"/>
    <n v="0.69"/>
    <n v="0.1343"/>
    <n v="0"/>
    <n v="1"/>
    <n v="1"/>
  </r>
  <r>
    <n v="143"/>
    <x v="6"/>
    <s v="winter"/>
    <s v="JANUARY"/>
    <n v="5"/>
    <s v="NO"/>
    <x v="6"/>
    <s v="Dark Cloud"/>
    <n v="9.02"/>
    <n v="0.55000000000000004"/>
    <n v="0"/>
    <n v="0"/>
    <n v="5"/>
    <n v="5"/>
  </r>
  <r>
    <n v="144"/>
    <x v="6"/>
    <s v="winter"/>
    <s v="JANUARY"/>
    <n v="6"/>
    <s v="NO"/>
    <x v="6"/>
    <s v="Mist"/>
    <n v="8.2000000000000011"/>
    <n v="0.69"/>
    <n v="0"/>
    <n v="8"/>
    <n v="26"/>
    <n v="34"/>
  </r>
  <r>
    <n v="145"/>
    <x v="6"/>
    <s v="winter"/>
    <s v="JANUARY"/>
    <n v="7"/>
    <s v="NO"/>
    <x v="6"/>
    <s v="Clear Sky"/>
    <n v="8.2000000000000011"/>
    <n v="0.69"/>
    <n v="0.1343"/>
    <n v="8"/>
    <n v="76"/>
    <n v="84"/>
  </r>
  <r>
    <n v="146"/>
    <x v="6"/>
    <s v="winter"/>
    <s v="JANUARY"/>
    <n v="8"/>
    <s v="NO"/>
    <x v="6"/>
    <s v="Clear Sky"/>
    <n v="8.2000000000000011"/>
    <n v="0.51"/>
    <n v="0.25369999999999998"/>
    <n v="20"/>
    <n v="190"/>
    <n v="210"/>
  </r>
  <r>
    <n v="147"/>
    <x v="6"/>
    <s v="winter"/>
    <s v="JANUARY"/>
    <n v="9"/>
    <s v="NO"/>
    <x v="6"/>
    <s v="Clear Sky"/>
    <n v="8.2000000000000011"/>
    <n v="0.47"/>
    <n v="0.29849999999999999"/>
    <n v="9"/>
    <n v="125"/>
    <n v="134"/>
  </r>
  <r>
    <n v="148"/>
    <x v="6"/>
    <s v="winter"/>
    <s v="JANUARY"/>
    <n v="10"/>
    <s v="NO"/>
    <x v="6"/>
    <s v="Clear Sky"/>
    <n v="9.02"/>
    <n v="0.37"/>
    <n v="0.32840000000000003"/>
    <n v="16"/>
    <n v="47"/>
    <n v="63"/>
  </r>
  <r>
    <n v="149"/>
    <x v="6"/>
    <s v="winter"/>
    <s v="JANUARY"/>
    <n v="11"/>
    <s v="NO"/>
    <x v="6"/>
    <s v="Mist"/>
    <n v="8.2000000000000011"/>
    <n v="0.4"/>
    <n v="0.22389999999999999"/>
    <n v="19"/>
    <n v="48"/>
    <n v="67"/>
  </r>
  <r>
    <n v="150"/>
    <x v="6"/>
    <s v="winter"/>
    <s v="JANUARY"/>
    <n v="12"/>
    <s v="NO"/>
    <x v="6"/>
    <s v="Mist"/>
    <n v="8.2000000000000011"/>
    <n v="0.37"/>
    <n v="0.25369999999999998"/>
    <n v="9"/>
    <n v="50"/>
    <n v="59"/>
  </r>
  <r>
    <n v="151"/>
    <x v="6"/>
    <s v="winter"/>
    <s v="JANUARY"/>
    <n v="13"/>
    <s v="NO"/>
    <x v="6"/>
    <s v="Mist"/>
    <n v="8.2000000000000011"/>
    <n v="0.37"/>
    <n v="0.28360000000000002"/>
    <n v="9"/>
    <n v="64"/>
    <n v="73"/>
  </r>
  <r>
    <n v="152"/>
    <x v="6"/>
    <s v="winter"/>
    <s v="JANUARY"/>
    <n v="14"/>
    <s v="NO"/>
    <x v="6"/>
    <s v="Mist"/>
    <n v="8.2000000000000011"/>
    <n v="0.4"/>
    <n v="0.25369999999999998"/>
    <n v="7"/>
    <n v="43"/>
    <n v="50"/>
  </r>
  <r>
    <n v="153"/>
    <x v="6"/>
    <s v="winter"/>
    <s v="JANUARY"/>
    <n v="15"/>
    <s v="NO"/>
    <x v="6"/>
    <s v="Mist"/>
    <n v="8.2000000000000011"/>
    <n v="0.37"/>
    <n v="0.16420000000000001"/>
    <n v="9"/>
    <n v="63"/>
    <n v="72"/>
  </r>
  <r>
    <n v="154"/>
    <x v="6"/>
    <s v="winter"/>
    <s v="JANUARY"/>
    <n v="16"/>
    <s v="NO"/>
    <x v="6"/>
    <s v="Mist"/>
    <n v="8.2000000000000011"/>
    <n v="0.37"/>
    <n v="0.16420000000000001"/>
    <n v="5"/>
    <n v="82"/>
    <n v="87"/>
  </r>
  <r>
    <n v="155"/>
    <x v="6"/>
    <s v="winter"/>
    <s v="JANUARY"/>
    <n v="17"/>
    <s v="NO"/>
    <x v="6"/>
    <s v="Mist"/>
    <n v="8.2000000000000011"/>
    <n v="0.37"/>
    <n v="0"/>
    <n v="9"/>
    <n v="178"/>
    <n v="187"/>
  </r>
  <r>
    <n v="156"/>
    <x v="6"/>
    <s v="winter"/>
    <s v="JANUARY"/>
    <n v="18"/>
    <s v="NO"/>
    <x v="6"/>
    <s v="Clear Sky"/>
    <n v="8.2000000000000011"/>
    <n v="0.4"/>
    <n v="8.9599999999999999E-2"/>
    <n v="7"/>
    <n v="116"/>
    <n v="123"/>
  </r>
  <r>
    <n v="157"/>
    <x v="6"/>
    <s v="winter"/>
    <s v="JANUARY"/>
    <n v="19"/>
    <s v="NO"/>
    <x v="6"/>
    <s v="Clear Sky"/>
    <n v="6.5600000000000005"/>
    <n v="0.55000000000000004"/>
    <n v="8.9599999999999999E-2"/>
    <n v="3"/>
    <n v="92"/>
    <n v="95"/>
  </r>
  <r>
    <n v="158"/>
    <x v="6"/>
    <s v="winter"/>
    <s v="JANUARY"/>
    <n v="20"/>
    <s v="NO"/>
    <x v="6"/>
    <s v="Clear Sky"/>
    <n v="7.38"/>
    <n v="0.47"/>
    <n v="0.1045"/>
    <n v="1"/>
    <n v="50"/>
    <n v="51"/>
  </r>
  <r>
    <n v="159"/>
    <x v="6"/>
    <s v="winter"/>
    <s v="JANUARY"/>
    <n v="21"/>
    <s v="NO"/>
    <x v="6"/>
    <s v="Clear Sky"/>
    <n v="7.38"/>
    <n v="0.47"/>
    <n v="0.1343"/>
    <n v="0"/>
    <n v="39"/>
    <n v="39"/>
  </r>
  <r>
    <n v="160"/>
    <x v="6"/>
    <s v="winter"/>
    <s v="JANUARY"/>
    <n v="22"/>
    <s v="NO"/>
    <x v="6"/>
    <s v="Mist"/>
    <n v="7.38"/>
    <n v="0.43"/>
    <n v="0.16420000000000001"/>
    <n v="2"/>
    <n v="34"/>
    <n v="36"/>
  </r>
  <r>
    <n v="161"/>
    <x v="6"/>
    <s v="winter"/>
    <s v="JANUARY"/>
    <n v="23"/>
    <s v="NO"/>
    <x v="6"/>
    <s v="Mist"/>
    <n v="7.38"/>
    <n v="0.51"/>
    <n v="0.16420000000000001"/>
    <n v="1"/>
    <n v="14"/>
    <n v="15"/>
  </r>
  <r>
    <n v="162"/>
    <x v="7"/>
    <s v="winter"/>
    <s v="JANUARY"/>
    <n v="0"/>
    <s v="NO"/>
    <x v="0"/>
    <s v="Mist"/>
    <n v="7.38"/>
    <n v="0.51"/>
    <n v="0.16420000000000001"/>
    <n v="1"/>
    <n v="24"/>
    <n v="25"/>
  </r>
  <r>
    <n v="163"/>
    <x v="7"/>
    <s v="winter"/>
    <s v="JANUARY"/>
    <n v="1"/>
    <s v="NO"/>
    <x v="0"/>
    <s v="Mist"/>
    <n v="7.38"/>
    <n v="0.55000000000000004"/>
    <n v="8.9599999999999999E-2"/>
    <n v="1"/>
    <n v="15"/>
    <n v="16"/>
  </r>
  <r>
    <n v="164"/>
    <x v="7"/>
    <s v="winter"/>
    <s v="JANUARY"/>
    <n v="2"/>
    <s v="NO"/>
    <x v="0"/>
    <s v="Mist"/>
    <n v="7.38"/>
    <n v="0.55000000000000004"/>
    <n v="0"/>
    <n v="3"/>
    <n v="13"/>
    <n v="16"/>
  </r>
  <r>
    <n v="165"/>
    <x v="7"/>
    <s v="winter"/>
    <s v="JANUARY"/>
    <n v="3"/>
    <s v="NO"/>
    <x v="0"/>
    <s v="Dark Cloud"/>
    <n v="7.38"/>
    <n v="0.55000000000000004"/>
    <n v="0.16420000000000001"/>
    <n v="0"/>
    <n v="7"/>
    <n v="7"/>
  </r>
  <r>
    <n v="166"/>
    <x v="7"/>
    <s v="winter"/>
    <s v="JANUARY"/>
    <n v="4"/>
    <s v="NO"/>
    <x v="0"/>
    <s v="Dark Cloud"/>
    <n v="7.38"/>
    <n v="0.55000000000000004"/>
    <n v="0.16420000000000001"/>
    <n v="0"/>
    <n v="1"/>
    <n v="1"/>
  </r>
  <r>
    <n v="167"/>
    <x v="7"/>
    <s v="winter"/>
    <s v="JANUARY"/>
    <n v="5"/>
    <s v="NO"/>
    <x v="0"/>
    <s v="Mist"/>
    <n v="6.5600000000000005"/>
    <n v="0.74"/>
    <n v="0.16420000000000001"/>
    <n v="0"/>
    <n v="5"/>
    <n v="5"/>
  </r>
  <r>
    <n v="168"/>
    <x v="7"/>
    <s v="winter"/>
    <s v="JANUARY"/>
    <n v="6"/>
    <s v="NO"/>
    <x v="0"/>
    <s v="Mist"/>
    <n v="6.5600000000000005"/>
    <n v="0.74"/>
    <n v="0.16420000000000001"/>
    <n v="0"/>
    <n v="2"/>
    <n v="2"/>
  </r>
  <r>
    <n v="169"/>
    <x v="7"/>
    <s v="winter"/>
    <s v="JANUARY"/>
    <n v="7"/>
    <s v="NO"/>
    <x v="0"/>
    <s v="Mist"/>
    <n v="6.5600000000000005"/>
    <n v="0.74"/>
    <n v="0.1045"/>
    <n v="1"/>
    <n v="8"/>
    <n v="9"/>
  </r>
  <r>
    <n v="170"/>
    <x v="7"/>
    <s v="winter"/>
    <s v="JANUARY"/>
    <n v="8"/>
    <s v="NO"/>
    <x v="0"/>
    <s v="Dark Cloud"/>
    <n v="6.5600000000000005"/>
    <n v="0.93"/>
    <n v="0.1045"/>
    <n v="0"/>
    <n v="15"/>
    <n v="15"/>
  </r>
  <r>
    <n v="171"/>
    <x v="7"/>
    <s v="winter"/>
    <s v="JANUARY"/>
    <n v="9"/>
    <s v="NO"/>
    <x v="0"/>
    <s v="Dark Cloud"/>
    <n v="6.5600000000000005"/>
    <n v="0.93"/>
    <n v="0.1045"/>
    <n v="0"/>
    <n v="20"/>
    <n v="20"/>
  </r>
  <r>
    <n v="172"/>
    <x v="7"/>
    <s v="winter"/>
    <s v="JANUARY"/>
    <n v="10"/>
    <s v="NO"/>
    <x v="0"/>
    <s v="Mist"/>
    <n v="7.38"/>
    <n v="0.8"/>
    <n v="0.16420000000000001"/>
    <n v="5"/>
    <n v="56"/>
    <n v="61"/>
  </r>
  <r>
    <n v="173"/>
    <x v="7"/>
    <s v="winter"/>
    <s v="JANUARY"/>
    <n v="11"/>
    <s v="NO"/>
    <x v="0"/>
    <s v="Mist"/>
    <n v="8.2000000000000011"/>
    <n v="0.69"/>
    <n v="0.3881"/>
    <n v="2"/>
    <n v="60"/>
    <n v="62"/>
  </r>
  <r>
    <n v="174"/>
    <x v="7"/>
    <s v="winter"/>
    <s v="JANUARY"/>
    <n v="12"/>
    <s v="NO"/>
    <x v="0"/>
    <s v="Mist"/>
    <n v="8.2000000000000011"/>
    <n v="0.59"/>
    <n v="0.35820000000000002"/>
    <n v="8"/>
    <n v="90"/>
    <n v="98"/>
  </r>
  <r>
    <n v="175"/>
    <x v="7"/>
    <s v="winter"/>
    <s v="JANUARY"/>
    <n v="13"/>
    <s v="NO"/>
    <x v="0"/>
    <s v="Clear Sky"/>
    <n v="8.2000000000000011"/>
    <n v="0.44"/>
    <n v="0.32840000000000003"/>
    <n v="7"/>
    <n v="95"/>
    <n v="102"/>
  </r>
  <r>
    <n v="176"/>
    <x v="7"/>
    <s v="winter"/>
    <s v="JANUARY"/>
    <n v="14"/>
    <s v="NO"/>
    <x v="0"/>
    <s v="Clear Sky"/>
    <n v="8.2000000000000011"/>
    <n v="0.32"/>
    <n v="0.49249999999999999"/>
    <n v="12"/>
    <n v="83"/>
    <n v="95"/>
  </r>
  <r>
    <n v="177"/>
    <x v="7"/>
    <s v="winter"/>
    <s v="JANUARY"/>
    <n v="15"/>
    <s v="NO"/>
    <x v="0"/>
    <s v="Clear Sky"/>
    <n v="8.2000000000000011"/>
    <n v="0.32"/>
    <n v="0.44779999999999998"/>
    <n v="5"/>
    <n v="69"/>
    <n v="74"/>
  </r>
  <r>
    <n v="178"/>
    <x v="7"/>
    <s v="winter"/>
    <s v="JANUARY"/>
    <n v="16"/>
    <s v="NO"/>
    <x v="0"/>
    <s v="Clear Sky"/>
    <n v="7.38"/>
    <n v="0.28999999999999998"/>
    <n v="0.44779999999999998"/>
    <n v="8"/>
    <n v="68"/>
    <n v="76"/>
  </r>
  <r>
    <n v="179"/>
    <x v="7"/>
    <s v="winter"/>
    <s v="JANUARY"/>
    <n v="17"/>
    <s v="NO"/>
    <x v="0"/>
    <s v="Clear Sky"/>
    <n v="6.5600000000000005"/>
    <n v="0.37"/>
    <n v="0.55220000000000002"/>
    <n v="5"/>
    <n v="64"/>
    <n v="69"/>
  </r>
  <r>
    <n v="180"/>
    <x v="7"/>
    <s v="winter"/>
    <s v="JANUARY"/>
    <n v="18"/>
    <s v="NO"/>
    <x v="0"/>
    <s v="Clear Sky"/>
    <n v="5.74"/>
    <n v="0.39"/>
    <n v="0.29849999999999999"/>
    <n v="3"/>
    <n v="52"/>
    <n v="55"/>
  </r>
  <r>
    <n v="181"/>
    <x v="7"/>
    <s v="winter"/>
    <s v="JANUARY"/>
    <n v="19"/>
    <s v="NO"/>
    <x v="0"/>
    <s v="Clear Sky"/>
    <n v="5.74"/>
    <n v="0.36"/>
    <n v="0.25369999999999998"/>
    <n v="4"/>
    <n v="26"/>
    <n v="30"/>
  </r>
  <r>
    <n v="182"/>
    <x v="7"/>
    <s v="winter"/>
    <s v="JANUARY"/>
    <n v="20"/>
    <s v="NO"/>
    <x v="0"/>
    <s v="Clear Sky"/>
    <n v="4.92"/>
    <n v="0.36"/>
    <n v="0.25369999999999998"/>
    <n v="0"/>
    <n v="28"/>
    <n v="28"/>
  </r>
  <r>
    <n v="183"/>
    <x v="7"/>
    <s v="winter"/>
    <s v="JANUARY"/>
    <n v="21"/>
    <s v="NO"/>
    <x v="0"/>
    <s v="Clear Sky"/>
    <n v="4.92"/>
    <n v="0.39"/>
    <n v="0.35820000000000002"/>
    <n v="2"/>
    <n v="35"/>
    <n v="37"/>
  </r>
  <r>
    <n v="184"/>
    <x v="7"/>
    <s v="winter"/>
    <s v="JANUARY"/>
    <n v="22"/>
    <s v="NO"/>
    <x v="0"/>
    <s v="Clear Sky"/>
    <n v="4.92"/>
    <n v="0.36"/>
    <n v="0.3881"/>
    <n v="1"/>
    <n v="33"/>
    <n v="34"/>
  </r>
  <r>
    <n v="185"/>
    <x v="7"/>
    <s v="winter"/>
    <s v="JANUARY"/>
    <n v="23"/>
    <s v="NO"/>
    <x v="0"/>
    <s v="Clear Sky"/>
    <n v="4.1000000000000005"/>
    <n v="0.39"/>
    <n v="0.44779999999999998"/>
    <n v="0"/>
    <n v="22"/>
    <n v="22"/>
  </r>
  <r>
    <n v="186"/>
    <x v="8"/>
    <s v="winter"/>
    <s v="JANUARY"/>
    <n v="0"/>
    <s v="NO"/>
    <x v="1"/>
    <s v="Clear Sky"/>
    <n v="4.1000000000000005"/>
    <n v="0.42"/>
    <n v="0.3881"/>
    <n v="1"/>
    <n v="24"/>
    <n v="25"/>
  </r>
  <r>
    <n v="187"/>
    <x v="8"/>
    <s v="winter"/>
    <s v="JANUARY"/>
    <n v="1"/>
    <s v="NO"/>
    <x v="1"/>
    <s v="Clear Sky"/>
    <n v="4.1000000000000005"/>
    <n v="0.42"/>
    <n v="0.4627"/>
    <n v="0"/>
    <n v="12"/>
    <n v="12"/>
  </r>
  <r>
    <n v="188"/>
    <x v="8"/>
    <s v="winter"/>
    <s v="JANUARY"/>
    <n v="2"/>
    <s v="NO"/>
    <x v="1"/>
    <s v="Clear Sky"/>
    <n v="4.1000000000000005"/>
    <n v="0.46"/>
    <n v="0.4627"/>
    <n v="0"/>
    <n v="11"/>
    <n v="11"/>
  </r>
  <r>
    <n v="189"/>
    <x v="8"/>
    <s v="winter"/>
    <s v="JANUARY"/>
    <n v="3"/>
    <s v="NO"/>
    <x v="1"/>
    <s v="Clear Sky"/>
    <n v="4.1000000000000005"/>
    <n v="0.46"/>
    <n v="0.41789999999999999"/>
    <n v="0"/>
    <n v="4"/>
    <n v="4"/>
  </r>
  <r>
    <n v="190"/>
    <x v="8"/>
    <s v="winter"/>
    <s v="JANUARY"/>
    <n v="4"/>
    <s v="NO"/>
    <x v="1"/>
    <s v="Clear Sky"/>
    <n v="3.2800000000000002"/>
    <n v="0.53"/>
    <n v="0.19400000000000001"/>
    <n v="0"/>
    <n v="1"/>
    <n v="1"/>
  </r>
  <r>
    <n v="191"/>
    <x v="8"/>
    <s v="winter"/>
    <s v="JANUARY"/>
    <n v="5"/>
    <s v="NO"/>
    <x v="1"/>
    <s v="Clear Sky"/>
    <n v="3.2800000000000002"/>
    <n v="0.53"/>
    <n v="0.19400000000000001"/>
    <n v="0"/>
    <n v="1"/>
    <n v="1"/>
  </r>
  <r>
    <n v="192"/>
    <x v="8"/>
    <s v="winter"/>
    <s v="JANUARY"/>
    <n v="6"/>
    <s v="NO"/>
    <x v="1"/>
    <s v="Clear Sky"/>
    <n v="4.1000000000000005"/>
    <n v="0.49"/>
    <n v="0.28360000000000002"/>
    <n v="0"/>
    <n v="1"/>
    <n v="1"/>
  </r>
  <r>
    <n v="193"/>
    <x v="8"/>
    <s v="winter"/>
    <s v="JANUARY"/>
    <n v="7"/>
    <s v="NO"/>
    <x v="1"/>
    <s v="Clear Sky"/>
    <n v="3.2800000000000002"/>
    <n v="0.53"/>
    <n v="0.19400000000000001"/>
    <n v="1"/>
    <n v="5"/>
    <n v="6"/>
  </r>
  <r>
    <n v="194"/>
    <x v="8"/>
    <s v="winter"/>
    <s v="JANUARY"/>
    <n v="8"/>
    <s v="NO"/>
    <x v="1"/>
    <s v="Clear Sky"/>
    <n v="4.1000000000000005"/>
    <n v="0.49"/>
    <n v="0.28360000000000002"/>
    <n v="0"/>
    <n v="10"/>
    <n v="10"/>
  </r>
  <r>
    <n v="195"/>
    <x v="8"/>
    <s v="winter"/>
    <s v="JANUARY"/>
    <n v="9"/>
    <s v="NO"/>
    <x v="1"/>
    <s v="Clear Sky"/>
    <n v="4.92"/>
    <n v="0.46"/>
    <n v="0.52239999999999998"/>
    <n v="0"/>
    <n v="19"/>
    <n v="19"/>
  </r>
  <r>
    <n v="196"/>
    <x v="8"/>
    <s v="winter"/>
    <s v="JANUARY"/>
    <n v="10"/>
    <s v="NO"/>
    <x v="1"/>
    <s v="Clear Sky"/>
    <n v="5.74"/>
    <n v="0.43"/>
    <n v="0.3881"/>
    <n v="0"/>
    <n v="49"/>
    <n v="49"/>
  </r>
  <r>
    <n v="197"/>
    <x v="8"/>
    <s v="winter"/>
    <s v="JANUARY"/>
    <n v="11"/>
    <s v="NO"/>
    <x v="1"/>
    <s v="Clear Sky"/>
    <n v="6.5600000000000005"/>
    <n v="0.4"/>
    <n v="0.52239999999999998"/>
    <n v="2"/>
    <n v="47"/>
    <n v="49"/>
  </r>
  <r>
    <n v="198"/>
    <x v="8"/>
    <s v="winter"/>
    <s v="JANUARY"/>
    <n v="12"/>
    <s v="NO"/>
    <x v="1"/>
    <s v="Clear Sky"/>
    <n v="7.38"/>
    <n v="0.37"/>
    <n v="0.44779999999999998"/>
    <n v="4"/>
    <n v="79"/>
    <n v="83"/>
  </r>
  <r>
    <n v="199"/>
    <x v="8"/>
    <s v="winter"/>
    <s v="JANUARY"/>
    <n v="13"/>
    <s v="NO"/>
    <x v="1"/>
    <s v="Clear Sky"/>
    <n v="8.2000000000000011"/>
    <n v="0.34"/>
    <n v="0.44779999999999998"/>
    <n v="6"/>
    <n v="69"/>
    <n v="75"/>
  </r>
  <r>
    <n v="200"/>
    <x v="8"/>
    <s v="winter"/>
    <s v="JANUARY"/>
    <n v="14"/>
    <s v="NO"/>
    <x v="1"/>
    <s v="Clear Sky"/>
    <n v="9.02"/>
    <n v="0.32"/>
    <n v="0.4627"/>
    <n v="8"/>
    <n v="64"/>
    <n v="72"/>
  </r>
  <r>
    <n v="201"/>
    <x v="8"/>
    <s v="winter"/>
    <s v="JANUARY"/>
    <n v="15"/>
    <s v="NO"/>
    <x v="1"/>
    <s v="Clear Sky"/>
    <n v="9.02"/>
    <n v="0.35"/>
    <n v="0.35820000000000002"/>
    <n v="5"/>
    <n v="77"/>
    <n v="82"/>
  </r>
  <r>
    <n v="202"/>
    <x v="8"/>
    <s v="winter"/>
    <s v="JANUARY"/>
    <n v="16"/>
    <s v="NO"/>
    <x v="1"/>
    <s v="Clear Sky"/>
    <n v="8.2000000000000011"/>
    <n v="0.34"/>
    <n v="0.44779999999999998"/>
    <n v="13"/>
    <n v="79"/>
    <n v="92"/>
  </r>
  <r>
    <n v="203"/>
    <x v="8"/>
    <s v="winter"/>
    <s v="JANUARY"/>
    <n v="17"/>
    <s v="NO"/>
    <x v="1"/>
    <s v="Clear Sky"/>
    <n v="7.38"/>
    <n v="0.37"/>
    <n v="0.3881"/>
    <n v="3"/>
    <n v="59"/>
    <n v="62"/>
  </r>
  <r>
    <n v="204"/>
    <x v="8"/>
    <s v="winter"/>
    <s v="JANUARY"/>
    <n v="18"/>
    <s v="NO"/>
    <x v="1"/>
    <s v="Clear Sky"/>
    <n v="6.5600000000000005"/>
    <n v="0.4"/>
    <n v="0.32840000000000003"/>
    <n v="4"/>
    <n v="44"/>
    <n v="48"/>
  </r>
  <r>
    <n v="205"/>
    <x v="8"/>
    <s v="winter"/>
    <s v="JANUARY"/>
    <n v="19"/>
    <s v="NO"/>
    <x v="1"/>
    <s v="Clear Sky"/>
    <n v="6.5600000000000005"/>
    <n v="0.43"/>
    <n v="0.32840000000000003"/>
    <n v="1"/>
    <n v="40"/>
    <n v="41"/>
  </r>
  <r>
    <n v="206"/>
    <x v="8"/>
    <s v="winter"/>
    <s v="JANUARY"/>
    <n v="20"/>
    <s v="NO"/>
    <x v="1"/>
    <s v="Clear Sky"/>
    <n v="5.74"/>
    <n v="0.46"/>
    <n v="0.25369999999999998"/>
    <n v="0"/>
    <n v="38"/>
    <n v="38"/>
  </r>
  <r>
    <n v="207"/>
    <x v="8"/>
    <s v="winter"/>
    <s v="JANUARY"/>
    <n v="21"/>
    <s v="NO"/>
    <x v="1"/>
    <s v="Clear Sky"/>
    <n v="5.74"/>
    <n v="0.46"/>
    <n v="0.41789999999999999"/>
    <n v="1"/>
    <n v="19"/>
    <n v="20"/>
  </r>
  <r>
    <n v="208"/>
    <x v="8"/>
    <s v="winter"/>
    <s v="JANUARY"/>
    <n v="22"/>
    <s v="NO"/>
    <x v="1"/>
    <s v="Clear Sky"/>
    <n v="5.74"/>
    <n v="0.46"/>
    <n v="0.29849999999999999"/>
    <n v="5"/>
    <n v="10"/>
    <n v="15"/>
  </r>
  <r>
    <n v="209"/>
    <x v="8"/>
    <s v="winter"/>
    <s v="JANUARY"/>
    <n v="23"/>
    <s v="NO"/>
    <x v="1"/>
    <s v="Clear Sky"/>
    <n v="4.92"/>
    <n v="0.5"/>
    <n v="0.19400000000000001"/>
    <n v="0"/>
    <n v="6"/>
    <n v="6"/>
  </r>
  <r>
    <n v="210"/>
    <x v="9"/>
    <s v="winter"/>
    <s v="JANUARY"/>
    <n v="0"/>
    <s v="NO"/>
    <x v="2"/>
    <s v="Clear Sky"/>
    <n v="4.92"/>
    <n v="0.5"/>
    <n v="0.28360000000000002"/>
    <n v="2"/>
    <n v="3"/>
    <n v="5"/>
  </r>
  <r>
    <n v="211"/>
    <x v="9"/>
    <s v="winter"/>
    <s v="JANUARY"/>
    <n v="1"/>
    <s v="NO"/>
    <x v="2"/>
    <s v="Clear Sky"/>
    <n v="4.92"/>
    <n v="0.5"/>
    <n v="0.28360000000000002"/>
    <n v="1"/>
    <n v="0"/>
    <n v="1"/>
  </r>
  <r>
    <n v="212"/>
    <x v="9"/>
    <s v="winter"/>
    <s v="JANUARY"/>
    <n v="2"/>
    <s v="NO"/>
    <x v="2"/>
    <s v="Clear Sky"/>
    <n v="4.92"/>
    <n v="0.5"/>
    <n v="0.22389999999999999"/>
    <n v="0"/>
    <n v="3"/>
    <n v="3"/>
  </r>
  <r>
    <n v="213"/>
    <x v="9"/>
    <s v="winter"/>
    <s v="JANUARY"/>
    <n v="3"/>
    <s v="NO"/>
    <x v="2"/>
    <s v="Clear Sky"/>
    <n v="4.92"/>
    <n v="0.5"/>
    <n v="0.22389999999999999"/>
    <n v="0"/>
    <n v="1"/>
    <n v="1"/>
  </r>
  <r>
    <n v="214"/>
    <x v="9"/>
    <s v="winter"/>
    <s v="JANUARY"/>
    <n v="4"/>
    <s v="NO"/>
    <x v="2"/>
    <s v="Clear Sky"/>
    <n v="4.1000000000000005"/>
    <n v="0.54"/>
    <n v="0.1343"/>
    <n v="1"/>
    <n v="2"/>
    <n v="3"/>
  </r>
  <r>
    <n v="215"/>
    <x v="9"/>
    <s v="winter"/>
    <s v="JANUARY"/>
    <n v="5"/>
    <s v="NO"/>
    <x v="2"/>
    <s v="Clear Sky"/>
    <n v="4.1000000000000005"/>
    <n v="0.54"/>
    <n v="0.25369999999999998"/>
    <n v="0"/>
    <n v="3"/>
    <n v="3"/>
  </r>
  <r>
    <n v="216"/>
    <x v="9"/>
    <s v="winter"/>
    <s v="JANUARY"/>
    <n v="6"/>
    <s v="NO"/>
    <x v="2"/>
    <s v="Clear Sky"/>
    <n v="4.92"/>
    <n v="0.5"/>
    <n v="0.28360000000000002"/>
    <n v="0"/>
    <n v="31"/>
    <n v="31"/>
  </r>
  <r>
    <n v="217"/>
    <x v="9"/>
    <s v="winter"/>
    <s v="JANUARY"/>
    <n v="7"/>
    <s v="NO"/>
    <x v="2"/>
    <s v="Clear Sky"/>
    <n v="4.92"/>
    <n v="0.5"/>
    <n v="0.22389999999999999"/>
    <n v="2"/>
    <n v="75"/>
    <n v="77"/>
  </r>
  <r>
    <n v="218"/>
    <x v="9"/>
    <s v="winter"/>
    <s v="JANUARY"/>
    <n v="8"/>
    <s v="NO"/>
    <x v="2"/>
    <s v="Mist"/>
    <n v="4.92"/>
    <n v="0.5"/>
    <n v="0.28360000000000002"/>
    <n v="4"/>
    <n v="184"/>
    <n v="188"/>
  </r>
  <r>
    <n v="219"/>
    <x v="9"/>
    <s v="winter"/>
    <s v="JANUARY"/>
    <n v="9"/>
    <s v="NO"/>
    <x v="2"/>
    <s v="Mist"/>
    <n v="5.74"/>
    <n v="0.5"/>
    <n v="0.25369999999999998"/>
    <n v="2"/>
    <n v="92"/>
    <n v="94"/>
  </r>
  <r>
    <n v="220"/>
    <x v="9"/>
    <s v="winter"/>
    <s v="JANUARY"/>
    <n v="10"/>
    <s v="NO"/>
    <x v="2"/>
    <s v="Mist"/>
    <n v="5.74"/>
    <n v="0.5"/>
    <n v="0.29849999999999999"/>
    <n v="0"/>
    <n v="31"/>
    <n v="31"/>
  </r>
  <r>
    <n v="221"/>
    <x v="9"/>
    <s v="winter"/>
    <s v="JANUARY"/>
    <n v="11"/>
    <s v="NO"/>
    <x v="2"/>
    <s v="Mist"/>
    <n v="6.5600000000000005"/>
    <n v="0.47"/>
    <n v="0.28360000000000002"/>
    <n v="2"/>
    <n v="28"/>
    <n v="30"/>
  </r>
  <r>
    <n v="222"/>
    <x v="9"/>
    <s v="winter"/>
    <s v="JANUARY"/>
    <n v="12"/>
    <s v="NO"/>
    <x v="2"/>
    <s v="Mist"/>
    <n v="8.2000000000000011"/>
    <n v="0.4"/>
    <n v="0.28360000000000002"/>
    <n v="5"/>
    <n v="47"/>
    <n v="52"/>
  </r>
  <r>
    <n v="223"/>
    <x v="9"/>
    <s v="winter"/>
    <s v="JANUARY"/>
    <n v="13"/>
    <s v="NO"/>
    <x v="2"/>
    <s v="Mist"/>
    <n v="8.2000000000000011"/>
    <n v="0.4"/>
    <n v="0.28360000000000002"/>
    <n v="4"/>
    <n v="50"/>
    <n v="54"/>
  </r>
  <r>
    <n v="224"/>
    <x v="9"/>
    <s v="winter"/>
    <s v="JANUARY"/>
    <n v="14"/>
    <s v="NO"/>
    <x v="2"/>
    <s v="Mist"/>
    <n v="8.2000000000000011"/>
    <n v="0.4"/>
    <n v="0.22389999999999999"/>
    <n v="0"/>
    <n v="47"/>
    <n v="47"/>
  </r>
  <r>
    <n v="225"/>
    <x v="9"/>
    <s v="winter"/>
    <s v="JANUARY"/>
    <n v="15"/>
    <s v="NO"/>
    <x v="2"/>
    <s v="Mist"/>
    <n v="8.2000000000000011"/>
    <n v="0.4"/>
    <n v="0.22389999999999999"/>
    <n v="2"/>
    <n v="43"/>
    <n v="45"/>
  </r>
  <r>
    <n v="226"/>
    <x v="9"/>
    <s v="winter"/>
    <s v="JANUARY"/>
    <n v="16"/>
    <s v="NO"/>
    <x v="2"/>
    <s v="Clear Sky"/>
    <n v="8.2000000000000011"/>
    <n v="0.4"/>
    <n v="0.1343"/>
    <n v="4"/>
    <n v="70"/>
    <n v="74"/>
  </r>
  <r>
    <n v="227"/>
    <x v="9"/>
    <s v="winter"/>
    <s v="JANUARY"/>
    <n v="17"/>
    <s v="NO"/>
    <x v="2"/>
    <s v="Clear Sky"/>
    <n v="8.2000000000000011"/>
    <n v="0.4"/>
    <n v="0.1045"/>
    <n v="4"/>
    <n v="174"/>
    <n v="178"/>
  </r>
  <r>
    <n v="228"/>
    <x v="9"/>
    <s v="winter"/>
    <s v="JANUARY"/>
    <n v="18"/>
    <s v="NO"/>
    <x v="2"/>
    <s v="Clear Sky"/>
    <n v="8.2000000000000011"/>
    <n v="0.4"/>
    <n v="0.22389999999999999"/>
    <n v="1"/>
    <n v="154"/>
    <n v="155"/>
  </r>
  <r>
    <n v="229"/>
    <x v="9"/>
    <s v="winter"/>
    <s v="JANUARY"/>
    <n v="19"/>
    <s v="NO"/>
    <x v="2"/>
    <s v="Clear Sky"/>
    <n v="6.5600000000000005"/>
    <n v="0.47"/>
    <n v="0.16420000000000001"/>
    <n v="3"/>
    <n v="92"/>
    <n v="95"/>
  </r>
  <r>
    <n v="230"/>
    <x v="9"/>
    <s v="winter"/>
    <s v="JANUARY"/>
    <n v="20"/>
    <s v="NO"/>
    <x v="2"/>
    <s v="Clear Sky"/>
    <n v="6.5600000000000005"/>
    <n v="0.5"/>
    <n v="0.16420000000000001"/>
    <n v="1"/>
    <n v="73"/>
    <n v="74"/>
  </r>
  <r>
    <n v="231"/>
    <x v="9"/>
    <s v="winter"/>
    <s v="JANUARY"/>
    <n v="21"/>
    <s v="NO"/>
    <x v="2"/>
    <s v="Clear Sky"/>
    <n v="5.74"/>
    <n v="0.59"/>
    <n v="0.19400000000000001"/>
    <n v="1"/>
    <n v="37"/>
    <n v="38"/>
  </r>
  <r>
    <n v="232"/>
    <x v="9"/>
    <s v="winter"/>
    <s v="JANUARY"/>
    <n v="22"/>
    <s v="NO"/>
    <x v="2"/>
    <s v="Clear Sky"/>
    <n v="5.74"/>
    <n v="0.59"/>
    <n v="0.16420000000000001"/>
    <n v="2"/>
    <n v="22"/>
    <n v="24"/>
  </r>
  <r>
    <n v="233"/>
    <x v="9"/>
    <s v="winter"/>
    <s v="JANUARY"/>
    <n v="23"/>
    <s v="NO"/>
    <x v="2"/>
    <s v="Clear Sky"/>
    <n v="5.74"/>
    <n v="0.59"/>
    <n v="0.16420000000000001"/>
    <n v="0"/>
    <n v="18"/>
    <n v="18"/>
  </r>
  <r>
    <n v="234"/>
    <x v="10"/>
    <s v="winter"/>
    <s v="JANUARY"/>
    <n v="0"/>
    <s v="NO"/>
    <x v="3"/>
    <s v="Clear Sky"/>
    <n v="5.74"/>
    <n v="0.59"/>
    <n v="0.1045"/>
    <n v="2"/>
    <n v="10"/>
    <n v="12"/>
  </r>
  <r>
    <n v="235"/>
    <x v="10"/>
    <s v="winter"/>
    <s v="JANUARY"/>
    <n v="1"/>
    <s v="NO"/>
    <x v="3"/>
    <s v="Clear Sky"/>
    <n v="5.74"/>
    <n v="0.59"/>
    <n v="0.16420000000000001"/>
    <n v="0"/>
    <n v="3"/>
    <n v="3"/>
  </r>
  <r>
    <n v="236"/>
    <x v="10"/>
    <s v="winter"/>
    <s v="JANUARY"/>
    <n v="2"/>
    <s v="NO"/>
    <x v="3"/>
    <s v="Mist"/>
    <n v="6.5600000000000005"/>
    <n v="0.55000000000000004"/>
    <n v="0.19400000000000001"/>
    <n v="0"/>
    <n v="3"/>
    <n v="3"/>
  </r>
  <r>
    <n v="237"/>
    <x v="10"/>
    <s v="winter"/>
    <s v="JANUARY"/>
    <n v="5"/>
    <s v="NO"/>
    <x v="3"/>
    <s v="Mist"/>
    <n v="6.5600000000000005"/>
    <n v="0.55000000000000004"/>
    <n v="0.1343"/>
    <n v="0"/>
    <n v="6"/>
    <n v="6"/>
  </r>
  <r>
    <n v="238"/>
    <x v="10"/>
    <s v="winter"/>
    <s v="JANUARY"/>
    <n v="6"/>
    <s v="NO"/>
    <x v="3"/>
    <s v="Mist"/>
    <n v="6.5600000000000005"/>
    <n v="0.55000000000000004"/>
    <n v="0.1343"/>
    <n v="0"/>
    <n v="27"/>
    <n v="27"/>
  </r>
  <r>
    <n v="239"/>
    <x v="10"/>
    <s v="winter"/>
    <s v="JANUARY"/>
    <n v="7"/>
    <s v="NO"/>
    <x v="3"/>
    <s v="Mist"/>
    <n v="6.5600000000000005"/>
    <n v="0.55000000000000004"/>
    <n v="0"/>
    <n v="2"/>
    <n v="97"/>
    <n v="99"/>
  </r>
  <r>
    <n v="240"/>
    <x v="10"/>
    <s v="winter"/>
    <s v="JANUARY"/>
    <n v="8"/>
    <s v="NO"/>
    <x v="3"/>
    <s v="Mist"/>
    <n v="7.38"/>
    <n v="0.51"/>
    <n v="8.9599999999999999E-2"/>
    <n v="3"/>
    <n v="214"/>
    <n v="217"/>
  </r>
  <r>
    <n v="241"/>
    <x v="10"/>
    <s v="winter"/>
    <s v="JANUARY"/>
    <n v="9"/>
    <s v="NO"/>
    <x v="3"/>
    <s v="Mist"/>
    <n v="7.38"/>
    <n v="0.51"/>
    <n v="0.16420000000000001"/>
    <n v="3"/>
    <n v="127"/>
    <n v="130"/>
  </r>
  <r>
    <n v="242"/>
    <x v="10"/>
    <s v="winter"/>
    <s v="JANUARY"/>
    <n v="10"/>
    <s v="NO"/>
    <x v="3"/>
    <s v="Mist"/>
    <n v="8.2000000000000011"/>
    <n v="0.51"/>
    <n v="0.16420000000000001"/>
    <n v="3"/>
    <n v="51"/>
    <n v="54"/>
  </r>
  <r>
    <n v="243"/>
    <x v="10"/>
    <s v="winter"/>
    <s v="JANUARY"/>
    <n v="11"/>
    <s v="NO"/>
    <x v="3"/>
    <s v="Mist"/>
    <n v="8.2000000000000011"/>
    <n v="0.47"/>
    <n v="0.1343"/>
    <n v="4"/>
    <n v="31"/>
    <n v="35"/>
  </r>
  <r>
    <n v="244"/>
    <x v="10"/>
    <s v="winter"/>
    <s v="JANUARY"/>
    <n v="12"/>
    <s v="NO"/>
    <x v="3"/>
    <s v="Mist"/>
    <n v="8.2000000000000011"/>
    <n v="0.51"/>
    <n v="0.1045"/>
    <n v="2"/>
    <n v="55"/>
    <n v="57"/>
  </r>
  <r>
    <n v="245"/>
    <x v="10"/>
    <s v="winter"/>
    <s v="JANUARY"/>
    <n v="13"/>
    <s v="NO"/>
    <x v="3"/>
    <s v="Mist"/>
    <n v="8.2000000000000011"/>
    <n v="0.59"/>
    <n v="8.9599999999999999E-2"/>
    <n v="6"/>
    <n v="46"/>
    <n v="52"/>
  </r>
  <r>
    <n v="246"/>
    <x v="10"/>
    <s v="winter"/>
    <s v="JANUARY"/>
    <n v="14"/>
    <s v="NO"/>
    <x v="3"/>
    <s v="Mist"/>
    <n v="8.2000000000000011"/>
    <n v="0.59"/>
    <n v="8.9599999999999999E-2"/>
    <n v="3"/>
    <n v="60"/>
    <n v="63"/>
  </r>
  <r>
    <n v="247"/>
    <x v="10"/>
    <s v="winter"/>
    <s v="JANUARY"/>
    <n v="15"/>
    <s v="NO"/>
    <x v="3"/>
    <s v="Mist"/>
    <n v="6.5600000000000005"/>
    <n v="0.8"/>
    <n v="8.9599999999999999E-2"/>
    <n v="2"/>
    <n v="45"/>
    <n v="47"/>
  </r>
  <r>
    <n v="248"/>
    <x v="10"/>
    <s v="winter"/>
    <s v="JANUARY"/>
    <n v="16"/>
    <s v="NO"/>
    <x v="3"/>
    <s v="Mist"/>
    <n v="6.5600000000000005"/>
    <n v="0.86"/>
    <n v="0.22389999999999999"/>
    <n v="4"/>
    <n v="72"/>
    <n v="76"/>
  </r>
  <r>
    <n v="249"/>
    <x v="10"/>
    <s v="winter"/>
    <s v="JANUARY"/>
    <n v="17"/>
    <s v="NO"/>
    <x v="3"/>
    <s v="Mist"/>
    <n v="6.5600000000000005"/>
    <n v="0.86"/>
    <n v="0.22389999999999999"/>
    <n v="6"/>
    <n v="130"/>
    <n v="136"/>
  </r>
  <r>
    <n v="250"/>
    <x v="10"/>
    <s v="winter"/>
    <s v="JANUARY"/>
    <n v="18"/>
    <s v="NO"/>
    <x v="3"/>
    <s v="Dark Cloud"/>
    <n v="6.5600000000000005"/>
    <n v="0.93"/>
    <n v="0.1045"/>
    <n v="1"/>
    <n v="94"/>
    <n v="95"/>
  </r>
  <r>
    <n v="251"/>
    <x v="10"/>
    <s v="winter"/>
    <s v="JANUARY"/>
    <n v="19"/>
    <s v="NO"/>
    <x v="3"/>
    <s v="Dark Cloud"/>
    <n v="6.5600000000000005"/>
    <n v="0.93"/>
    <n v="0"/>
    <n v="0"/>
    <n v="51"/>
    <n v="51"/>
  </r>
  <r>
    <n v="252"/>
    <x v="10"/>
    <s v="winter"/>
    <s v="JANUARY"/>
    <n v="20"/>
    <s v="NO"/>
    <x v="3"/>
    <s v="Dark Cloud"/>
    <n v="6.5600000000000005"/>
    <n v="0.93"/>
    <n v="0.19400000000000001"/>
    <n v="0"/>
    <n v="32"/>
    <n v="32"/>
  </r>
  <r>
    <n v="253"/>
    <x v="10"/>
    <s v="winter"/>
    <s v="JANUARY"/>
    <n v="21"/>
    <s v="NO"/>
    <x v="3"/>
    <s v="Dark Cloud"/>
    <n v="6.5600000000000005"/>
    <n v="0.86"/>
    <n v="8.9599999999999999E-2"/>
    <n v="0"/>
    <n v="20"/>
    <n v="20"/>
  </r>
  <r>
    <n v="254"/>
    <x v="10"/>
    <s v="winter"/>
    <s v="JANUARY"/>
    <n v="22"/>
    <s v="NO"/>
    <x v="3"/>
    <s v="Dark Cloud"/>
    <n v="6.5600000000000005"/>
    <n v="0.93"/>
    <n v="0.1045"/>
    <n v="1"/>
    <n v="28"/>
    <n v="29"/>
  </r>
  <r>
    <n v="255"/>
    <x v="10"/>
    <s v="winter"/>
    <s v="JANUARY"/>
    <n v="23"/>
    <s v="NO"/>
    <x v="3"/>
    <s v="Dark Cloud"/>
    <n v="6.5600000000000005"/>
    <n v="0.93"/>
    <n v="8.9599999999999999E-2"/>
    <n v="1"/>
    <n v="18"/>
    <n v="19"/>
  </r>
  <r>
    <n v="256"/>
    <x v="11"/>
    <s v="winter"/>
    <s v="JANUARY"/>
    <n v="0"/>
    <s v="NO"/>
    <x v="4"/>
    <s v="Mist"/>
    <n v="6.5600000000000005"/>
    <n v="0.86"/>
    <n v="8.9599999999999999E-2"/>
    <n v="0"/>
    <n v="7"/>
    <n v="7"/>
  </r>
  <r>
    <n v="257"/>
    <x v="11"/>
    <s v="winter"/>
    <s v="JANUARY"/>
    <n v="1"/>
    <s v="NO"/>
    <x v="4"/>
    <s v="Mist"/>
    <n v="6.5600000000000005"/>
    <n v="0.86"/>
    <n v="0.1045"/>
    <n v="0"/>
    <n v="6"/>
    <n v="6"/>
  </r>
  <r>
    <n v="258"/>
    <x v="11"/>
    <s v="winter"/>
    <s v="JANUARY"/>
    <n v="2"/>
    <s v="NO"/>
    <x v="4"/>
    <s v="Clear Sky"/>
    <n v="5.74"/>
    <n v="0.86"/>
    <n v="0.1343"/>
    <n v="0"/>
    <n v="1"/>
    <n v="1"/>
  </r>
  <r>
    <n v="259"/>
    <x v="11"/>
    <s v="winter"/>
    <s v="JANUARY"/>
    <n v="5"/>
    <s v="NO"/>
    <x v="4"/>
    <s v="Clear Sky"/>
    <n v="5.74"/>
    <n v="0.86"/>
    <n v="0.16420000000000001"/>
    <n v="0"/>
    <n v="5"/>
    <n v="5"/>
  </r>
  <r>
    <n v="260"/>
    <x v="11"/>
    <s v="winter"/>
    <s v="JANUARY"/>
    <n v="6"/>
    <s v="NO"/>
    <x v="4"/>
    <s v="Clear Sky"/>
    <n v="4.92"/>
    <n v="0.93"/>
    <n v="0.1343"/>
    <n v="0"/>
    <n v="16"/>
    <n v="16"/>
  </r>
  <r>
    <n v="261"/>
    <x v="11"/>
    <s v="winter"/>
    <s v="JANUARY"/>
    <n v="7"/>
    <s v="NO"/>
    <x v="4"/>
    <s v="Clear Sky"/>
    <n v="5.74"/>
    <n v="0.69"/>
    <n v="0.1343"/>
    <n v="0"/>
    <n v="54"/>
    <n v="54"/>
  </r>
  <r>
    <n v="262"/>
    <x v="11"/>
    <s v="winter"/>
    <s v="JANUARY"/>
    <n v="8"/>
    <s v="NO"/>
    <x v="4"/>
    <s v="Clear Sky"/>
    <n v="6.5600000000000005"/>
    <n v="0.59"/>
    <n v="0.16420000000000001"/>
    <n v="3"/>
    <n v="125"/>
    <n v="128"/>
  </r>
  <r>
    <n v="263"/>
    <x v="11"/>
    <s v="winter"/>
    <s v="JANUARY"/>
    <n v="9"/>
    <s v="NO"/>
    <x v="4"/>
    <s v="Clear Sky"/>
    <n v="6.5600000000000005"/>
    <n v="0.59"/>
    <n v="0.32840000000000003"/>
    <n v="3"/>
    <n v="78"/>
    <n v="81"/>
  </r>
  <r>
    <n v="264"/>
    <x v="11"/>
    <s v="winter"/>
    <s v="JANUARY"/>
    <n v="10"/>
    <s v="NO"/>
    <x v="4"/>
    <s v="Clear Sky"/>
    <n v="7.38"/>
    <n v="0.55000000000000004"/>
    <n v="0.22389999999999999"/>
    <n v="0"/>
    <n v="39"/>
    <n v="39"/>
  </r>
  <r>
    <n v="265"/>
    <x v="11"/>
    <s v="winter"/>
    <s v="JANUARY"/>
    <n v="11"/>
    <s v="NO"/>
    <x v="4"/>
    <s v="Clear Sky"/>
    <n v="8.2000000000000011"/>
    <n v="0.51"/>
    <n v="0.3881"/>
    <n v="3"/>
    <n v="32"/>
    <n v="35"/>
  </r>
  <r>
    <n v="266"/>
    <x v="11"/>
    <s v="winter"/>
    <s v="JANUARY"/>
    <n v="12"/>
    <s v="NO"/>
    <x v="4"/>
    <s v="Clear Sky"/>
    <n v="8.2000000000000011"/>
    <n v="0.47"/>
    <n v="0.58209999999999995"/>
    <n v="3"/>
    <n v="52"/>
    <n v="55"/>
  </r>
  <r>
    <n v="267"/>
    <x v="11"/>
    <s v="winter"/>
    <s v="JANUARY"/>
    <n v="13"/>
    <s v="NO"/>
    <x v="4"/>
    <s v="Clear Sky"/>
    <n v="9.02"/>
    <n v="0.44"/>
    <n v="0.35820000000000002"/>
    <n v="0"/>
    <n v="49"/>
    <n v="49"/>
  </r>
  <r>
    <n v="268"/>
    <x v="11"/>
    <s v="winter"/>
    <s v="JANUARY"/>
    <n v="14"/>
    <s v="NO"/>
    <x v="4"/>
    <s v="Clear Sky"/>
    <n v="8.2000000000000011"/>
    <n v="0.47"/>
    <n v="0.32840000000000003"/>
    <n v="0"/>
    <n v="44"/>
    <n v="44"/>
  </r>
  <r>
    <n v="269"/>
    <x v="11"/>
    <s v="winter"/>
    <s v="JANUARY"/>
    <n v="15"/>
    <s v="NO"/>
    <x v="4"/>
    <s v="Clear Sky"/>
    <n v="8.2000000000000011"/>
    <n v="0.47"/>
    <n v="0.41789999999999999"/>
    <n v="1"/>
    <n v="48"/>
    <n v="49"/>
  </r>
  <r>
    <n v="270"/>
    <x v="11"/>
    <s v="winter"/>
    <s v="JANUARY"/>
    <n v="16"/>
    <s v="NO"/>
    <x v="4"/>
    <s v="Clear Sky"/>
    <n v="9.02"/>
    <n v="0.44"/>
    <n v="0.32840000000000003"/>
    <n v="5"/>
    <n v="63"/>
    <n v="68"/>
  </r>
  <r>
    <n v="271"/>
    <x v="11"/>
    <s v="winter"/>
    <s v="JANUARY"/>
    <n v="17"/>
    <s v="NO"/>
    <x v="4"/>
    <s v="Clear Sky"/>
    <n v="8.2000000000000011"/>
    <n v="0.47"/>
    <n v="0.35820000000000002"/>
    <n v="0"/>
    <n v="139"/>
    <n v="139"/>
  </r>
  <r>
    <n v="272"/>
    <x v="11"/>
    <s v="winter"/>
    <s v="JANUARY"/>
    <n v="18"/>
    <s v="NO"/>
    <x v="4"/>
    <s v="Clear Sky"/>
    <n v="8.2000000000000011"/>
    <n v="0.47"/>
    <n v="0.52239999999999998"/>
    <n v="2"/>
    <n v="135"/>
    <n v="137"/>
  </r>
  <r>
    <n v="273"/>
    <x v="11"/>
    <s v="winter"/>
    <s v="JANUARY"/>
    <n v="19"/>
    <s v="NO"/>
    <x v="4"/>
    <s v="Clear Sky"/>
    <n v="7.38"/>
    <n v="0.47"/>
    <n v="0.41789999999999999"/>
    <n v="1"/>
    <n v="82"/>
    <n v="83"/>
  </r>
  <r>
    <n v="274"/>
    <x v="11"/>
    <s v="winter"/>
    <s v="JANUARY"/>
    <n v="20"/>
    <s v="NO"/>
    <x v="4"/>
    <s v="Clear Sky"/>
    <n v="6.5600000000000005"/>
    <n v="0.5"/>
    <n v="0.32840000000000003"/>
    <n v="2"/>
    <n v="54"/>
    <n v="56"/>
  </r>
  <r>
    <n v="275"/>
    <x v="11"/>
    <s v="winter"/>
    <s v="JANUARY"/>
    <n v="21"/>
    <s v="NO"/>
    <x v="4"/>
    <s v="Clear Sky"/>
    <n v="6.5600000000000005"/>
    <n v="0.55000000000000004"/>
    <n v="0.32840000000000003"/>
    <n v="0"/>
    <n v="57"/>
    <n v="57"/>
  </r>
  <r>
    <n v="276"/>
    <x v="11"/>
    <s v="winter"/>
    <s v="JANUARY"/>
    <n v="22"/>
    <s v="NO"/>
    <x v="4"/>
    <s v="Clear Sky"/>
    <n v="6.5600000000000005"/>
    <n v="0.55000000000000004"/>
    <n v="0.44779999999999998"/>
    <n v="1"/>
    <n v="32"/>
    <n v="33"/>
  </r>
  <r>
    <n v="277"/>
    <x v="11"/>
    <s v="winter"/>
    <s v="JANUARY"/>
    <n v="23"/>
    <s v="NO"/>
    <x v="4"/>
    <s v="Clear Sky"/>
    <n v="5.74"/>
    <n v="0.59"/>
    <n v="0.41789999999999999"/>
    <n v="1"/>
    <n v="19"/>
    <n v="20"/>
  </r>
  <r>
    <n v="278"/>
    <x v="12"/>
    <s v="winter"/>
    <s v="JANUARY"/>
    <n v="0"/>
    <s v="NO"/>
    <x v="5"/>
    <s v="Clear Sky"/>
    <n v="5.74"/>
    <n v="0.59"/>
    <n v="0.28360000000000002"/>
    <n v="1"/>
    <n v="6"/>
    <n v="7"/>
  </r>
  <r>
    <n v="279"/>
    <x v="12"/>
    <s v="winter"/>
    <s v="JANUARY"/>
    <n v="1"/>
    <s v="NO"/>
    <x v="5"/>
    <s v="Clear Sky"/>
    <n v="5.74"/>
    <n v="0.5"/>
    <n v="0.28360000000000002"/>
    <n v="0"/>
    <n v="2"/>
    <n v="2"/>
  </r>
  <r>
    <n v="280"/>
    <x v="12"/>
    <s v="winter"/>
    <s v="JANUARY"/>
    <n v="2"/>
    <s v="NO"/>
    <x v="5"/>
    <s v="Clear Sky"/>
    <n v="5.74"/>
    <n v="0.5"/>
    <n v="0.35820000000000002"/>
    <n v="0"/>
    <n v="2"/>
    <n v="2"/>
  </r>
  <r>
    <n v="281"/>
    <x v="12"/>
    <s v="winter"/>
    <s v="JANUARY"/>
    <n v="3"/>
    <s v="NO"/>
    <x v="5"/>
    <s v="Clear Sky"/>
    <n v="5.74"/>
    <n v="0.5"/>
    <n v="0.32840000000000003"/>
    <n v="0"/>
    <n v="3"/>
    <n v="3"/>
  </r>
  <r>
    <n v="282"/>
    <x v="12"/>
    <s v="winter"/>
    <s v="JANUARY"/>
    <n v="4"/>
    <s v="NO"/>
    <x v="5"/>
    <s v="Clear Sky"/>
    <n v="5.74"/>
    <n v="0.5"/>
    <n v="0.25369999999999998"/>
    <n v="0"/>
    <n v="4"/>
    <n v="4"/>
  </r>
  <r>
    <n v="283"/>
    <x v="12"/>
    <s v="winter"/>
    <s v="JANUARY"/>
    <n v="5"/>
    <s v="NO"/>
    <x v="5"/>
    <s v="Clear Sky"/>
    <n v="5.74"/>
    <n v="0.5"/>
    <n v="0.29849999999999999"/>
    <n v="0"/>
    <n v="3"/>
    <n v="3"/>
  </r>
  <r>
    <n v="284"/>
    <x v="12"/>
    <s v="winter"/>
    <s v="JANUARY"/>
    <n v="6"/>
    <s v="NO"/>
    <x v="5"/>
    <s v="Clear Sky"/>
    <n v="4.92"/>
    <n v="0.54"/>
    <n v="0.1343"/>
    <n v="0"/>
    <n v="28"/>
    <n v="28"/>
  </r>
  <r>
    <n v="285"/>
    <x v="12"/>
    <s v="winter"/>
    <s v="JANUARY"/>
    <n v="7"/>
    <s v="NO"/>
    <x v="5"/>
    <s v="Clear Sky"/>
    <n v="4.92"/>
    <n v="0.54"/>
    <n v="0.1343"/>
    <n v="0"/>
    <n v="72"/>
    <n v="72"/>
  </r>
  <r>
    <n v="286"/>
    <x v="12"/>
    <s v="winter"/>
    <s v="JANUARY"/>
    <n v="8"/>
    <s v="NO"/>
    <x v="5"/>
    <s v="Clear Sky"/>
    <n v="5.74"/>
    <n v="0.5"/>
    <n v="0.19400000000000001"/>
    <n v="5"/>
    <n v="197"/>
    <n v="202"/>
  </r>
  <r>
    <n v="287"/>
    <x v="12"/>
    <s v="winter"/>
    <s v="JANUARY"/>
    <n v="9"/>
    <s v="NO"/>
    <x v="5"/>
    <s v="Clear Sky"/>
    <n v="5.74"/>
    <n v="0.5"/>
    <n v="0.32840000000000003"/>
    <n v="2"/>
    <n v="137"/>
    <n v="139"/>
  </r>
  <r>
    <n v="288"/>
    <x v="12"/>
    <s v="winter"/>
    <s v="JANUARY"/>
    <n v="10"/>
    <s v="NO"/>
    <x v="5"/>
    <s v="Mist"/>
    <n v="6.5600000000000005"/>
    <n v="0.5"/>
    <n v="0.35820000000000002"/>
    <n v="2"/>
    <n v="36"/>
    <n v="38"/>
  </r>
  <r>
    <n v="289"/>
    <x v="12"/>
    <s v="winter"/>
    <s v="JANUARY"/>
    <n v="11"/>
    <s v="NO"/>
    <x v="5"/>
    <s v="Mist"/>
    <n v="8.2000000000000011"/>
    <n v="0.44"/>
    <n v="0.44779999999999998"/>
    <n v="4"/>
    <n v="33"/>
    <n v="37"/>
  </r>
  <r>
    <n v="290"/>
    <x v="12"/>
    <s v="winter"/>
    <s v="JANUARY"/>
    <n v="12"/>
    <s v="NO"/>
    <x v="5"/>
    <s v="Clear Sky"/>
    <n v="8.2000000000000011"/>
    <n v="0.44"/>
    <n v="0.41789999999999999"/>
    <n v="3"/>
    <n v="49"/>
    <n v="52"/>
  </r>
  <r>
    <n v="291"/>
    <x v="12"/>
    <s v="winter"/>
    <s v="JANUARY"/>
    <n v="13"/>
    <s v="NO"/>
    <x v="5"/>
    <s v="Clear Sky"/>
    <n v="9.02"/>
    <n v="0.41"/>
    <n v="0.44779999999999998"/>
    <n v="2"/>
    <n v="81"/>
    <n v="83"/>
  </r>
  <r>
    <n v="292"/>
    <x v="12"/>
    <s v="winter"/>
    <s v="JANUARY"/>
    <n v="14"/>
    <s v="NO"/>
    <x v="5"/>
    <s v="Clear Sky"/>
    <n v="9.02"/>
    <n v="0.41"/>
    <n v="0.3881"/>
    <n v="3"/>
    <n v="39"/>
    <n v="42"/>
  </r>
  <r>
    <n v="293"/>
    <x v="12"/>
    <s v="winter"/>
    <s v="JANUARY"/>
    <n v="15"/>
    <s v="NO"/>
    <x v="5"/>
    <s v="Clear Sky"/>
    <n v="9.84"/>
    <n v="0.38"/>
    <n v="0.29849999999999999"/>
    <n v="5"/>
    <n v="55"/>
    <n v="60"/>
  </r>
  <r>
    <n v="294"/>
    <x v="12"/>
    <s v="winter"/>
    <s v="JANUARY"/>
    <n v="16"/>
    <s v="NO"/>
    <x v="5"/>
    <s v="Clear Sky"/>
    <n v="9.84"/>
    <n v="0.38"/>
    <n v="0.35820000000000002"/>
    <n v="2"/>
    <n v="76"/>
    <n v="78"/>
  </r>
  <r>
    <n v="295"/>
    <x v="12"/>
    <s v="winter"/>
    <s v="JANUARY"/>
    <n v="17"/>
    <s v="NO"/>
    <x v="5"/>
    <s v="Clear Sky"/>
    <n v="8.2000000000000011"/>
    <n v="0.4"/>
    <n v="0.28360000000000002"/>
    <n v="4"/>
    <n v="158"/>
    <n v="162"/>
  </r>
  <r>
    <n v="296"/>
    <x v="12"/>
    <s v="winter"/>
    <s v="JANUARY"/>
    <n v="18"/>
    <s v="NO"/>
    <x v="5"/>
    <s v="Clear Sky"/>
    <n v="8.2000000000000011"/>
    <n v="0.4"/>
    <n v="0.32840000000000003"/>
    <n v="3"/>
    <n v="141"/>
    <n v="144"/>
  </r>
  <r>
    <n v="297"/>
    <x v="12"/>
    <s v="winter"/>
    <s v="JANUARY"/>
    <n v="19"/>
    <s v="NO"/>
    <x v="5"/>
    <s v="Clear Sky"/>
    <n v="6.5600000000000005"/>
    <n v="0.47"/>
    <n v="0.25369999999999998"/>
    <n v="1"/>
    <n v="98"/>
    <n v="99"/>
  </r>
  <r>
    <n v="298"/>
    <x v="12"/>
    <s v="winter"/>
    <s v="JANUARY"/>
    <n v="20"/>
    <s v="NO"/>
    <x v="5"/>
    <s v="Clear Sky"/>
    <n v="6.5600000000000005"/>
    <n v="0.47"/>
    <n v="0.22389999999999999"/>
    <n v="0"/>
    <n v="64"/>
    <n v="64"/>
  </r>
  <r>
    <n v="299"/>
    <x v="12"/>
    <s v="winter"/>
    <s v="JANUARY"/>
    <n v="21"/>
    <s v="NO"/>
    <x v="5"/>
    <s v="Clear Sky"/>
    <n v="5.74"/>
    <n v="0.46"/>
    <n v="0.29849999999999999"/>
    <n v="0"/>
    <n v="40"/>
    <n v="40"/>
  </r>
  <r>
    <n v="300"/>
    <x v="12"/>
    <s v="winter"/>
    <s v="JANUARY"/>
    <n v="22"/>
    <s v="NO"/>
    <x v="5"/>
    <s v="Clear Sky"/>
    <n v="5.74"/>
    <n v="0.46"/>
    <n v="0.32840000000000003"/>
    <n v="0"/>
    <n v="30"/>
    <n v="30"/>
  </r>
  <r>
    <n v="301"/>
    <x v="12"/>
    <s v="winter"/>
    <s v="JANUARY"/>
    <n v="23"/>
    <s v="NO"/>
    <x v="5"/>
    <s v="Clear Sky"/>
    <n v="4.92"/>
    <n v="0.5"/>
    <n v="0.19400000000000001"/>
    <n v="1"/>
    <n v="14"/>
    <n v="15"/>
  </r>
  <r>
    <n v="302"/>
    <x v="13"/>
    <s v="winter"/>
    <s v="JANUARY"/>
    <n v="0"/>
    <s v="NO"/>
    <x v="6"/>
    <s v="Clear Sky"/>
    <n v="4.92"/>
    <n v="0.5"/>
    <n v="0.19400000000000001"/>
    <n v="0"/>
    <n v="14"/>
    <n v="14"/>
  </r>
  <r>
    <n v="303"/>
    <x v="13"/>
    <s v="winter"/>
    <s v="JANUARY"/>
    <n v="1"/>
    <s v="NO"/>
    <x v="6"/>
    <s v="Clear Sky"/>
    <n v="4.1000000000000005"/>
    <n v="0.54"/>
    <n v="0.16420000000000001"/>
    <n v="0"/>
    <n v="5"/>
    <n v="5"/>
  </r>
  <r>
    <n v="304"/>
    <x v="13"/>
    <s v="winter"/>
    <s v="JANUARY"/>
    <n v="2"/>
    <s v="NO"/>
    <x v="6"/>
    <s v="Clear Sky"/>
    <n v="4.1000000000000005"/>
    <n v="0.54"/>
    <n v="0.1343"/>
    <n v="0"/>
    <n v="1"/>
    <n v="1"/>
  </r>
  <r>
    <n v="305"/>
    <x v="13"/>
    <s v="winter"/>
    <s v="JANUARY"/>
    <n v="3"/>
    <s v="NO"/>
    <x v="6"/>
    <s v="Clear Sky"/>
    <n v="4.1000000000000005"/>
    <n v="0.54"/>
    <n v="0.1045"/>
    <n v="0"/>
    <n v="1"/>
    <n v="1"/>
  </r>
  <r>
    <n v="306"/>
    <x v="13"/>
    <s v="winter"/>
    <s v="JANUARY"/>
    <n v="5"/>
    <s v="NO"/>
    <x v="6"/>
    <s v="Clear Sky"/>
    <n v="4.1000000000000005"/>
    <n v="0.54"/>
    <n v="8.9599999999999999E-2"/>
    <n v="0"/>
    <n v="8"/>
    <n v="8"/>
  </r>
  <r>
    <n v="307"/>
    <x v="13"/>
    <s v="winter"/>
    <s v="JANUARY"/>
    <n v="6"/>
    <s v="NO"/>
    <x v="6"/>
    <s v="Clear Sky"/>
    <n v="4.1000000000000005"/>
    <n v="0.54"/>
    <n v="0"/>
    <n v="0"/>
    <n v="17"/>
    <n v="17"/>
  </r>
  <r>
    <n v="308"/>
    <x v="13"/>
    <s v="winter"/>
    <s v="JANUARY"/>
    <n v="7"/>
    <s v="NO"/>
    <x v="6"/>
    <s v="Clear Sky"/>
    <n v="4.1000000000000005"/>
    <n v="0.74"/>
    <n v="0.16420000000000001"/>
    <n v="0"/>
    <n v="70"/>
    <n v="70"/>
  </r>
  <r>
    <n v="309"/>
    <x v="13"/>
    <s v="winter"/>
    <s v="JANUARY"/>
    <n v="8"/>
    <s v="NO"/>
    <x v="6"/>
    <s v="Clear Sky"/>
    <n v="4.92"/>
    <n v="0.68"/>
    <n v="0"/>
    <n v="2"/>
    <n v="156"/>
    <n v="158"/>
  </r>
  <r>
    <n v="310"/>
    <x v="13"/>
    <s v="winter"/>
    <s v="JANUARY"/>
    <n v="9"/>
    <s v="NO"/>
    <x v="6"/>
    <s v="Clear Sky"/>
    <n v="5.74"/>
    <n v="0.69"/>
    <n v="0.1343"/>
    <n v="0"/>
    <n v="117"/>
    <n v="117"/>
  </r>
  <r>
    <n v="311"/>
    <x v="13"/>
    <s v="winter"/>
    <s v="JANUARY"/>
    <n v="10"/>
    <s v="NO"/>
    <x v="6"/>
    <s v="Clear Sky"/>
    <n v="7.38"/>
    <n v="0.55000000000000004"/>
    <n v="0.19400000000000001"/>
    <n v="4"/>
    <n v="40"/>
    <n v="44"/>
  </r>
  <r>
    <n v="312"/>
    <x v="13"/>
    <s v="winter"/>
    <s v="JANUARY"/>
    <n v="11"/>
    <s v="NO"/>
    <x v="6"/>
    <s v="Clear Sky"/>
    <n v="7.38"/>
    <n v="0.51"/>
    <n v="0.28360000000000002"/>
    <n v="6"/>
    <n v="47"/>
    <n v="53"/>
  </r>
  <r>
    <n v="313"/>
    <x v="13"/>
    <s v="winter"/>
    <s v="JANUARY"/>
    <n v="12"/>
    <s v="NO"/>
    <x v="6"/>
    <s v="Clear Sky"/>
    <n v="8.2000000000000011"/>
    <n v="0.44"/>
    <n v="0.25369999999999998"/>
    <n v="2"/>
    <n v="59"/>
    <n v="61"/>
  </r>
  <r>
    <n v="314"/>
    <x v="13"/>
    <s v="winter"/>
    <s v="JANUARY"/>
    <n v="13"/>
    <s v="NO"/>
    <x v="6"/>
    <s v="Clear Sky"/>
    <n v="9.02"/>
    <n v="0.37"/>
    <n v="0.3881"/>
    <n v="4"/>
    <n v="73"/>
    <n v="77"/>
  </r>
  <r>
    <n v="315"/>
    <x v="13"/>
    <s v="winter"/>
    <s v="JANUARY"/>
    <n v="14"/>
    <s v="NO"/>
    <x v="6"/>
    <s v="Clear Sky"/>
    <n v="9.02"/>
    <n v="0.41"/>
    <n v="0.28360000000000002"/>
    <n v="5"/>
    <n v="59"/>
    <n v="64"/>
  </r>
  <r>
    <n v="316"/>
    <x v="13"/>
    <s v="winter"/>
    <s v="JANUARY"/>
    <n v="15"/>
    <s v="NO"/>
    <x v="6"/>
    <s v="Clear Sky"/>
    <n v="9.84"/>
    <n v="0.38"/>
    <n v="0.16420000000000001"/>
    <n v="9"/>
    <n v="59"/>
    <n v="68"/>
  </r>
  <r>
    <n v="317"/>
    <x v="13"/>
    <s v="winter"/>
    <s v="JANUARY"/>
    <n v="16"/>
    <s v="NO"/>
    <x v="6"/>
    <s v="Clear Sky"/>
    <n v="9.02"/>
    <n v="0.41"/>
    <n v="0.1045"/>
    <n v="3"/>
    <n v="87"/>
    <n v="90"/>
  </r>
  <r>
    <n v="318"/>
    <x v="13"/>
    <s v="winter"/>
    <s v="JANUARY"/>
    <n v="17"/>
    <s v="NO"/>
    <x v="6"/>
    <s v="Clear Sky"/>
    <n v="9.02"/>
    <n v="0.41"/>
    <n v="0.16420000000000001"/>
    <n v="4"/>
    <n v="155"/>
    <n v="159"/>
  </r>
  <r>
    <n v="319"/>
    <x v="13"/>
    <s v="winter"/>
    <s v="JANUARY"/>
    <n v="18"/>
    <s v="NO"/>
    <x v="6"/>
    <s v="Clear Sky"/>
    <n v="8.2000000000000011"/>
    <n v="0.47"/>
    <n v="0"/>
    <n v="5"/>
    <n v="134"/>
    <n v="139"/>
  </r>
  <r>
    <n v="320"/>
    <x v="13"/>
    <s v="winter"/>
    <s v="JANUARY"/>
    <n v="19"/>
    <s v="NO"/>
    <x v="6"/>
    <s v="Clear Sky"/>
    <n v="6.5600000000000005"/>
    <n v="0.59"/>
    <n v="8.9599999999999999E-2"/>
    <n v="3"/>
    <n v="89"/>
    <n v="92"/>
  </r>
  <r>
    <n v="321"/>
    <x v="13"/>
    <s v="winter"/>
    <s v="JANUARY"/>
    <n v="20"/>
    <s v="NO"/>
    <x v="6"/>
    <s v="Clear Sky"/>
    <n v="7.38"/>
    <n v="0.59"/>
    <n v="0"/>
    <n v="0"/>
    <n v="68"/>
    <n v="68"/>
  </r>
  <r>
    <n v="322"/>
    <x v="13"/>
    <s v="winter"/>
    <s v="JANUARY"/>
    <n v="21"/>
    <s v="NO"/>
    <x v="6"/>
    <s v="Clear Sky"/>
    <n v="6.5600000000000005"/>
    <n v="0.69"/>
    <n v="0"/>
    <n v="4"/>
    <n v="48"/>
    <n v="52"/>
  </r>
  <r>
    <n v="323"/>
    <x v="13"/>
    <s v="winter"/>
    <s v="JANUARY"/>
    <n v="22"/>
    <s v="NO"/>
    <x v="6"/>
    <s v="Mist"/>
    <n v="6.5600000000000005"/>
    <n v="0.69"/>
    <n v="0"/>
    <n v="2"/>
    <n v="34"/>
    <n v="36"/>
  </r>
  <r>
    <n v="324"/>
    <x v="13"/>
    <s v="winter"/>
    <s v="JANUARY"/>
    <n v="23"/>
    <s v="NO"/>
    <x v="6"/>
    <s v="Mist"/>
    <n v="7.38"/>
    <n v="0.55000000000000004"/>
    <n v="0"/>
    <n v="1"/>
    <n v="26"/>
    <n v="27"/>
  </r>
  <r>
    <n v="325"/>
    <x v="14"/>
    <s v="winter"/>
    <s v="JANUARY"/>
    <n v="0"/>
    <s v="NO"/>
    <x v="0"/>
    <s v="Clear Sky"/>
    <n v="7.38"/>
    <n v="0.55000000000000004"/>
    <n v="0"/>
    <n v="3"/>
    <n v="25"/>
    <n v="28"/>
  </r>
  <r>
    <n v="326"/>
    <x v="14"/>
    <s v="winter"/>
    <s v="JANUARY"/>
    <n v="1"/>
    <s v="NO"/>
    <x v="0"/>
    <s v="Mist"/>
    <n v="6.5600000000000005"/>
    <n v="0.59"/>
    <n v="8.9599999999999999E-2"/>
    <n v="2"/>
    <n v="18"/>
    <n v="20"/>
  </r>
  <r>
    <n v="327"/>
    <x v="14"/>
    <s v="winter"/>
    <s v="JANUARY"/>
    <n v="2"/>
    <s v="NO"/>
    <x v="0"/>
    <s v="Mist"/>
    <n v="6.5600000000000005"/>
    <n v="0.59"/>
    <n v="8.9599999999999999E-2"/>
    <n v="0"/>
    <n v="12"/>
    <n v="12"/>
  </r>
  <r>
    <n v="328"/>
    <x v="14"/>
    <s v="winter"/>
    <s v="JANUARY"/>
    <n v="3"/>
    <s v="NO"/>
    <x v="0"/>
    <s v="Mist"/>
    <n v="6.5600000000000005"/>
    <n v="0.59"/>
    <n v="0"/>
    <n v="1"/>
    <n v="7"/>
    <n v="8"/>
  </r>
  <r>
    <n v="329"/>
    <x v="14"/>
    <s v="winter"/>
    <s v="JANUARY"/>
    <n v="4"/>
    <s v="NO"/>
    <x v="0"/>
    <s v="Mist"/>
    <n v="6.5600000000000005"/>
    <n v="0.59"/>
    <n v="0"/>
    <n v="0"/>
    <n v="5"/>
    <n v="5"/>
  </r>
  <r>
    <n v="330"/>
    <x v="14"/>
    <s v="winter"/>
    <s v="JANUARY"/>
    <n v="5"/>
    <s v="NO"/>
    <x v="0"/>
    <s v="Clear Sky"/>
    <n v="6.5600000000000005"/>
    <n v="0.59"/>
    <n v="0"/>
    <n v="0"/>
    <n v="1"/>
    <n v="1"/>
  </r>
  <r>
    <n v="331"/>
    <x v="14"/>
    <s v="winter"/>
    <s v="JANUARY"/>
    <n v="6"/>
    <s v="NO"/>
    <x v="0"/>
    <s v="Clear Sky"/>
    <n v="5.74"/>
    <n v="0.63"/>
    <n v="0.1045"/>
    <n v="1"/>
    <n v="2"/>
    <n v="3"/>
  </r>
  <r>
    <n v="332"/>
    <x v="14"/>
    <s v="winter"/>
    <s v="JANUARY"/>
    <n v="7"/>
    <s v="NO"/>
    <x v="0"/>
    <s v="Clear Sky"/>
    <n v="5.74"/>
    <n v="0.63"/>
    <n v="0"/>
    <n v="1"/>
    <n v="9"/>
    <n v="10"/>
  </r>
  <r>
    <n v="333"/>
    <x v="14"/>
    <s v="winter"/>
    <s v="JANUARY"/>
    <n v="8"/>
    <s v="NO"/>
    <x v="0"/>
    <s v="Clear Sky"/>
    <n v="5.74"/>
    <n v="0.63"/>
    <n v="0.1343"/>
    <n v="1"/>
    <n v="22"/>
    <n v="23"/>
  </r>
  <r>
    <n v="334"/>
    <x v="14"/>
    <s v="winter"/>
    <s v="JANUARY"/>
    <n v="9"/>
    <s v="NO"/>
    <x v="0"/>
    <s v="Clear Sky"/>
    <n v="6.5600000000000005"/>
    <n v="0.64"/>
    <n v="0.1343"/>
    <n v="2"/>
    <n v="31"/>
    <n v="33"/>
  </r>
  <r>
    <n v="335"/>
    <x v="14"/>
    <s v="winter"/>
    <s v="JANUARY"/>
    <n v="10"/>
    <s v="NO"/>
    <x v="0"/>
    <s v="Clear Sky"/>
    <n v="7.38"/>
    <n v="0.59"/>
    <n v="0.16420000000000001"/>
    <n v="2"/>
    <n v="57"/>
    <n v="59"/>
  </r>
  <r>
    <n v="336"/>
    <x v="14"/>
    <s v="winter"/>
    <s v="JANUARY"/>
    <n v="11"/>
    <s v="NO"/>
    <x v="0"/>
    <s v="Clear Sky"/>
    <n v="8.2000000000000011"/>
    <n v="0.55000000000000004"/>
    <n v="0.22389999999999999"/>
    <n v="18"/>
    <n v="54"/>
    <n v="72"/>
  </r>
  <r>
    <n v="337"/>
    <x v="14"/>
    <s v="winter"/>
    <s v="JANUARY"/>
    <n v="12"/>
    <s v="NO"/>
    <x v="0"/>
    <s v="Clear Sky"/>
    <n v="9.84"/>
    <n v="0.48"/>
    <n v="0.22389999999999999"/>
    <n v="15"/>
    <n v="74"/>
    <n v="89"/>
  </r>
  <r>
    <n v="338"/>
    <x v="14"/>
    <s v="winter"/>
    <s v="JANUARY"/>
    <n v="13"/>
    <s v="NO"/>
    <x v="0"/>
    <s v="Clear Sky"/>
    <n v="11.48"/>
    <n v="0.38"/>
    <n v="0.29849999999999999"/>
    <n v="21"/>
    <n v="80"/>
    <n v="101"/>
  </r>
  <r>
    <n v="339"/>
    <x v="14"/>
    <s v="winter"/>
    <s v="JANUARY"/>
    <n v="14"/>
    <s v="NO"/>
    <x v="0"/>
    <s v="Clear Sky"/>
    <n v="12.299999999999999"/>
    <n v="0.39"/>
    <n v="0.28360000000000002"/>
    <n v="26"/>
    <n v="92"/>
    <n v="118"/>
  </r>
  <r>
    <n v="340"/>
    <x v="14"/>
    <s v="winter"/>
    <s v="JANUARY"/>
    <n v="15"/>
    <s v="NO"/>
    <x v="0"/>
    <s v="Mist"/>
    <n v="13.120000000000001"/>
    <n v="0.36"/>
    <n v="0.19400000000000001"/>
    <n v="21"/>
    <n v="108"/>
    <n v="129"/>
  </r>
  <r>
    <n v="341"/>
    <x v="14"/>
    <s v="winter"/>
    <s v="JANUARY"/>
    <n v="16"/>
    <s v="NO"/>
    <x v="0"/>
    <s v="Mist"/>
    <n v="13.940000000000001"/>
    <n v="0.34"/>
    <n v="0.19400000000000001"/>
    <n v="33"/>
    <n v="95"/>
    <n v="128"/>
  </r>
  <r>
    <n v="342"/>
    <x v="14"/>
    <s v="winter"/>
    <s v="JANUARY"/>
    <n v="17"/>
    <s v="NO"/>
    <x v="0"/>
    <s v="Mist"/>
    <n v="13.120000000000001"/>
    <n v="0.36"/>
    <n v="0.28360000000000002"/>
    <n v="29"/>
    <n v="54"/>
    <n v="83"/>
  </r>
  <r>
    <n v="343"/>
    <x v="14"/>
    <s v="winter"/>
    <s v="JANUARY"/>
    <n v="18"/>
    <s v="NO"/>
    <x v="0"/>
    <s v="Mist"/>
    <n v="12.299999999999999"/>
    <n v="0.45"/>
    <n v="0.25369999999999998"/>
    <n v="15"/>
    <n v="69"/>
    <n v="84"/>
  </r>
  <r>
    <n v="344"/>
    <x v="14"/>
    <s v="winter"/>
    <s v="JANUARY"/>
    <n v="19"/>
    <s v="NO"/>
    <x v="0"/>
    <s v="Mist"/>
    <n v="13.120000000000001"/>
    <n v="0.39"/>
    <n v="0.25369999999999998"/>
    <n v="14"/>
    <n v="60"/>
    <n v="74"/>
  </r>
  <r>
    <n v="345"/>
    <x v="14"/>
    <s v="winter"/>
    <s v="JANUARY"/>
    <n v="20"/>
    <s v="NO"/>
    <x v="0"/>
    <s v="Mist"/>
    <n v="13.120000000000001"/>
    <n v="0.39"/>
    <n v="0.25369999999999998"/>
    <n v="6"/>
    <n v="35"/>
    <n v="41"/>
  </r>
  <r>
    <n v="346"/>
    <x v="14"/>
    <s v="winter"/>
    <s v="JANUARY"/>
    <n v="21"/>
    <s v="NO"/>
    <x v="0"/>
    <s v="Mist"/>
    <n v="13.120000000000001"/>
    <n v="0.39"/>
    <n v="0.22389999999999999"/>
    <n v="6"/>
    <n v="51"/>
    <n v="57"/>
  </r>
  <r>
    <n v="347"/>
    <x v="14"/>
    <s v="winter"/>
    <s v="JANUARY"/>
    <n v="22"/>
    <s v="NO"/>
    <x v="0"/>
    <s v="Mist"/>
    <n v="12.299999999999999"/>
    <n v="0.42"/>
    <n v="0.1045"/>
    <n v="0"/>
    <n v="26"/>
    <n v="26"/>
  </r>
  <r>
    <n v="348"/>
    <x v="14"/>
    <s v="winter"/>
    <s v="JANUARY"/>
    <n v="23"/>
    <s v="NO"/>
    <x v="0"/>
    <s v="Clear Sky"/>
    <n v="12.299999999999999"/>
    <n v="0.45"/>
    <n v="0.28360000000000002"/>
    <n v="5"/>
    <n v="39"/>
    <n v="44"/>
  </r>
  <r>
    <n v="349"/>
    <x v="15"/>
    <s v="winter"/>
    <s v="JANUARY"/>
    <n v="0"/>
    <s v="NO"/>
    <x v="1"/>
    <s v="Clear Sky"/>
    <n v="10.66"/>
    <n v="0.56000000000000005"/>
    <n v="0"/>
    <n v="6"/>
    <n v="33"/>
    <n v="39"/>
  </r>
  <r>
    <n v="350"/>
    <x v="15"/>
    <s v="winter"/>
    <s v="JANUARY"/>
    <n v="1"/>
    <s v="NO"/>
    <x v="1"/>
    <s v="Clear Sky"/>
    <n v="10.66"/>
    <n v="0.56000000000000005"/>
    <n v="0.1343"/>
    <n v="4"/>
    <n v="19"/>
    <n v="23"/>
  </r>
  <r>
    <n v="351"/>
    <x v="15"/>
    <s v="winter"/>
    <s v="JANUARY"/>
    <n v="2"/>
    <s v="NO"/>
    <x v="1"/>
    <s v="Clear Sky"/>
    <n v="10.66"/>
    <n v="0.56000000000000005"/>
    <n v="8.9599999999999999E-2"/>
    <n v="3"/>
    <n v="13"/>
    <n v="16"/>
  </r>
  <r>
    <n v="352"/>
    <x v="15"/>
    <s v="winter"/>
    <s v="JANUARY"/>
    <n v="3"/>
    <s v="NO"/>
    <x v="1"/>
    <s v="Clear Sky"/>
    <n v="9.02"/>
    <n v="0.69"/>
    <n v="0"/>
    <n v="9"/>
    <n v="6"/>
    <n v="15"/>
  </r>
  <r>
    <n v="353"/>
    <x v="15"/>
    <s v="winter"/>
    <s v="JANUARY"/>
    <n v="4"/>
    <s v="NO"/>
    <x v="1"/>
    <s v="Clear Sky"/>
    <n v="10.66"/>
    <n v="0.56000000000000005"/>
    <n v="0.16420000000000001"/>
    <n v="0"/>
    <n v="1"/>
    <n v="1"/>
  </r>
  <r>
    <n v="354"/>
    <x v="15"/>
    <s v="winter"/>
    <s v="JANUARY"/>
    <n v="5"/>
    <s v="NO"/>
    <x v="1"/>
    <s v="Mist"/>
    <n v="10.66"/>
    <n v="0.56000000000000005"/>
    <n v="0.16420000000000001"/>
    <n v="1"/>
    <n v="1"/>
    <n v="2"/>
  </r>
  <r>
    <n v="355"/>
    <x v="15"/>
    <s v="winter"/>
    <s v="JANUARY"/>
    <n v="6"/>
    <s v="NO"/>
    <x v="1"/>
    <s v="Mist"/>
    <n v="10.66"/>
    <n v="0.56000000000000005"/>
    <n v="0.16420000000000001"/>
    <n v="0"/>
    <n v="1"/>
    <n v="1"/>
  </r>
  <r>
    <n v="356"/>
    <x v="15"/>
    <s v="winter"/>
    <s v="JANUARY"/>
    <n v="7"/>
    <s v="NO"/>
    <x v="1"/>
    <s v="Mist"/>
    <n v="9.84"/>
    <n v="0.56000000000000005"/>
    <n v="0.29849999999999999"/>
    <n v="0"/>
    <n v="3"/>
    <n v="3"/>
  </r>
  <r>
    <n v="357"/>
    <x v="15"/>
    <s v="winter"/>
    <s v="JANUARY"/>
    <n v="8"/>
    <s v="NO"/>
    <x v="1"/>
    <s v="Clear Sky"/>
    <n v="9.02"/>
    <n v="0.55000000000000004"/>
    <n v="0.28360000000000002"/>
    <n v="0"/>
    <n v="18"/>
    <n v="18"/>
  </r>
  <r>
    <n v="358"/>
    <x v="15"/>
    <s v="winter"/>
    <s v="JANUARY"/>
    <n v="9"/>
    <s v="NO"/>
    <x v="1"/>
    <s v="Clear Sky"/>
    <n v="9.02"/>
    <n v="0.51"/>
    <n v="0.25369999999999998"/>
    <n v="3"/>
    <n v="29"/>
    <n v="32"/>
  </r>
  <r>
    <n v="359"/>
    <x v="15"/>
    <s v="winter"/>
    <s v="JANUARY"/>
    <n v="10"/>
    <s v="NO"/>
    <x v="1"/>
    <s v="Clear Sky"/>
    <n v="9.02"/>
    <n v="0.51"/>
    <n v="0.28360000000000002"/>
    <n v="8"/>
    <n v="71"/>
    <n v="79"/>
  </r>
  <r>
    <n v="360"/>
    <x v="15"/>
    <s v="winter"/>
    <s v="JANUARY"/>
    <n v="11"/>
    <s v="NO"/>
    <x v="1"/>
    <s v="Clear Sky"/>
    <n v="9.84"/>
    <n v="0.44"/>
    <n v="0.25369999999999998"/>
    <n v="23"/>
    <n v="70"/>
    <n v="93"/>
  </r>
  <r>
    <n v="361"/>
    <x v="15"/>
    <s v="winter"/>
    <s v="JANUARY"/>
    <n v="12"/>
    <s v="NO"/>
    <x v="1"/>
    <s v="Clear Sky"/>
    <n v="9.84"/>
    <n v="0.41"/>
    <n v="0.28360000000000002"/>
    <n v="29"/>
    <n v="75"/>
    <n v="104"/>
  </r>
  <r>
    <n v="362"/>
    <x v="15"/>
    <s v="winter"/>
    <s v="JANUARY"/>
    <n v="13"/>
    <s v="NO"/>
    <x v="1"/>
    <s v="Clear Sky"/>
    <n v="10.66"/>
    <n v="0.35"/>
    <n v="0.29849999999999999"/>
    <n v="23"/>
    <n v="95"/>
    <n v="118"/>
  </r>
  <r>
    <n v="363"/>
    <x v="15"/>
    <s v="winter"/>
    <s v="JANUARY"/>
    <n v="14"/>
    <s v="NO"/>
    <x v="1"/>
    <s v="Clear Sky"/>
    <n v="11.48"/>
    <n v="0.36"/>
    <n v="0.25369999999999998"/>
    <n v="22"/>
    <n v="69"/>
    <n v="91"/>
  </r>
  <r>
    <n v="364"/>
    <x v="15"/>
    <s v="winter"/>
    <s v="JANUARY"/>
    <n v="15"/>
    <s v="NO"/>
    <x v="1"/>
    <s v="Clear Sky"/>
    <n v="10.66"/>
    <n v="0.38"/>
    <n v="0.25369999999999998"/>
    <n v="35"/>
    <n v="78"/>
    <n v="113"/>
  </r>
  <r>
    <n v="365"/>
    <x v="15"/>
    <s v="winter"/>
    <s v="JANUARY"/>
    <n v="16"/>
    <s v="NO"/>
    <x v="1"/>
    <s v="Clear Sky"/>
    <n v="9.84"/>
    <n v="0.38"/>
    <n v="0.22389999999999999"/>
    <n v="22"/>
    <n v="77"/>
    <n v="99"/>
  </r>
  <r>
    <n v="366"/>
    <x v="15"/>
    <s v="winter"/>
    <s v="JANUARY"/>
    <n v="17"/>
    <s v="NO"/>
    <x v="1"/>
    <s v="Clear Sky"/>
    <n v="9.02"/>
    <n v="0.37"/>
    <n v="0.25369999999999998"/>
    <n v="23"/>
    <n v="82"/>
    <n v="105"/>
  </r>
  <r>
    <n v="367"/>
    <x v="15"/>
    <s v="winter"/>
    <s v="JANUARY"/>
    <n v="18"/>
    <s v="NO"/>
    <x v="1"/>
    <s v="Clear Sky"/>
    <n v="8.2000000000000011"/>
    <n v="0.4"/>
    <n v="0.16420000000000001"/>
    <n v="11"/>
    <n v="56"/>
    <n v="67"/>
  </r>
  <r>
    <n v="368"/>
    <x v="15"/>
    <s v="winter"/>
    <s v="JANUARY"/>
    <n v="19"/>
    <s v="NO"/>
    <x v="1"/>
    <s v="Clear Sky"/>
    <n v="7.38"/>
    <n v="0.47"/>
    <n v="0.1343"/>
    <n v="14"/>
    <n v="47"/>
    <n v="61"/>
  </r>
  <r>
    <n v="369"/>
    <x v="15"/>
    <s v="winter"/>
    <s v="JANUARY"/>
    <n v="20"/>
    <s v="NO"/>
    <x v="1"/>
    <s v="Clear Sky"/>
    <n v="7.38"/>
    <n v="0.47"/>
    <n v="0.16420000000000001"/>
    <n v="7"/>
    <n v="50"/>
    <n v="57"/>
  </r>
  <r>
    <n v="370"/>
    <x v="15"/>
    <s v="winter"/>
    <s v="JANUARY"/>
    <n v="21"/>
    <s v="NO"/>
    <x v="1"/>
    <s v="Clear Sky"/>
    <n v="7.38"/>
    <n v="0.51"/>
    <n v="0.16420000000000001"/>
    <n v="6"/>
    <n v="22"/>
    <n v="28"/>
  </r>
  <r>
    <n v="371"/>
    <x v="15"/>
    <s v="winter"/>
    <s v="JANUARY"/>
    <n v="22"/>
    <s v="NO"/>
    <x v="1"/>
    <s v="Mist"/>
    <n v="8.2000000000000011"/>
    <n v="0.49"/>
    <n v="0.1343"/>
    <n v="2"/>
    <n v="19"/>
    <n v="21"/>
  </r>
  <r>
    <n v="372"/>
    <x v="15"/>
    <s v="winter"/>
    <s v="JANUARY"/>
    <n v="23"/>
    <s v="NO"/>
    <x v="1"/>
    <s v="Mist"/>
    <n v="8.2000000000000011"/>
    <n v="0.4"/>
    <n v="0.1045"/>
    <n v="0"/>
    <n v="18"/>
    <n v="18"/>
  </r>
  <r>
    <n v="373"/>
    <x v="16"/>
    <s v="winter"/>
    <s v="JANUARY"/>
    <n v="0"/>
    <s v="YES"/>
    <x v="2"/>
    <s v="Mist"/>
    <n v="8.2000000000000011"/>
    <n v="0.47"/>
    <n v="0.22389999999999999"/>
    <n v="1"/>
    <n v="16"/>
    <n v="17"/>
  </r>
  <r>
    <n v="374"/>
    <x v="16"/>
    <s v="winter"/>
    <s v="JANUARY"/>
    <n v="1"/>
    <s v="YES"/>
    <x v="2"/>
    <s v="Mist"/>
    <n v="8.2000000000000011"/>
    <n v="0.44"/>
    <n v="0.19400000000000001"/>
    <n v="1"/>
    <n v="15"/>
    <n v="16"/>
  </r>
  <r>
    <n v="375"/>
    <x v="16"/>
    <s v="winter"/>
    <s v="JANUARY"/>
    <n v="2"/>
    <s v="YES"/>
    <x v="2"/>
    <s v="Mist"/>
    <n v="7.38"/>
    <n v="0.43"/>
    <n v="0.25369999999999998"/>
    <n v="0"/>
    <n v="8"/>
    <n v="8"/>
  </r>
  <r>
    <n v="376"/>
    <x v="16"/>
    <s v="winter"/>
    <s v="JANUARY"/>
    <n v="3"/>
    <s v="YES"/>
    <x v="2"/>
    <s v="Mist"/>
    <n v="7.38"/>
    <n v="0.43"/>
    <n v="0.19400000000000001"/>
    <n v="0"/>
    <n v="2"/>
    <n v="2"/>
  </r>
  <r>
    <n v="377"/>
    <x v="16"/>
    <s v="winter"/>
    <s v="JANUARY"/>
    <n v="4"/>
    <s v="YES"/>
    <x v="2"/>
    <s v="Mist"/>
    <n v="7.38"/>
    <n v="0.43"/>
    <n v="0.1343"/>
    <n v="1"/>
    <n v="2"/>
    <n v="3"/>
  </r>
  <r>
    <n v="378"/>
    <x v="16"/>
    <s v="winter"/>
    <s v="JANUARY"/>
    <n v="5"/>
    <s v="YES"/>
    <x v="2"/>
    <s v="Mist"/>
    <n v="7.38"/>
    <n v="0.43"/>
    <n v="0.16420000000000001"/>
    <n v="0"/>
    <n v="1"/>
    <n v="1"/>
  </r>
  <r>
    <n v="379"/>
    <x v="16"/>
    <s v="winter"/>
    <s v="JANUARY"/>
    <n v="6"/>
    <s v="YES"/>
    <x v="2"/>
    <s v="Mist"/>
    <n v="7.38"/>
    <n v="0.43"/>
    <n v="0.19400000000000001"/>
    <n v="0"/>
    <n v="5"/>
    <n v="5"/>
  </r>
  <r>
    <n v="380"/>
    <x v="16"/>
    <s v="winter"/>
    <s v="JANUARY"/>
    <n v="7"/>
    <s v="YES"/>
    <x v="2"/>
    <s v="Mist"/>
    <n v="6.5600000000000005"/>
    <n v="0.5"/>
    <n v="0.1343"/>
    <n v="4"/>
    <n v="9"/>
    <n v="13"/>
  </r>
  <r>
    <n v="381"/>
    <x v="16"/>
    <s v="winter"/>
    <s v="JANUARY"/>
    <n v="8"/>
    <s v="YES"/>
    <x v="2"/>
    <s v="Mist"/>
    <n v="6.5600000000000005"/>
    <n v="0.47"/>
    <n v="0.22389999999999999"/>
    <n v="3"/>
    <n v="30"/>
    <n v="33"/>
  </r>
  <r>
    <n v="382"/>
    <x v="16"/>
    <s v="winter"/>
    <s v="JANUARY"/>
    <n v="9"/>
    <s v="YES"/>
    <x v="2"/>
    <s v="Mist"/>
    <n v="6.5600000000000005"/>
    <n v="0.47"/>
    <n v="0.22389999999999999"/>
    <n v="8"/>
    <n v="39"/>
    <n v="47"/>
  </r>
  <r>
    <n v="383"/>
    <x v="16"/>
    <s v="winter"/>
    <s v="JANUARY"/>
    <n v="10"/>
    <s v="YES"/>
    <x v="2"/>
    <s v="Mist"/>
    <n v="6.5600000000000005"/>
    <n v="0.5"/>
    <n v="0.25369999999999998"/>
    <n v="7"/>
    <n v="50"/>
    <n v="57"/>
  </r>
  <r>
    <n v="384"/>
    <x v="16"/>
    <s v="winter"/>
    <s v="JANUARY"/>
    <n v="11"/>
    <s v="YES"/>
    <x v="2"/>
    <s v="Mist"/>
    <n v="6.5600000000000005"/>
    <n v="0.55000000000000004"/>
    <n v="0.19400000000000001"/>
    <n v="9"/>
    <n v="55"/>
    <n v="64"/>
  </r>
  <r>
    <n v="385"/>
    <x v="16"/>
    <s v="winter"/>
    <s v="JANUARY"/>
    <n v="12"/>
    <s v="YES"/>
    <x v="2"/>
    <s v="Mist"/>
    <n v="7.38"/>
    <n v="0.47"/>
    <n v="0.1343"/>
    <n v="10"/>
    <n v="70"/>
    <n v="80"/>
  </r>
  <r>
    <n v="386"/>
    <x v="16"/>
    <s v="winter"/>
    <s v="JANUARY"/>
    <n v="13"/>
    <s v="YES"/>
    <x v="2"/>
    <s v="Mist"/>
    <n v="7.38"/>
    <n v="0.47"/>
    <n v="0.1343"/>
    <n v="13"/>
    <n v="80"/>
    <n v="93"/>
  </r>
  <r>
    <n v="387"/>
    <x v="16"/>
    <s v="winter"/>
    <s v="JANUARY"/>
    <n v="14"/>
    <s v="YES"/>
    <x v="2"/>
    <s v="Mist"/>
    <n v="7.38"/>
    <n v="0.43"/>
    <n v="0.1045"/>
    <n v="12"/>
    <n v="74"/>
    <n v="86"/>
  </r>
  <r>
    <n v="388"/>
    <x v="16"/>
    <s v="winter"/>
    <s v="JANUARY"/>
    <n v="15"/>
    <s v="YES"/>
    <x v="2"/>
    <s v="Mist"/>
    <n v="8.2000000000000011"/>
    <n v="0.47"/>
    <n v="0.16420000000000001"/>
    <n v="21"/>
    <n v="72"/>
    <n v="93"/>
  </r>
  <r>
    <n v="389"/>
    <x v="16"/>
    <s v="winter"/>
    <s v="JANUARY"/>
    <n v="16"/>
    <s v="YES"/>
    <x v="2"/>
    <s v="Mist"/>
    <n v="8.2000000000000011"/>
    <n v="0.47"/>
    <n v="0.16420000000000001"/>
    <n v="6"/>
    <n v="76"/>
    <n v="82"/>
  </r>
  <r>
    <n v="390"/>
    <x v="16"/>
    <s v="winter"/>
    <s v="JANUARY"/>
    <n v="17"/>
    <s v="YES"/>
    <x v="2"/>
    <s v="Clear Sky"/>
    <n v="8.2000000000000011"/>
    <n v="0.51"/>
    <n v="0.19400000000000001"/>
    <n v="4"/>
    <n v="67"/>
    <n v="71"/>
  </r>
  <r>
    <n v="391"/>
    <x v="16"/>
    <s v="winter"/>
    <s v="JANUARY"/>
    <n v="18"/>
    <s v="YES"/>
    <x v="2"/>
    <s v="Mist"/>
    <n v="7.38"/>
    <n v="0.55000000000000004"/>
    <n v="0.25369999999999998"/>
    <n v="7"/>
    <n v="85"/>
    <n v="92"/>
  </r>
  <r>
    <n v="392"/>
    <x v="16"/>
    <s v="winter"/>
    <s v="JANUARY"/>
    <n v="19"/>
    <s v="YES"/>
    <x v="2"/>
    <s v="Dark Cloud"/>
    <n v="7.38"/>
    <n v="0.59"/>
    <n v="0.19400000000000001"/>
    <n v="2"/>
    <n v="58"/>
    <n v="60"/>
  </r>
  <r>
    <n v="393"/>
    <x v="16"/>
    <s v="winter"/>
    <s v="JANUARY"/>
    <n v="20"/>
    <s v="YES"/>
    <x v="2"/>
    <s v="Dark Cloud"/>
    <n v="6.5600000000000005"/>
    <n v="0.8"/>
    <n v="0.19400000000000001"/>
    <n v="4"/>
    <n v="29"/>
    <n v="33"/>
  </r>
  <r>
    <n v="394"/>
    <x v="16"/>
    <s v="winter"/>
    <s v="JANUARY"/>
    <n v="21"/>
    <s v="YES"/>
    <x v="2"/>
    <s v="Dark Cloud"/>
    <n v="6.5600000000000005"/>
    <n v="0.8"/>
    <n v="0.19400000000000001"/>
    <n v="3"/>
    <n v="24"/>
    <n v="27"/>
  </r>
  <r>
    <n v="395"/>
    <x v="16"/>
    <s v="winter"/>
    <s v="JANUARY"/>
    <n v="22"/>
    <s v="YES"/>
    <x v="2"/>
    <s v="Dark Cloud"/>
    <n v="5.74"/>
    <n v="0.93"/>
    <n v="0.25369999999999998"/>
    <n v="0"/>
    <n v="13"/>
    <n v="13"/>
  </r>
  <r>
    <n v="396"/>
    <x v="16"/>
    <s v="winter"/>
    <s v="JANUARY"/>
    <n v="23"/>
    <s v="YES"/>
    <x v="2"/>
    <s v="Dark Cloud"/>
    <n v="6.5600000000000005"/>
    <n v="0.86"/>
    <n v="0.28360000000000002"/>
    <n v="1"/>
    <n v="3"/>
    <n v="4"/>
  </r>
  <r>
    <n v="397"/>
    <x v="17"/>
    <s v="winter"/>
    <s v="JANUARY"/>
    <n v="12"/>
    <s v="NO"/>
    <x v="3"/>
    <s v="Mist"/>
    <n v="8.2000000000000011"/>
    <n v="0.86"/>
    <n v="0.32840000000000003"/>
    <n v="0"/>
    <n v="3"/>
    <n v="3"/>
  </r>
  <r>
    <n v="398"/>
    <x v="17"/>
    <s v="winter"/>
    <s v="JANUARY"/>
    <n v="13"/>
    <s v="NO"/>
    <x v="3"/>
    <s v="Mist"/>
    <n v="8.2000000000000011"/>
    <n v="0.86"/>
    <n v="0.22389999999999999"/>
    <n v="0"/>
    <n v="22"/>
    <n v="22"/>
  </r>
  <r>
    <n v="399"/>
    <x v="17"/>
    <s v="winter"/>
    <s v="JANUARY"/>
    <n v="14"/>
    <s v="NO"/>
    <x v="3"/>
    <s v="Mist"/>
    <n v="9.02"/>
    <n v="0.8"/>
    <n v="0.16420000000000001"/>
    <n v="2"/>
    <n v="26"/>
    <n v="28"/>
  </r>
  <r>
    <n v="400"/>
    <x v="17"/>
    <s v="winter"/>
    <s v="JANUARY"/>
    <n v="15"/>
    <s v="NO"/>
    <x v="3"/>
    <s v="Mist"/>
    <n v="9.02"/>
    <n v="0.87"/>
    <n v="0.16420000000000001"/>
    <n v="3"/>
    <n v="32"/>
    <n v="35"/>
  </r>
  <r>
    <n v="401"/>
    <x v="17"/>
    <s v="winter"/>
    <s v="JANUARY"/>
    <n v="16"/>
    <s v="NO"/>
    <x v="3"/>
    <s v="Mist"/>
    <n v="9.02"/>
    <n v="0.87"/>
    <n v="0.19400000000000001"/>
    <n v="0"/>
    <n v="61"/>
    <n v="61"/>
  </r>
  <r>
    <n v="402"/>
    <x v="17"/>
    <s v="winter"/>
    <s v="JANUARY"/>
    <n v="17"/>
    <s v="NO"/>
    <x v="3"/>
    <s v="Mist"/>
    <n v="9.02"/>
    <n v="0.82"/>
    <n v="0.19400000000000001"/>
    <n v="1"/>
    <n v="124"/>
    <n v="125"/>
  </r>
  <r>
    <n v="403"/>
    <x v="17"/>
    <s v="winter"/>
    <s v="JANUARY"/>
    <n v="18"/>
    <s v="NO"/>
    <x v="3"/>
    <s v="Mist"/>
    <n v="9.02"/>
    <n v="0.8"/>
    <n v="0.16420000000000001"/>
    <n v="1"/>
    <n v="132"/>
    <n v="133"/>
  </r>
  <r>
    <n v="404"/>
    <x v="17"/>
    <s v="winter"/>
    <s v="JANUARY"/>
    <n v="19"/>
    <s v="NO"/>
    <x v="3"/>
    <s v="Mist"/>
    <n v="9.02"/>
    <n v="0.8"/>
    <n v="0.1343"/>
    <n v="1"/>
    <n v="98"/>
    <n v="99"/>
  </r>
  <r>
    <n v="405"/>
    <x v="17"/>
    <s v="winter"/>
    <s v="JANUARY"/>
    <n v="20"/>
    <s v="NO"/>
    <x v="3"/>
    <s v="Mist"/>
    <n v="9.02"/>
    <n v="0.87"/>
    <n v="0"/>
    <n v="0"/>
    <n v="83"/>
    <n v="83"/>
  </r>
  <r>
    <n v="406"/>
    <x v="17"/>
    <s v="winter"/>
    <s v="JANUARY"/>
    <n v="21"/>
    <s v="NO"/>
    <x v="3"/>
    <s v="Mist"/>
    <n v="9.02"/>
    <n v="0.93"/>
    <n v="0.1045"/>
    <n v="0"/>
    <n v="41"/>
    <n v="41"/>
  </r>
  <r>
    <n v="407"/>
    <x v="17"/>
    <s v="winter"/>
    <s v="JANUARY"/>
    <n v="22"/>
    <s v="NO"/>
    <x v="3"/>
    <s v="Mist"/>
    <n v="9.02"/>
    <n v="0.93"/>
    <n v="8.9599999999999999E-2"/>
    <n v="0"/>
    <n v="33"/>
    <n v="33"/>
  </r>
  <r>
    <n v="408"/>
    <x v="17"/>
    <s v="winter"/>
    <s v="JANUARY"/>
    <n v="23"/>
    <s v="NO"/>
    <x v="3"/>
    <s v="Mist"/>
    <n v="9.02"/>
    <n v="0.93"/>
    <n v="0"/>
    <n v="1"/>
    <n v="19"/>
    <n v="20"/>
  </r>
  <r>
    <n v="409"/>
    <x v="18"/>
    <s v="winter"/>
    <s v="JANUARY"/>
    <n v="0"/>
    <s v="NO"/>
    <x v="4"/>
    <s v="Mist"/>
    <n v="9.02"/>
    <n v="0.93"/>
    <n v="0"/>
    <n v="0"/>
    <n v="3"/>
    <n v="3"/>
  </r>
  <r>
    <n v="410"/>
    <x v="18"/>
    <s v="winter"/>
    <s v="JANUARY"/>
    <n v="1"/>
    <s v="NO"/>
    <x v="4"/>
    <s v="Dark Cloud"/>
    <n v="9.02"/>
    <n v="0.93"/>
    <n v="0.1343"/>
    <n v="1"/>
    <n v="6"/>
    <n v="7"/>
  </r>
  <r>
    <n v="411"/>
    <x v="18"/>
    <s v="winter"/>
    <s v="JANUARY"/>
    <n v="2"/>
    <s v="NO"/>
    <x v="4"/>
    <s v="Dark Cloud"/>
    <n v="9.02"/>
    <n v="0.93"/>
    <n v="0.1343"/>
    <n v="0"/>
    <n v="3"/>
    <n v="3"/>
  </r>
  <r>
    <n v="412"/>
    <x v="18"/>
    <s v="winter"/>
    <s v="JANUARY"/>
    <n v="4"/>
    <s v="NO"/>
    <x v="4"/>
    <s v="Dark Cloud"/>
    <n v="9.02"/>
    <n v="0.93"/>
    <n v="0.1343"/>
    <n v="1"/>
    <n v="1"/>
    <n v="2"/>
  </r>
  <r>
    <n v="413"/>
    <x v="18"/>
    <s v="winter"/>
    <s v="JANUARY"/>
    <n v="5"/>
    <s v="NO"/>
    <x v="4"/>
    <s v="Mist"/>
    <n v="9.02"/>
    <n v="0.93"/>
    <n v="8.9599999999999999E-2"/>
    <n v="0"/>
    <n v="7"/>
    <n v="7"/>
  </r>
  <r>
    <n v="414"/>
    <x v="18"/>
    <s v="winter"/>
    <s v="JANUARY"/>
    <n v="6"/>
    <s v="NO"/>
    <x v="4"/>
    <s v="Mist"/>
    <n v="9.02"/>
    <n v="0.93"/>
    <n v="8.9599999999999999E-2"/>
    <n v="0"/>
    <n v="32"/>
    <n v="32"/>
  </r>
  <r>
    <n v="415"/>
    <x v="18"/>
    <s v="winter"/>
    <s v="JANUARY"/>
    <n v="7"/>
    <s v="NO"/>
    <x v="4"/>
    <s v="Mist"/>
    <n v="9.84"/>
    <n v="0.92"/>
    <n v="0.1045"/>
    <n v="1"/>
    <n v="89"/>
    <n v="90"/>
  </r>
  <r>
    <n v="416"/>
    <x v="18"/>
    <s v="winter"/>
    <s v="JANUARY"/>
    <n v="8"/>
    <s v="NO"/>
    <x v="4"/>
    <s v="Mist"/>
    <n v="9.84"/>
    <n v="0.93"/>
    <n v="0.1045"/>
    <n v="1"/>
    <n v="196"/>
    <n v="197"/>
  </r>
  <r>
    <n v="417"/>
    <x v="18"/>
    <s v="winter"/>
    <s v="JANUARY"/>
    <n v="9"/>
    <s v="NO"/>
    <x v="4"/>
    <s v="Mist"/>
    <n v="9.84"/>
    <n v="0.93"/>
    <n v="0.1045"/>
    <n v="2"/>
    <n v="107"/>
    <n v="109"/>
  </r>
  <r>
    <n v="418"/>
    <x v="18"/>
    <s v="winter"/>
    <s v="JANUARY"/>
    <n v="10"/>
    <s v="NO"/>
    <x v="4"/>
    <s v="Mist"/>
    <n v="10.66"/>
    <n v="0.93"/>
    <n v="0.1343"/>
    <n v="1"/>
    <n v="46"/>
    <n v="47"/>
  </r>
  <r>
    <n v="419"/>
    <x v="18"/>
    <s v="winter"/>
    <s v="JANUARY"/>
    <n v="11"/>
    <s v="NO"/>
    <x v="4"/>
    <s v="Mist"/>
    <n v="11.48"/>
    <n v="0.87"/>
    <n v="8.9599999999999999E-2"/>
    <n v="5"/>
    <n v="47"/>
    <n v="52"/>
  </r>
  <r>
    <n v="420"/>
    <x v="18"/>
    <s v="winter"/>
    <s v="JANUARY"/>
    <n v="12"/>
    <s v="NO"/>
    <x v="4"/>
    <s v="Mist"/>
    <n v="12.299999999999999"/>
    <n v="0.81"/>
    <n v="8.9599999999999999E-2"/>
    <n v="5"/>
    <n v="65"/>
    <n v="70"/>
  </r>
  <r>
    <n v="421"/>
    <x v="18"/>
    <s v="winter"/>
    <s v="JANUARY"/>
    <n v="13"/>
    <s v="NO"/>
    <x v="4"/>
    <s v="Clear Sky"/>
    <n v="16.400000000000002"/>
    <n v="0.62"/>
    <n v="0.28360000000000002"/>
    <n v="11"/>
    <n v="67"/>
    <n v="78"/>
  </r>
  <r>
    <n v="422"/>
    <x v="18"/>
    <s v="winter"/>
    <s v="JANUARY"/>
    <n v="14"/>
    <s v="NO"/>
    <x v="4"/>
    <s v="Clear Sky"/>
    <n v="16.400000000000002"/>
    <n v="0.57999999999999996"/>
    <n v="0.25369999999999998"/>
    <n v="7"/>
    <n v="68"/>
    <n v="75"/>
  </r>
  <r>
    <n v="423"/>
    <x v="18"/>
    <s v="winter"/>
    <s v="JANUARY"/>
    <n v="15"/>
    <s v="NO"/>
    <x v="4"/>
    <s v="Clear Sky"/>
    <n v="16.400000000000002"/>
    <n v="0.54"/>
    <n v="0.28360000000000002"/>
    <n v="4"/>
    <n v="78"/>
    <n v="82"/>
  </r>
  <r>
    <n v="424"/>
    <x v="18"/>
    <s v="winter"/>
    <s v="JANUARY"/>
    <n v="16"/>
    <s v="NO"/>
    <x v="4"/>
    <s v="Clear Sky"/>
    <n v="15.58"/>
    <n v="0.57999999999999996"/>
    <n v="0.3881"/>
    <n v="10"/>
    <n v="94"/>
    <n v="104"/>
  </r>
  <r>
    <n v="425"/>
    <x v="18"/>
    <s v="winter"/>
    <s v="JANUARY"/>
    <n v="17"/>
    <s v="NO"/>
    <x v="4"/>
    <s v="Clear Sky"/>
    <n v="14.76"/>
    <n v="0.56999999999999995"/>
    <n v="0.32840000000000003"/>
    <n v="7"/>
    <n v="190"/>
    <n v="197"/>
  </r>
  <r>
    <n v="426"/>
    <x v="18"/>
    <s v="winter"/>
    <s v="JANUARY"/>
    <n v="18"/>
    <s v="NO"/>
    <x v="4"/>
    <s v="Clear Sky"/>
    <n v="13.940000000000001"/>
    <n v="0.61"/>
    <n v="0.28360000000000002"/>
    <n v="5"/>
    <n v="156"/>
    <n v="161"/>
  </r>
  <r>
    <n v="427"/>
    <x v="18"/>
    <s v="winter"/>
    <s v="JANUARY"/>
    <n v="19"/>
    <s v="NO"/>
    <x v="4"/>
    <s v="Clear Sky"/>
    <n v="13.120000000000001"/>
    <n v="0.56999999999999995"/>
    <n v="0.41789999999999999"/>
    <n v="4"/>
    <n v="108"/>
    <n v="112"/>
  </r>
  <r>
    <n v="428"/>
    <x v="18"/>
    <s v="winter"/>
    <s v="JANUARY"/>
    <n v="20"/>
    <s v="NO"/>
    <x v="4"/>
    <s v="Clear Sky"/>
    <n v="13.120000000000001"/>
    <n v="0.49"/>
    <n v="0.29849999999999999"/>
    <n v="2"/>
    <n v="74"/>
    <n v="76"/>
  </r>
  <r>
    <n v="429"/>
    <x v="18"/>
    <s v="winter"/>
    <s v="JANUARY"/>
    <n v="21"/>
    <s v="NO"/>
    <x v="4"/>
    <s v="Clear Sky"/>
    <n v="13.120000000000001"/>
    <n v="0.49"/>
    <n v="0.41789999999999999"/>
    <n v="4"/>
    <n v="55"/>
    <n v="59"/>
  </r>
  <r>
    <n v="430"/>
    <x v="18"/>
    <s v="winter"/>
    <s v="JANUARY"/>
    <n v="22"/>
    <s v="NO"/>
    <x v="4"/>
    <s v="Clear Sky"/>
    <n v="12.299999999999999"/>
    <n v="0.52"/>
    <n v="0.16420000000000001"/>
    <n v="6"/>
    <n v="53"/>
    <n v="59"/>
  </r>
  <r>
    <n v="431"/>
    <x v="18"/>
    <s v="winter"/>
    <s v="JANUARY"/>
    <n v="23"/>
    <s v="NO"/>
    <x v="4"/>
    <s v="Clear Sky"/>
    <n v="12.299999999999999"/>
    <n v="0.52"/>
    <n v="0.4627"/>
    <n v="1"/>
    <n v="27"/>
    <n v="28"/>
  </r>
  <r>
    <n v="432"/>
    <x v="19"/>
    <s v="winter"/>
    <s v="JANUARY"/>
    <n v="0"/>
    <s v="NO"/>
    <x v="5"/>
    <s v="Clear Sky"/>
    <n v="10.66"/>
    <n v="0.56000000000000005"/>
    <n v="0.3881"/>
    <n v="5"/>
    <n v="8"/>
    <n v="13"/>
  </r>
  <r>
    <n v="433"/>
    <x v="19"/>
    <s v="winter"/>
    <s v="JANUARY"/>
    <n v="1"/>
    <s v="NO"/>
    <x v="5"/>
    <s v="Clear Sky"/>
    <n v="10.66"/>
    <n v="0.56000000000000005"/>
    <n v="0"/>
    <n v="2"/>
    <n v="3"/>
    <n v="5"/>
  </r>
  <r>
    <n v="434"/>
    <x v="19"/>
    <s v="winter"/>
    <s v="JANUARY"/>
    <n v="2"/>
    <s v="NO"/>
    <x v="5"/>
    <s v="Clear Sky"/>
    <n v="10.66"/>
    <n v="0.56000000000000005"/>
    <n v="0"/>
    <n v="0"/>
    <n v="2"/>
    <n v="2"/>
  </r>
  <r>
    <n v="435"/>
    <x v="19"/>
    <s v="winter"/>
    <s v="JANUARY"/>
    <n v="3"/>
    <s v="NO"/>
    <x v="5"/>
    <s v="Clear Sky"/>
    <n v="10.66"/>
    <n v="0.56000000000000005"/>
    <n v="0.16420000000000001"/>
    <n v="0"/>
    <n v="1"/>
    <n v="1"/>
  </r>
  <r>
    <n v="436"/>
    <x v="19"/>
    <s v="winter"/>
    <s v="JANUARY"/>
    <n v="4"/>
    <s v="NO"/>
    <x v="5"/>
    <s v="Clear Sky"/>
    <n v="10.66"/>
    <n v="0.56000000000000005"/>
    <n v="0.16420000000000001"/>
    <n v="0"/>
    <n v="1"/>
    <n v="1"/>
  </r>
  <r>
    <n v="437"/>
    <x v="19"/>
    <s v="winter"/>
    <s v="JANUARY"/>
    <n v="5"/>
    <s v="NO"/>
    <x v="5"/>
    <s v="Clear Sky"/>
    <n v="9.84"/>
    <n v="0.6"/>
    <n v="0.22389999999999999"/>
    <n v="0"/>
    <n v="6"/>
    <n v="6"/>
  </r>
  <r>
    <n v="438"/>
    <x v="19"/>
    <s v="winter"/>
    <s v="JANUARY"/>
    <n v="6"/>
    <s v="NO"/>
    <x v="5"/>
    <s v="Clear Sky"/>
    <n v="9.02"/>
    <n v="0.6"/>
    <n v="0.22389999999999999"/>
    <n v="0"/>
    <n v="35"/>
    <n v="35"/>
  </r>
  <r>
    <n v="439"/>
    <x v="19"/>
    <s v="winter"/>
    <s v="JANUARY"/>
    <n v="7"/>
    <s v="NO"/>
    <x v="5"/>
    <s v="Clear Sky"/>
    <n v="9.02"/>
    <n v="0.55000000000000004"/>
    <n v="0.22389999999999999"/>
    <n v="1"/>
    <n v="100"/>
    <n v="101"/>
  </r>
  <r>
    <n v="440"/>
    <x v="19"/>
    <s v="winter"/>
    <s v="JANUARY"/>
    <n v="8"/>
    <s v="NO"/>
    <x v="5"/>
    <s v="Clear Sky"/>
    <n v="9.02"/>
    <n v="0.55000000000000004"/>
    <n v="0.28360000000000002"/>
    <n v="2"/>
    <n v="247"/>
    <n v="249"/>
  </r>
  <r>
    <n v="441"/>
    <x v="19"/>
    <s v="winter"/>
    <s v="JANUARY"/>
    <n v="9"/>
    <s v="NO"/>
    <x v="5"/>
    <s v="Mist"/>
    <n v="9.84"/>
    <n v="0.52"/>
    <n v="0.22389999999999999"/>
    <n v="3"/>
    <n v="140"/>
    <n v="143"/>
  </r>
  <r>
    <n v="442"/>
    <x v="19"/>
    <s v="winter"/>
    <s v="JANUARY"/>
    <n v="10"/>
    <s v="NO"/>
    <x v="5"/>
    <s v="Clear Sky"/>
    <n v="10.66"/>
    <n v="0.48"/>
    <n v="0.29849999999999999"/>
    <n v="1"/>
    <n v="56"/>
    <n v="57"/>
  </r>
  <r>
    <n v="443"/>
    <x v="19"/>
    <s v="winter"/>
    <s v="JANUARY"/>
    <n v="11"/>
    <s v="NO"/>
    <x v="5"/>
    <s v="Mist"/>
    <n v="11.48"/>
    <n v="0.45"/>
    <n v="0.16420000000000001"/>
    <n v="5"/>
    <n v="63"/>
    <n v="68"/>
  </r>
  <r>
    <n v="444"/>
    <x v="19"/>
    <s v="winter"/>
    <s v="JANUARY"/>
    <n v="12"/>
    <s v="NO"/>
    <x v="5"/>
    <s v="Mist"/>
    <n v="12.299999999999999"/>
    <n v="0.42"/>
    <n v="0"/>
    <n v="7"/>
    <n v="77"/>
    <n v="84"/>
  </r>
  <r>
    <n v="445"/>
    <x v="19"/>
    <s v="winter"/>
    <s v="JANUARY"/>
    <n v="13"/>
    <s v="NO"/>
    <x v="5"/>
    <s v="Mist"/>
    <n v="11.48"/>
    <n v="0.45"/>
    <n v="0.1045"/>
    <n v="12"/>
    <n v="86"/>
    <n v="98"/>
  </r>
  <r>
    <n v="446"/>
    <x v="19"/>
    <s v="winter"/>
    <s v="JANUARY"/>
    <n v="14"/>
    <s v="NO"/>
    <x v="5"/>
    <s v="Mist"/>
    <n v="12.299999999999999"/>
    <n v="0.45"/>
    <n v="0.1343"/>
    <n v="6"/>
    <n v="75"/>
    <n v="81"/>
  </r>
  <r>
    <n v="447"/>
    <x v="19"/>
    <s v="winter"/>
    <s v="JANUARY"/>
    <n v="15"/>
    <s v="NO"/>
    <x v="5"/>
    <s v="Mist"/>
    <n v="13.120000000000001"/>
    <n v="0.45"/>
    <n v="0.19400000000000001"/>
    <n v="8"/>
    <n v="62"/>
    <n v="70"/>
  </r>
  <r>
    <n v="448"/>
    <x v="19"/>
    <s v="winter"/>
    <s v="JANUARY"/>
    <n v="16"/>
    <s v="NO"/>
    <x v="5"/>
    <s v="Mist"/>
    <n v="12.299999999999999"/>
    <n v="0.49"/>
    <n v="0.1343"/>
    <n v="8"/>
    <n v="83"/>
    <n v="91"/>
  </r>
  <r>
    <n v="449"/>
    <x v="19"/>
    <s v="winter"/>
    <s v="JANUARY"/>
    <n v="17"/>
    <s v="NO"/>
    <x v="5"/>
    <s v="Mist"/>
    <n v="12.299999999999999"/>
    <n v="0.49"/>
    <n v="0.1045"/>
    <n v="8"/>
    <n v="207"/>
    <n v="215"/>
  </r>
  <r>
    <n v="450"/>
    <x v="19"/>
    <s v="winter"/>
    <s v="JANUARY"/>
    <n v="18"/>
    <s v="NO"/>
    <x v="5"/>
    <s v="Mist"/>
    <n v="10.66"/>
    <n v="0.56000000000000005"/>
    <n v="0.19400000000000001"/>
    <n v="1"/>
    <n v="184"/>
    <n v="185"/>
  </r>
  <r>
    <n v="451"/>
    <x v="19"/>
    <s v="winter"/>
    <s v="JANUARY"/>
    <n v="19"/>
    <s v="NO"/>
    <x v="5"/>
    <s v="Clear Sky"/>
    <n v="10.66"/>
    <n v="0.56000000000000005"/>
    <n v="0.32840000000000003"/>
    <n v="6"/>
    <n v="146"/>
    <n v="152"/>
  </r>
  <r>
    <n v="452"/>
    <x v="19"/>
    <s v="winter"/>
    <s v="JANUARY"/>
    <n v="20"/>
    <s v="NO"/>
    <x v="5"/>
    <s v="Mist"/>
    <n v="10.66"/>
    <n v="0.6"/>
    <n v="0.28360000000000002"/>
    <n v="2"/>
    <n v="124"/>
    <n v="126"/>
  </r>
  <r>
    <n v="453"/>
    <x v="19"/>
    <s v="winter"/>
    <s v="JANUARY"/>
    <n v="21"/>
    <s v="NO"/>
    <x v="5"/>
    <s v="Mist"/>
    <n v="9.84"/>
    <n v="0.6"/>
    <n v="0.25369999999999998"/>
    <n v="3"/>
    <n v="54"/>
    <n v="57"/>
  </r>
  <r>
    <n v="454"/>
    <x v="19"/>
    <s v="winter"/>
    <s v="JANUARY"/>
    <n v="22"/>
    <s v="NO"/>
    <x v="5"/>
    <s v="Mist"/>
    <n v="9.84"/>
    <n v="0.65"/>
    <n v="0.28360000000000002"/>
    <n v="0"/>
    <n v="56"/>
    <n v="56"/>
  </r>
  <r>
    <n v="455"/>
    <x v="19"/>
    <s v="winter"/>
    <s v="JANUARY"/>
    <n v="23"/>
    <s v="NO"/>
    <x v="5"/>
    <s v="Mist"/>
    <n v="9.84"/>
    <n v="0.65"/>
    <n v="0.32840000000000003"/>
    <n v="3"/>
    <n v="28"/>
    <n v="31"/>
  </r>
  <r>
    <n v="456"/>
    <x v="20"/>
    <s v="winter"/>
    <s v="JANUARY"/>
    <n v="0"/>
    <s v="NO"/>
    <x v="6"/>
    <s v="Mist"/>
    <n v="9.84"/>
    <n v="0.7"/>
    <n v="0.25369999999999998"/>
    <n v="1"/>
    <n v="20"/>
    <n v="21"/>
  </r>
  <r>
    <n v="457"/>
    <x v="20"/>
    <s v="winter"/>
    <s v="JANUARY"/>
    <n v="1"/>
    <s v="NO"/>
    <x v="6"/>
    <s v="Mist"/>
    <n v="9.84"/>
    <n v="0.7"/>
    <n v="0.25369999999999998"/>
    <n v="0"/>
    <n v="6"/>
    <n v="6"/>
  </r>
  <r>
    <n v="458"/>
    <x v="20"/>
    <s v="winter"/>
    <s v="JANUARY"/>
    <n v="2"/>
    <s v="NO"/>
    <x v="6"/>
    <s v="Dark Cloud"/>
    <n v="9.84"/>
    <n v="0.75"/>
    <n v="0.16420000000000001"/>
    <n v="0"/>
    <n v="2"/>
    <n v="2"/>
  </r>
  <r>
    <n v="459"/>
    <x v="20"/>
    <s v="winter"/>
    <s v="JANUARY"/>
    <n v="3"/>
    <s v="NO"/>
    <x v="6"/>
    <s v="Dark Cloud"/>
    <n v="9.02"/>
    <n v="0.8"/>
    <n v="0.29849999999999999"/>
    <n v="0"/>
    <n v="1"/>
    <n v="1"/>
  </r>
  <r>
    <n v="460"/>
    <x v="20"/>
    <s v="winter"/>
    <s v="JANUARY"/>
    <n v="4"/>
    <s v="NO"/>
    <x v="6"/>
    <s v="Mist"/>
    <n v="9.02"/>
    <n v="0.87"/>
    <n v="8.9599999999999999E-2"/>
    <n v="0"/>
    <n v="1"/>
    <n v="1"/>
  </r>
  <r>
    <n v="461"/>
    <x v="20"/>
    <s v="winter"/>
    <s v="JANUARY"/>
    <n v="5"/>
    <s v="NO"/>
    <x v="6"/>
    <s v="Clear Sky"/>
    <n v="9.84"/>
    <n v="0.6"/>
    <n v="0.41789999999999999"/>
    <n v="1"/>
    <n v="4"/>
    <n v="5"/>
  </r>
  <r>
    <n v="462"/>
    <x v="20"/>
    <s v="winter"/>
    <s v="JANUARY"/>
    <n v="6"/>
    <s v="NO"/>
    <x v="6"/>
    <s v="Clear Sky"/>
    <n v="9.02"/>
    <n v="0.55000000000000004"/>
    <n v="0.25369999999999998"/>
    <n v="0"/>
    <n v="27"/>
    <n v="27"/>
  </r>
  <r>
    <n v="463"/>
    <x v="20"/>
    <s v="winter"/>
    <s v="JANUARY"/>
    <n v="7"/>
    <s v="NO"/>
    <x v="6"/>
    <s v="Clear Sky"/>
    <n v="8.2000000000000011"/>
    <n v="0.51"/>
    <n v="0.28360000000000002"/>
    <n v="2"/>
    <n v="66"/>
    <n v="68"/>
  </r>
  <r>
    <n v="464"/>
    <x v="20"/>
    <s v="winter"/>
    <s v="JANUARY"/>
    <n v="8"/>
    <s v="NO"/>
    <x v="6"/>
    <s v="Clear Sky"/>
    <n v="8.2000000000000011"/>
    <n v="0.47"/>
    <n v="0.32840000000000003"/>
    <n v="7"/>
    <n v="210"/>
    <n v="217"/>
  </r>
  <r>
    <n v="465"/>
    <x v="20"/>
    <s v="winter"/>
    <s v="JANUARY"/>
    <n v="9"/>
    <s v="NO"/>
    <x v="6"/>
    <s v="Clear Sky"/>
    <n v="8.2000000000000011"/>
    <n v="0.51"/>
    <n v="0.35820000000000002"/>
    <n v="7"/>
    <n v="159"/>
    <n v="166"/>
  </r>
  <r>
    <n v="466"/>
    <x v="20"/>
    <s v="winter"/>
    <s v="JANUARY"/>
    <n v="10"/>
    <s v="NO"/>
    <x v="6"/>
    <s v="Clear Sky"/>
    <n v="8.2000000000000011"/>
    <n v="0.47"/>
    <n v="0.4627"/>
    <n v="6"/>
    <n v="57"/>
    <n v="63"/>
  </r>
  <r>
    <n v="467"/>
    <x v="20"/>
    <s v="winter"/>
    <s v="JANUARY"/>
    <n v="11"/>
    <s v="NO"/>
    <x v="6"/>
    <s v="Clear Sky"/>
    <n v="9.02"/>
    <n v="0.41"/>
    <n v="0.4627"/>
    <n v="6"/>
    <n v="53"/>
    <n v="59"/>
  </r>
  <r>
    <n v="468"/>
    <x v="20"/>
    <s v="winter"/>
    <s v="JANUARY"/>
    <n v="12"/>
    <s v="NO"/>
    <x v="6"/>
    <s v="Clear Sky"/>
    <n v="9.02"/>
    <n v="0.27"/>
    <n v="0.58209999999999995"/>
    <n v="11"/>
    <n v="67"/>
    <n v="78"/>
  </r>
  <r>
    <n v="469"/>
    <x v="20"/>
    <s v="winter"/>
    <s v="JANUARY"/>
    <n v="13"/>
    <s v="NO"/>
    <x v="6"/>
    <s v="Clear Sky"/>
    <n v="8.2000000000000011"/>
    <n v="0.21"/>
    <n v="0.58209999999999995"/>
    <n v="8"/>
    <n v="65"/>
    <n v="73"/>
  </r>
  <r>
    <n v="470"/>
    <x v="20"/>
    <s v="winter"/>
    <s v="JANUARY"/>
    <n v="14"/>
    <s v="NO"/>
    <x v="6"/>
    <s v="Clear Sky"/>
    <n v="8.2000000000000011"/>
    <n v="0.25"/>
    <n v="0.52239999999999998"/>
    <n v="6"/>
    <n v="56"/>
    <n v="62"/>
  </r>
  <r>
    <n v="471"/>
    <x v="20"/>
    <s v="winter"/>
    <s v="JANUARY"/>
    <n v="15"/>
    <s v="NO"/>
    <x v="6"/>
    <s v="Clear Sky"/>
    <n v="6.5600000000000005"/>
    <n v="0.26"/>
    <n v="0.44779999999999998"/>
    <n v="4"/>
    <n v="61"/>
    <n v="65"/>
  </r>
  <r>
    <n v="472"/>
    <x v="20"/>
    <s v="winter"/>
    <s v="JANUARY"/>
    <n v="16"/>
    <s v="NO"/>
    <x v="6"/>
    <s v="Clear Sky"/>
    <n v="6.5600000000000005"/>
    <n v="0.26"/>
    <n v="0.35820000000000002"/>
    <n v="0"/>
    <n v="97"/>
    <n v="97"/>
  </r>
  <r>
    <n v="473"/>
    <x v="20"/>
    <s v="winter"/>
    <s v="JANUARY"/>
    <n v="17"/>
    <s v="NO"/>
    <x v="6"/>
    <s v="Clear Sky"/>
    <n v="5.74"/>
    <n v="0.28000000000000003"/>
    <n v="0.35820000000000002"/>
    <n v="10"/>
    <n v="151"/>
    <n v="161"/>
  </r>
  <r>
    <n v="474"/>
    <x v="20"/>
    <s v="winter"/>
    <s v="JANUARY"/>
    <n v="18"/>
    <s v="NO"/>
    <x v="6"/>
    <s v="Clear Sky"/>
    <n v="4.92"/>
    <n v="0.3"/>
    <n v="0.25369999999999998"/>
    <n v="1"/>
    <n v="119"/>
    <n v="120"/>
  </r>
  <r>
    <n v="475"/>
    <x v="20"/>
    <s v="winter"/>
    <s v="JANUARY"/>
    <n v="19"/>
    <s v="NO"/>
    <x v="6"/>
    <s v="Clear Sky"/>
    <n v="4.92"/>
    <n v="0.3"/>
    <n v="0.32840000000000003"/>
    <n v="3"/>
    <n v="93"/>
    <n v="96"/>
  </r>
  <r>
    <n v="476"/>
    <x v="20"/>
    <s v="winter"/>
    <s v="JANUARY"/>
    <n v="20"/>
    <s v="NO"/>
    <x v="6"/>
    <s v="Clear Sky"/>
    <n v="4.1000000000000005"/>
    <n v="0.33"/>
    <n v="0.41789999999999999"/>
    <n v="1"/>
    <n v="52"/>
    <n v="53"/>
  </r>
  <r>
    <n v="477"/>
    <x v="20"/>
    <s v="winter"/>
    <s v="JANUARY"/>
    <n v="21"/>
    <s v="NO"/>
    <x v="6"/>
    <s v="Clear Sky"/>
    <n v="3.2800000000000002"/>
    <n v="0.38"/>
    <n v="0.28360000000000002"/>
    <n v="0"/>
    <n v="41"/>
    <n v="41"/>
  </r>
  <r>
    <n v="478"/>
    <x v="20"/>
    <s v="winter"/>
    <s v="JANUARY"/>
    <n v="22"/>
    <s v="NO"/>
    <x v="6"/>
    <s v="Clear Sky"/>
    <n v="2.46"/>
    <n v="0.41"/>
    <n v="0.3881"/>
    <n v="1"/>
    <n v="33"/>
    <n v="34"/>
  </r>
  <r>
    <n v="479"/>
    <x v="20"/>
    <s v="winter"/>
    <s v="JANUARY"/>
    <n v="23"/>
    <s v="NO"/>
    <x v="6"/>
    <s v="Clear Sky"/>
    <n v="2.46"/>
    <n v="0.38"/>
    <n v="0.32840000000000003"/>
    <n v="0"/>
    <n v="27"/>
    <n v="27"/>
  </r>
  <r>
    <n v="480"/>
    <x v="21"/>
    <s v="winter"/>
    <s v="JANUARY"/>
    <n v="0"/>
    <s v="NO"/>
    <x v="0"/>
    <s v="Clear Sky"/>
    <n v="1.6400000000000001"/>
    <n v="0.45"/>
    <n v="0.25369999999999998"/>
    <n v="0"/>
    <n v="13"/>
    <n v="13"/>
  </r>
  <r>
    <n v="481"/>
    <x v="21"/>
    <s v="winter"/>
    <s v="JANUARY"/>
    <n v="1"/>
    <s v="NO"/>
    <x v="0"/>
    <s v="Mist"/>
    <n v="1.6400000000000001"/>
    <n v="0.41"/>
    <n v="0.3881"/>
    <n v="3"/>
    <n v="9"/>
    <n v="12"/>
  </r>
  <r>
    <n v="482"/>
    <x v="21"/>
    <s v="winter"/>
    <s v="JANUARY"/>
    <n v="2"/>
    <s v="NO"/>
    <x v="0"/>
    <s v="Mist"/>
    <n v="1.6400000000000001"/>
    <n v="0.41"/>
    <n v="0.25369999999999998"/>
    <n v="0"/>
    <n v="11"/>
    <n v="11"/>
  </r>
  <r>
    <n v="483"/>
    <x v="21"/>
    <s v="winter"/>
    <s v="JANUARY"/>
    <n v="3"/>
    <s v="NO"/>
    <x v="0"/>
    <s v="Mist"/>
    <n v="1.6400000000000001"/>
    <n v="0.41"/>
    <n v="0.28360000000000002"/>
    <n v="1"/>
    <n v="6"/>
    <n v="7"/>
  </r>
  <r>
    <n v="484"/>
    <x v="21"/>
    <s v="winter"/>
    <s v="JANUARY"/>
    <n v="4"/>
    <s v="NO"/>
    <x v="0"/>
    <s v="Mist"/>
    <n v="0.82000000000000006"/>
    <n v="0.48"/>
    <n v="0.29849999999999999"/>
    <n v="0"/>
    <n v="3"/>
    <n v="3"/>
  </r>
  <r>
    <n v="485"/>
    <x v="21"/>
    <s v="winter"/>
    <s v="JANUARY"/>
    <n v="6"/>
    <s v="NO"/>
    <x v="0"/>
    <s v="Mist"/>
    <n v="0.82000000000000006"/>
    <n v="0.44"/>
    <n v="0.22389999999999999"/>
    <n v="0"/>
    <n v="2"/>
    <n v="2"/>
  </r>
  <r>
    <n v="486"/>
    <x v="21"/>
    <s v="winter"/>
    <s v="JANUARY"/>
    <n v="7"/>
    <s v="NO"/>
    <x v="0"/>
    <s v="Clear Sky"/>
    <n v="0.82000000000000006"/>
    <n v="0.44"/>
    <n v="0.28360000000000002"/>
    <n v="0"/>
    <n v="8"/>
    <n v="8"/>
  </r>
  <r>
    <n v="487"/>
    <x v="21"/>
    <s v="winter"/>
    <s v="JANUARY"/>
    <n v="8"/>
    <s v="NO"/>
    <x v="0"/>
    <s v="Clear Sky"/>
    <n v="0.82000000000000006"/>
    <n v="0.44"/>
    <n v="0.32840000000000003"/>
    <n v="1"/>
    <n v="26"/>
    <n v="27"/>
  </r>
  <r>
    <n v="488"/>
    <x v="21"/>
    <s v="winter"/>
    <s v="JANUARY"/>
    <n v="9"/>
    <s v="NO"/>
    <x v="0"/>
    <s v="Clear Sky"/>
    <n v="1.6400000000000001"/>
    <n v="0.41"/>
    <n v="0.25369999999999998"/>
    <n v="3"/>
    <n v="37"/>
    <n v="40"/>
  </r>
  <r>
    <n v="489"/>
    <x v="21"/>
    <s v="winter"/>
    <s v="JANUARY"/>
    <n v="10"/>
    <s v="NO"/>
    <x v="0"/>
    <s v="Mist"/>
    <n v="1.6400000000000001"/>
    <n v="0.41"/>
    <n v="0.16420000000000001"/>
    <n v="3"/>
    <n v="50"/>
    <n v="53"/>
  </r>
  <r>
    <n v="490"/>
    <x v="21"/>
    <s v="winter"/>
    <s v="JANUARY"/>
    <n v="11"/>
    <s v="NO"/>
    <x v="0"/>
    <s v="Mist"/>
    <n v="2.46"/>
    <n v="0.38"/>
    <n v="0.1343"/>
    <n v="4"/>
    <n v="59"/>
    <n v="63"/>
  </r>
  <r>
    <n v="491"/>
    <x v="21"/>
    <s v="winter"/>
    <s v="JANUARY"/>
    <n v="12"/>
    <s v="NO"/>
    <x v="0"/>
    <s v="Mist"/>
    <n v="2.46"/>
    <n v="0.38"/>
    <n v="0.1045"/>
    <n v="10"/>
    <n v="60"/>
    <n v="70"/>
  </r>
  <r>
    <n v="492"/>
    <x v="21"/>
    <s v="winter"/>
    <s v="JANUARY"/>
    <n v="13"/>
    <s v="NO"/>
    <x v="0"/>
    <s v="Clear Sky"/>
    <n v="3.2800000000000002"/>
    <n v="0.35"/>
    <n v="0"/>
    <n v="12"/>
    <n v="72"/>
    <n v="84"/>
  </r>
  <r>
    <n v="493"/>
    <x v="21"/>
    <s v="winter"/>
    <s v="JANUARY"/>
    <n v="14"/>
    <s v="NO"/>
    <x v="0"/>
    <s v="Clear Sky"/>
    <n v="4.1000000000000005"/>
    <n v="0.33"/>
    <n v="0.1045"/>
    <n v="11"/>
    <n v="64"/>
    <n v="75"/>
  </r>
  <r>
    <n v="494"/>
    <x v="21"/>
    <s v="winter"/>
    <s v="JANUARY"/>
    <n v="15"/>
    <s v="NO"/>
    <x v="0"/>
    <s v="Clear Sky"/>
    <n v="4.92"/>
    <n v="0.28000000000000003"/>
    <n v="0"/>
    <n v="10"/>
    <n v="93"/>
    <n v="103"/>
  </r>
  <r>
    <n v="495"/>
    <x v="21"/>
    <s v="winter"/>
    <s v="JANUARY"/>
    <n v="16"/>
    <s v="NO"/>
    <x v="0"/>
    <s v="Clear Sky"/>
    <n v="4.92"/>
    <n v="0.28000000000000003"/>
    <n v="0.19400000000000001"/>
    <n v="11"/>
    <n v="72"/>
    <n v="83"/>
  </r>
  <r>
    <n v="496"/>
    <x v="21"/>
    <s v="winter"/>
    <s v="JANUARY"/>
    <n v="17"/>
    <s v="NO"/>
    <x v="0"/>
    <s v="Clear Sky"/>
    <n v="4.92"/>
    <n v="0.28000000000000003"/>
    <n v="0"/>
    <n v="8"/>
    <n v="59"/>
    <n v="67"/>
  </r>
  <r>
    <n v="497"/>
    <x v="21"/>
    <s v="winter"/>
    <s v="JANUARY"/>
    <n v="18"/>
    <s v="NO"/>
    <x v="0"/>
    <s v="Clear Sky"/>
    <n v="3.2800000000000002"/>
    <n v="0.35"/>
    <n v="0.19400000000000001"/>
    <n v="0"/>
    <n v="54"/>
    <n v="54"/>
  </r>
  <r>
    <n v="498"/>
    <x v="21"/>
    <s v="winter"/>
    <s v="JANUARY"/>
    <n v="19"/>
    <s v="NO"/>
    <x v="0"/>
    <s v="Clear Sky"/>
    <n v="3.2800000000000002"/>
    <n v="0.35"/>
    <n v="0.1343"/>
    <n v="6"/>
    <n v="53"/>
    <n v="59"/>
  </r>
  <r>
    <n v="499"/>
    <x v="21"/>
    <s v="winter"/>
    <s v="JANUARY"/>
    <n v="20"/>
    <s v="NO"/>
    <x v="0"/>
    <s v="Clear Sky"/>
    <n v="2.46"/>
    <n v="0.45"/>
    <n v="0.16420000000000001"/>
    <n v="1"/>
    <n v="44"/>
    <n v="45"/>
  </r>
  <r>
    <n v="500"/>
    <x v="21"/>
    <s v="winter"/>
    <s v="JANUARY"/>
    <n v="21"/>
    <s v="NO"/>
    <x v="0"/>
    <s v="Clear Sky"/>
    <n v="2.46"/>
    <n v="0.41"/>
    <n v="8.9599999999999999E-2"/>
    <n v="0"/>
    <n v="39"/>
    <n v="39"/>
  </r>
  <r>
    <n v="501"/>
    <x v="21"/>
    <s v="winter"/>
    <s v="JANUARY"/>
    <n v="22"/>
    <s v="NO"/>
    <x v="0"/>
    <s v="Clear Sky"/>
    <n v="2.46"/>
    <n v="0.49"/>
    <n v="0"/>
    <n v="7"/>
    <n v="23"/>
    <n v="30"/>
  </r>
  <r>
    <n v="502"/>
    <x v="21"/>
    <s v="winter"/>
    <s v="JANUARY"/>
    <n v="23"/>
    <s v="NO"/>
    <x v="0"/>
    <s v="Clear Sky"/>
    <n v="1.6400000000000001"/>
    <n v="0.56999999999999995"/>
    <n v="0.1045"/>
    <n v="2"/>
    <n v="31"/>
    <n v="33"/>
  </r>
  <r>
    <n v="503"/>
    <x v="22"/>
    <s v="winter"/>
    <s v="JANUARY"/>
    <n v="0"/>
    <s v="NO"/>
    <x v="1"/>
    <s v="Clear Sky"/>
    <n v="1.6400000000000001"/>
    <n v="0.56999999999999995"/>
    <n v="0.1045"/>
    <n v="2"/>
    <n v="20"/>
    <n v="22"/>
  </r>
  <r>
    <n v="504"/>
    <x v="22"/>
    <s v="winter"/>
    <s v="JANUARY"/>
    <n v="1"/>
    <s v="NO"/>
    <x v="1"/>
    <s v="Clear Sky"/>
    <n v="1.6400000000000001"/>
    <n v="0.56999999999999995"/>
    <n v="0.1045"/>
    <n v="1"/>
    <n v="12"/>
    <n v="13"/>
  </r>
  <r>
    <n v="505"/>
    <x v="22"/>
    <s v="winter"/>
    <s v="JANUARY"/>
    <n v="2"/>
    <s v="NO"/>
    <x v="1"/>
    <s v="Clear Sky"/>
    <n v="0.82000000000000006"/>
    <n v="0.62"/>
    <n v="0.1343"/>
    <n v="3"/>
    <n v="15"/>
    <n v="18"/>
  </r>
  <r>
    <n v="506"/>
    <x v="22"/>
    <s v="winter"/>
    <s v="JANUARY"/>
    <n v="3"/>
    <s v="NO"/>
    <x v="1"/>
    <s v="Clear Sky"/>
    <n v="0.82000000000000006"/>
    <n v="0.62"/>
    <n v="0.1343"/>
    <n v="1"/>
    <n v="4"/>
    <n v="5"/>
  </r>
  <r>
    <n v="507"/>
    <x v="22"/>
    <s v="winter"/>
    <s v="JANUARY"/>
    <n v="5"/>
    <s v="NO"/>
    <x v="1"/>
    <s v="Mist"/>
    <n v="1.6400000000000001"/>
    <n v="0.56999999999999995"/>
    <n v="0.1045"/>
    <n v="0"/>
    <n v="3"/>
    <n v="3"/>
  </r>
  <r>
    <n v="508"/>
    <x v="22"/>
    <s v="winter"/>
    <s v="JANUARY"/>
    <n v="6"/>
    <s v="NO"/>
    <x v="1"/>
    <s v="Mist"/>
    <n v="1.6400000000000001"/>
    <n v="0.56999999999999995"/>
    <n v="0.1045"/>
    <n v="0"/>
    <n v="1"/>
    <n v="1"/>
  </r>
  <r>
    <n v="509"/>
    <x v="22"/>
    <s v="winter"/>
    <s v="JANUARY"/>
    <n v="7"/>
    <s v="NO"/>
    <x v="1"/>
    <s v="Clear Sky"/>
    <n v="3.2800000000000002"/>
    <n v="0.57999999999999996"/>
    <n v="0.16420000000000001"/>
    <n v="1"/>
    <n v="1"/>
    <n v="2"/>
  </r>
  <r>
    <n v="510"/>
    <x v="22"/>
    <s v="winter"/>
    <s v="JANUARY"/>
    <n v="8"/>
    <s v="NO"/>
    <x v="1"/>
    <s v="Clear Sky"/>
    <n v="2.46"/>
    <n v="0.62"/>
    <n v="0.16420000000000001"/>
    <n v="2"/>
    <n v="17"/>
    <n v="19"/>
  </r>
  <r>
    <n v="511"/>
    <x v="22"/>
    <s v="winter"/>
    <s v="JANUARY"/>
    <n v="9"/>
    <s v="NO"/>
    <x v="1"/>
    <s v="Clear Sky"/>
    <n v="4.1000000000000005"/>
    <n v="0.54"/>
    <n v="0.35820000000000002"/>
    <n v="3"/>
    <n v="25"/>
    <n v="28"/>
  </r>
  <r>
    <n v="512"/>
    <x v="22"/>
    <s v="winter"/>
    <s v="JANUARY"/>
    <n v="10"/>
    <s v="NO"/>
    <x v="1"/>
    <s v="Clear Sky"/>
    <n v="5.74"/>
    <n v="0.46"/>
    <n v="0.3881"/>
    <n v="7"/>
    <n v="51"/>
    <n v="58"/>
  </r>
  <r>
    <n v="513"/>
    <x v="22"/>
    <s v="winter"/>
    <s v="JANUARY"/>
    <n v="11"/>
    <s v="NO"/>
    <x v="1"/>
    <s v="Clear Sky"/>
    <n v="5.74"/>
    <n v="0.43"/>
    <n v="0.22389999999999999"/>
    <n v="22"/>
    <n v="77"/>
    <n v="99"/>
  </r>
  <r>
    <n v="514"/>
    <x v="22"/>
    <s v="winter"/>
    <s v="JANUARY"/>
    <n v="12"/>
    <s v="NO"/>
    <x v="1"/>
    <s v="Clear Sky"/>
    <n v="6.5600000000000005"/>
    <n v="0.37"/>
    <n v="0.4627"/>
    <n v="24"/>
    <n v="92"/>
    <n v="116"/>
  </r>
  <r>
    <n v="515"/>
    <x v="22"/>
    <s v="winter"/>
    <s v="JANUARY"/>
    <n v="13"/>
    <s v="NO"/>
    <x v="1"/>
    <s v="Clear Sky"/>
    <n v="5.74"/>
    <n v="0.33"/>
    <n v="0.3881"/>
    <n v="12"/>
    <n v="75"/>
    <n v="87"/>
  </r>
  <r>
    <n v="516"/>
    <x v="22"/>
    <s v="winter"/>
    <s v="JANUARY"/>
    <n v="14"/>
    <s v="NO"/>
    <x v="1"/>
    <s v="Clear Sky"/>
    <n v="6.5600000000000005"/>
    <n v="0.28000000000000003"/>
    <n v="0.35820000000000002"/>
    <n v="17"/>
    <n v="93"/>
    <n v="110"/>
  </r>
  <r>
    <n v="517"/>
    <x v="22"/>
    <s v="winter"/>
    <s v="JANUARY"/>
    <n v="15"/>
    <s v="NO"/>
    <x v="1"/>
    <s v="Clear Sky"/>
    <n v="6.5600000000000005"/>
    <n v="0.28000000000000003"/>
    <n v="0.35820000000000002"/>
    <n v="13"/>
    <n v="64"/>
    <n v="77"/>
  </r>
  <r>
    <n v="518"/>
    <x v="22"/>
    <s v="winter"/>
    <s v="JANUARY"/>
    <n v="16"/>
    <s v="NO"/>
    <x v="1"/>
    <s v="Clear Sky"/>
    <n v="6.5600000000000005"/>
    <n v="0.26"/>
    <n v="0.32840000000000003"/>
    <n v="9"/>
    <n v="56"/>
    <n v="65"/>
  </r>
  <r>
    <n v="519"/>
    <x v="22"/>
    <s v="winter"/>
    <s v="JANUARY"/>
    <n v="17"/>
    <s v="NO"/>
    <x v="1"/>
    <s v="Clear Sky"/>
    <n v="5.74"/>
    <n v="0.26"/>
    <n v="0.3881"/>
    <n v="5"/>
    <n v="50"/>
    <n v="55"/>
  </r>
  <r>
    <n v="520"/>
    <x v="22"/>
    <s v="winter"/>
    <s v="JANUARY"/>
    <n v="18"/>
    <s v="NO"/>
    <x v="1"/>
    <s v="Clear Sky"/>
    <n v="4.92"/>
    <n v="0.3"/>
    <n v="0.25369999999999998"/>
    <n v="5"/>
    <n v="44"/>
    <n v="49"/>
  </r>
  <r>
    <n v="521"/>
    <x v="22"/>
    <s v="winter"/>
    <s v="JANUARY"/>
    <n v="19"/>
    <s v="NO"/>
    <x v="1"/>
    <s v="Clear Sky"/>
    <n v="4.92"/>
    <n v="0.3"/>
    <n v="0.28360000000000002"/>
    <n v="5"/>
    <n v="45"/>
    <n v="50"/>
  </r>
  <r>
    <n v="522"/>
    <x v="22"/>
    <s v="winter"/>
    <s v="JANUARY"/>
    <n v="20"/>
    <s v="NO"/>
    <x v="1"/>
    <s v="Clear Sky"/>
    <n v="4.1000000000000005"/>
    <n v="0.36"/>
    <n v="0.25369999999999998"/>
    <n v="4"/>
    <n v="31"/>
    <n v="35"/>
  </r>
  <r>
    <n v="523"/>
    <x v="22"/>
    <s v="winter"/>
    <s v="JANUARY"/>
    <n v="21"/>
    <s v="NO"/>
    <x v="1"/>
    <s v="Clear Sky"/>
    <n v="4.1000000000000005"/>
    <n v="0.36"/>
    <n v="0.19400000000000001"/>
    <n v="5"/>
    <n v="20"/>
    <n v="25"/>
  </r>
  <r>
    <n v="524"/>
    <x v="22"/>
    <s v="winter"/>
    <s v="JANUARY"/>
    <n v="22"/>
    <s v="NO"/>
    <x v="1"/>
    <s v="Clear Sky"/>
    <n v="3.2800000000000002"/>
    <n v="0.38"/>
    <n v="0.19400000000000001"/>
    <n v="5"/>
    <n v="23"/>
    <n v="28"/>
  </r>
  <r>
    <n v="525"/>
    <x v="22"/>
    <s v="winter"/>
    <s v="JANUARY"/>
    <n v="23"/>
    <s v="NO"/>
    <x v="1"/>
    <s v="Clear Sky"/>
    <n v="2.46"/>
    <n v="0.41"/>
    <n v="0.22389999999999999"/>
    <n v="4"/>
    <n v="17"/>
    <n v="21"/>
  </r>
  <r>
    <n v="526"/>
    <x v="23"/>
    <s v="winter"/>
    <s v="JANUARY"/>
    <n v="0"/>
    <s v="NO"/>
    <x v="2"/>
    <s v="Clear Sky"/>
    <n v="2.46"/>
    <n v="0.41"/>
    <n v="0.19400000000000001"/>
    <n v="0"/>
    <n v="7"/>
    <n v="7"/>
  </r>
  <r>
    <n v="527"/>
    <x v="23"/>
    <s v="winter"/>
    <s v="JANUARY"/>
    <n v="1"/>
    <s v="NO"/>
    <x v="2"/>
    <s v="Clear Sky"/>
    <n v="1.6400000000000001"/>
    <n v="0.45"/>
    <n v="0.19400000000000001"/>
    <n v="0"/>
    <n v="1"/>
    <n v="1"/>
  </r>
  <r>
    <n v="528"/>
    <x v="23"/>
    <s v="winter"/>
    <s v="JANUARY"/>
    <n v="3"/>
    <s v="NO"/>
    <x v="2"/>
    <s v="Clear Sky"/>
    <n v="1.6400000000000001"/>
    <n v="0.45"/>
    <n v="0.25369999999999998"/>
    <n v="0"/>
    <n v="1"/>
    <n v="1"/>
  </r>
  <r>
    <n v="529"/>
    <x v="23"/>
    <s v="winter"/>
    <s v="JANUARY"/>
    <n v="4"/>
    <s v="NO"/>
    <x v="2"/>
    <s v="Clear Sky"/>
    <n v="0.82000000000000006"/>
    <n v="0.48"/>
    <n v="0.1343"/>
    <n v="0"/>
    <n v="1"/>
    <n v="1"/>
  </r>
  <r>
    <n v="530"/>
    <x v="23"/>
    <s v="winter"/>
    <s v="JANUARY"/>
    <n v="5"/>
    <s v="NO"/>
    <x v="2"/>
    <s v="Clear Sky"/>
    <n v="0.82000000000000006"/>
    <n v="0.48"/>
    <n v="0.1343"/>
    <n v="0"/>
    <n v="5"/>
    <n v="5"/>
  </r>
  <r>
    <n v="531"/>
    <x v="23"/>
    <s v="winter"/>
    <s v="JANUARY"/>
    <n v="6"/>
    <s v="NO"/>
    <x v="2"/>
    <s v="Clear Sky"/>
    <n v="0.82000000000000006"/>
    <n v="0.48"/>
    <n v="8.9599999999999999E-2"/>
    <n v="0"/>
    <n v="15"/>
    <n v="15"/>
  </r>
  <r>
    <n v="532"/>
    <x v="23"/>
    <s v="winter"/>
    <s v="JANUARY"/>
    <n v="7"/>
    <s v="NO"/>
    <x v="2"/>
    <s v="Clear Sky"/>
    <n v="0.82000000000000006"/>
    <n v="0.48"/>
    <n v="0"/>
    <n v="5"/>
    <n v="79"/>
    <n v="84"/>
  </r>
  <r>
    <n v="533"/>
    <x v="23"/>
    <s v="winter"/>
    <s v="JANUARY"/>
    <n v="8"/>
    <s v="NO"/>
    <x v="2"/>
    <s v="Clear Sky"/>
    <n v="1.6400000000000001"/>
    <n v="0.49"/>
    <n v="0"/>
    <n v="6"/>
    <n v="171"/>
    <n v="177"/>
  </r>
  <r>
    <n v="534"/>
    <x v="23"/>
    <s v="winter"/>
    <s v="JANUARY"/>
    <n v="9"/>
    <s v="NO"/>
    <x v="2"/>
    <s v="Clear Sky"/>
    <n v="2.46"/>
    <n v="0.41"/>
    <n v="0"/>
    <n v="4"/>
    <n v="98"/>
    <n v="102"/>
  </r>
  <r>
    <n v="535"/>
    <x v="23"/>
    <s v="winter"/>
    <s v="JANUARY"/>
    <n v="10"/>
    <s v="NO"/>
    <x v="2"/>
    <s v="Clear Sky"/>
    <n v="4.1000000000000005"/>
    <n v="0.42"/>
    <n v="0"/>
    <n v="6"/>
    <n v="34"/>
    <n v="40"/>
  </r>
  <r>
    <n v="536"/>
    <x v="23"/>
    <s v="winter"/>
    <s v="JANUARY"/>
    <n v="11"/>
    <s v="NO"/>
    <x v="2"/>
    <s v="Clear Sky"/>
    <n v="4.1000000000000005"/>
    <n v="0.46"/>
    <n v="0.1343"/>
    <n v="3"/>
    <n v="43"/>
    <n v="46"/>
  </r>
  <r>
    <n v="537"/>
    <x v="23"/>
    <s v="winter"/>
    <s v="JANUARY"/>
    <n v="12"/>
    <s v="NO"/>
    <x v="2"/>
    <s v="Mist"/>
    <n v="4.92"/>
    <n v="0.42"/>
    <n v="0.19400000000000001"/>
    <n v="11"/>
    <n v="52"/>
    <n v="63"/>
  </r>
  <r>
    <n v="538"/>
    <x v="23"/>
    <s v="winter"/>
    <s v="JANUARY"/>
    <n v="13"/>
    <s v="NO"/>
    <x v="2"/>
    <s v="Mist"/>
    <n v="5.74"/>
    <n v="0.43"/>
    <n v="0.22389999999999999"/>
    <n v="6"/>
    <n v="54"/>
    <n v="60"/>
  </r>
  <r>
    <n v="539"/>
    <x v="23"/>
    <s v="winter"/>
    <s v="JANUARY"/>
    <n v="14"/>
    <s v="NO"/>
    <x v="2"/>
    <s v="Mist"/>
    <n v="5.74"/>
    <n v="0.46"/>
    <n v="0.22389999999999999"/>
    <n v="2"/>
    <n v="43"/>
    <n v="45"/>
  </r>
  <r>
    <n v="540"/>
    <x v="23"/>
    <s v="winter"/>
    <s v="JANUARY"/>
    <n v="15"/>
    <s v="NO"/>
    <x v="2"/>
    <s v="Clear Sky"/>
    <n v="6.5600000000000005"/>
    <n v="0.4"/>
    <n v="0.16420000000000001"/>
    <n v="7"/>
    <n v="50"/>
    <n v="57"/>
  </r>
  <r>
    <n v="541"/>
    <x v="23"/>
    <s v="winter"/>
    <s v="JANUARY"/>
    <n v="16"/>
    <s v="NO"/>
    <x v="2"/>
    <s v="Clear Sky"/>
    <n v="6.5600000000000005"/>
    <n v="0.47"/>
    <n v="0.25369999999999998"/>
    <n v="4"/>
    <n v="66"/>
    <n v="70"/>
  </r>
  <r>
    <n v="542"/>
    <x v="23"/>
    <s v="winter"/>
    <s v="JANUARY"/>
    <n v="17"/>
    <s v="NO"/>
    <x v="2"/>
    <s v="Clear Sky"/>
    <n v="5.74"/>
    <n v="0.5"/>
    <n v="0.25369999999999998"/>
    <n v="6"/>
    <n v="178"/>
    <n v="184"/>
  </r>
  <r>
    <n v="543"/>
    <x v="23"/>
    <s v="winter"/>
    <s v="JANUARY"/>
    <n v="18"/>
    <s v="NO"/>
    <x v="2"/>
    <s v="Clear Sky"/>
    <n v="5.74"/>
    <n v="0.59"/>
    <n v="0.19400000000000001"/>
    <n v="8"/>
    <n v="145"/>
    <n v="153"/>
  </r>
  <r>
    <n v="544"/>
    <x v="23"/>
    <s v="winter"/>
    <s v="JANUARY"/>
    <n v="19"/>
    <s v="NO"/>
    <x v="2"/>
    <s v="Clear Sky"/>
    <n v="5.74"/>
    <n v="0.54"/>
    <n v="0.16420000000000001"/>
    <n v="5"/>
    <n v="101"/>
    <n v="106"/>
  </r>
  <r>
    <n v="545"/>
    <x v="23"/>
    <s v="winter"/>
    <s v="JANUARY"/>
    <n v="20"/>
    <s v="NO"/>
    <x v="2"/>
    <s v="Clear Sky"/>
    <n v="5.74"/>
    <n v="0.59"/>
    <n v="0.19400000000000001"/>
    <n v="1"/>
    <n v="80"/>
    <n v="81"/>
  </r>
  <r>
    <n v="546"/>
    <x v="23"/>
    <s v="winter"/>
    <s v="JANUARY"/>
    <n v="21"/>
    <s v="NO"/>
    <x v="2"/>
    <s v="Clear Sky"/>
    <n v="5.74"/>
    <n v="0.63"/>
    <n v="0.16420000000000001"/>
    <n v="6"/>
    <n v="53"/>
    <n v="59"/>
  </r>
  <r>
    <n v="547"/>
    <x v="23"/>
    <s v="winter"/>
    <s v="JANUARY"/>
    <n v="22"/>
    <s v="NO"/>
    <x v="2"/>
    <s v="Mist"/>
    <n v="5.74"/>
    <n v="0.63"/>
    <n v="0.22389999999999999"/>
    <n v="3"/>
    <n v="32"/>
    <n v="35"/>
  </r>
  <r>
    <n v="548"/>
    <x v="23"/>
    <s v="winter"/>
    <s v="JANUARY"/>
    <n v="23"/>
    <s v="NO"/>
    <x v="2"/>
    <s v="Mist"/>
    <n v="6.5600000000000005"/>
    <n v="0.64"/>
    <n v="0.25369999999999998"/>
    <n v="3"/>
    <n v="21"/>
    <n v="24"/>
  </r>
  <r>
    <n v="549"/>
    <x v="24"/>
    <s v="winter"/>
    <s v="JANUARY"/>
    <n v="0"/>
    <s v="NO"/>
    <x v="3"/>
    <s v="Mist"/>
    <n v="6.5600000000000005"/>
    <n v="0.69"/>
    <n v="0.28360000000000002"/>
    <n v="3"/>
    <n v="6"/>
    <n v="9"/>
  </r>
  <r>
    <n v="550"/>
    <x v="24"/>
    <s v="winter"/>
    <s v="JANUARY"/>
    <n v="1"/>
    <s v="NO"/>
    <x v="3"/>
    <s v="Mist"/>
    <n v="6.5600000000000005"/>
    <n v="0.69"/>
    <n v="0.16420000000000001"/>
    <n v="0"/>
    <n v="5"/>
    <n v="5"/>
  </r>
  <r>
    <n v="551"/>
    <x v="24"/>
    <s v="winter"/>
    <s v="JANUARY"/>
    <n v="2"/>
    <s v="NO"/>
    <x v="3"/>
    <s v="Clear Sky"/>
    <n v="6.5600000000000005"/>
    <n v="0.69"/>
    <n v="0.22389999999999999"/>
    <n v="0"/>
    <n v="2"/>
    <n v="2"/>
  </r>
  <r>
    <n v="552"/>
    <x v="24"/>
    <s v="winter"/>
    <s v="JANUARY"/>
    <n v="4"/>
    <s v="NO"/>
    <x v="3"/>
    <s v="Clear Sky"/>
    <n v="5.74"/>
    <n v="0.74"/>
    <n v="0.1045"/>
    <n v="0"/>
    <n v="1"/>
    <n v="1"/>
  </r>
  <r>
    <n v="553"/>
    <x v="24"/>
    <s v="winter"/>
    <s v="JANUARY"/>
    <n v="5"/>
    <s v="NO"/>
    <x v="3"/>
    <s v="Clear Sky"/>
    <n v="5.74"/>
    <n v="0.74"/>
    <n v="0.22389999999999999"/>
    <n v="0"/>
    <n v="9"/>
    <n v="9"/>
  </r>
  <r>
    <n v="554"/>
    <x v="24"/>
    <s v="winter"/>
    <s v="JANUARY"/>
    <n v="6"/>
    <s v="NO"/>
    <x v="3"/>
    <s v="Clear Sky"/>
    <n v="6.5600000000000005"/>
    <n v="0.74"/>
    <n v="0.1045"/>
    <n v="1"/>
    <n v="35"/>
    <n v="36"/>
  </r>
  <r>
    <n v="555"/>
    <x v="24"/>
    <s v="winter"/>
    <s v="JANUARY"/>
    <n v="7"/>
    <s v="NO"/>
    <x v="3"/>
    <s v="Clear Sky"/>
    <n v="6.5600000000000005"/>
    <n v="0.74"/>
    <n v="0.22389999999999999"/>
    <n v="5"/>
    <n v="103"/>
    <n v="108"/>
  </r>
  <r>
    <n v="556"/>
    <x v="24"/>
    <s v="winter"/>
    <s v="JANUARY"/>
    <n v="8"/>
    <s v="NO"/>
    <x v="3"/>
    <s v="Mist"/>
    <n v="6.5600000000000005"/>
    <n v="0.74"/>
    <n v="0.1343"/>
    <n v="5"/>
    <n v="233"/>
    <n v="238"/>
  </r>
  <r>
    <n v="557"/>
    <x v="24"/>
    <s v="winter"/>
    <s v="JANUARY"/>
    <n v="9"/>
    <s v="NO"/>
    <x v="3"/>
    <s v="Mist"/>
    <n v="8.2000000000000011"/>
    <n v="0.64"/>
    <n v="8.9599999999999999E-2"/>
    <n v="10"/>
    <n v="134"/>
    <n v="144"/>
  </r>
  <r>
    <n v="558"/>
    <x v="24"/>
    <s v="winter"/>
    <s v="JANUARY"/>
    <n v="10"/>
    <s v="NO"/>
    <x v="3"/>
    <s v="Mist"/>
    <n v="9.02"/>
    <n v="0.6"/>
    <n v="0.1045"/>
    <n v="6"/>
    <n v="49"/>
    <n v="55"/>
  </r>
  <r>
    <n v="559"/>
    <x v="24"/>
    <s v="winter"/>
    <s v="JANUARY"/>
    <n v="11"/>
    <s v="NO"/>
    <x v="3"/>
    <s v="Mist"/>
    <n v="9.84"/>
    <n v="0.6"/>
    <n v="0.1343"/>
    <n v="6"/>
    <n v="55"/>
    <n v="61"/>
  </r>
  <r>
    <n v="560"/>
    <x v="24"/>
    <s v="winter"/>
    <s v="JANUARY"/>
    <n v="12"/>
    <s v="NO"/>
    <x v="3"/>
    <s v="Mist"/>
    <n v="10.66"/>
    <n v="0.56000000000000005"/>
    <n v="8.9599999999999999E-2"/>
    <n v="21"/>
    <n v="85"/>
    <n v="106"/>
  </r>
  <r>
    <n v="561"/>
    <x v="24"/>
    <s v="winter"/>
    <s v="JANUARY"/>
    <n v="13"/>
    <s v="NO"/>
    <x v="3"/>
    <s v="Mist"/>
    <n v="10.66"/>
    <n v="0.56000000000000005"/>
    <n v="0.1343"/>
    <n v="21"/>
    <n v="72"/>
    <n v="93"/>
  </r>
  <r>
    <n v="562"/>
    <x v="24"/>
    <s v="winter"/>
    <s v="JANUARY"/>
    <n v="14"/>
    <s v="NO"/>
    <x v="3"/>
    <s v="Mist"/>
    <n v="12.299999999999999"/>
    <n v="0.45"/>
    <n v="0"/>
    <n v="11"/>
    <n v="57"/>
    <n v="68"/>
  </r>
  <r>
    <n v="563"/>
    <x v="24"/>
    <s v="winter"/>
    <s v="JANUARY"/>
    <n v="15"/>
    <s v="NO"/>
    <x v="3"/>
    <s v="Mist"/>
    <n v="13.120000000000001"/>
    <n v="0.42"/>
    <n v="0"/>
    <n v="21"/>
    <n v="63"/>
    <n v="84"/>
  </r>
  <r>
    <n v="564"/>
    <x v="24"/>
    <s v="winter"/>
    <s v="JANUARY"/>
    <n v="16"/>
    <s v="NO"/>
    <x v="3"/>
    <s v="Mist"/>
    <n v="13.120000000000001"/>
    <n v="0.42"/>
    <n v="0"/>
    <n v="14"/>
    <n v="102"/>
    <n v="116"/>
  </r>
  <r>
    <n v="565"/>
    <x v="24"/>
    <s v="winter"/>
    <s v="JANUARY"/>
    <n v="17"/>
    <s v="NO"/>
    <x v="3"/>
    <s v="Clear Sky"/>
    <n v="12.299999999999999"/>
    <n v="0.45"/>
    <n v="0"/>
    <n v="14"/>
    <n v="208"/>
    <n v="222"/>
  </r>
  <r>
    <n v="566"/>
    <x v="24"/>
    <s v="winter"/>
    <s v="JANUARY"/>
    <n v="18"/>
    <s v="NO"/>
    <x v="3"/>
    <s v="Mist"/>
    <n v="12.299999999999999"/>
    <n v="0.49"/>
    <n v="8.9599999999999999E-2"/>
    <n v="7"/>
    <n v="218"/>
    <n v="225"/>
  </r>
  <r>
    <n v="567"/>
    <x v="24"/>
    <s v="winter"/>
    <s v="JANUARY"/>
    <n v="19"/>
    <s v="NO"/>
    <x v="3"/>
    <s v="Mist"/>
    <n v="10.66"/>
    <n v="0.65"/>
    <n v="0.16420000000000001"/>
    <n v="13"/>
    <n v="133"/>
    <n v="146"/>
  </r>
  <r>
    <n v="568"/>
    <x v="24"/>
    <s v="winter"/>
    <s v="JANUARY"/>
    <n v="20"/>
    <s v="NO"/>
    <x v="3"/>
    <s v="Clear Sky"/>
    <n v="9.84"/>
    <n v="0.65"/>
    <n v="0.19400000000000001"/>
    <n v="16"/>
    <n v="103"/>
    <n v="119"/>
  </r>
  <r>
    <n v="569"/>
    <x v="24"/>
    <s v="winter"/>
    <s v="JANUARY"/>
    <n v="21"/>
    <s v="NO"/>
    <x v="3"/>
    <s v="Clear Sky"/>
    <n v="9.84"/>
    <n v="0.65"/>
    <n v="0.19400000000000001"/>
    <n v="5"/>
    <n v="40"/>
    <n v="45"/>
  </r>
  <r>
    <n v="570"/>
    <x v="24"/>
    <s v="winter"/>
    <s v="JANUARY"/>
    <n v="22"/>
    <s v="NO"/>
    <x v="3"/>
    <s v="Clear Sky"/>
    <n v="9.02"/>
    <n v="0.64"/>
    <n v="0.16420000000000001"/>
    <n v="4"/>
    <n v="49"/>
    <n v="53"/>
  </r>
  <r>
    <n v="571"/>
    <x v="24"/>
    <s v="winter"/>
    <s v="JANUARY"/>
    <n v="23"/>
    <s v="NO"/>
    <x v="3"/>
    <s v="Mist"/>
    <n v="9.02"/>
    <n v="0.64"/>
    <n v="0.16420000000000001"/>
    <n v="3"/>
    <n v="37"/>
    <n v="40"/>
  </r>
  <r>
    <n v="572"/>
    <x v="25"/>
    <s v="winter"/>
    <s v="JANUARY"/>
    <n v="0"/>
    <s v="NO"/>
    <x v="4"/>
    <s v="Mist"/>
    <n v="9.02"/>
    <n v="0.69"/>
    <n v="0.1343"/>
    <n v="3"/>
    <n v="14"/>
    <n v="17"/>
  </r>
  <r>
    <n v="573"/>
    <x v="25"/>
    <s v="winter"/>
    <s v="JANUARY"/>
    <n v="1"/>
    <s v="NO"/>
    <x v="4"/>
    <s v="Mist"/>
    <n v="9.84"/>
    <n v="0.65"/>
    <n v="0.1343"/>
    <n v="0"/>
    <n v="5"/>
    <n v="5"/>
  </r>
  <r>
    <n v="574"/>
    <x v="25"/>
    <s v="winter"/>
    <s v="JANUARY"/>
    <n v="2"/>
    <s v="NO"/>
    <x v="4"/>
    <s v="Dark Cloud"/>
    <n v="9.02"/>
    <n v="0.69"/>
    <n v="0.19400000000000001"/>
    <n v="3"/>
    <n v="7"/>
    <n v="10"/>
  </r>
  <r>
    <n v="575"/>
    <x v="25"/>
    <s v="winter"/>
    <s v="JANUARY"/>
    <n v="5"/>
    <s v="NO"/>
    <x v="4"/>
    <s v="Dark Cloud"/>
    <n v="8.2000000000000011"/>
    <n v="0.86"/>
    <n v="0.28360000000000002"/>
    <n v="0"/>
    <n v="1"/>
    <n v="1"/>
  </r>
  <r>
    <n v="576"/>
    <x v="25"/>
    <s v="winter"/>
    <s v="JANUARY"/>
    <n v="6"/>
    <s v="NO"/>
    <x v="4"/>
    <s v="Dark Cloud"/>
    <n v="8.2000000000000011"/>
    <n v="0.86"/>
    <n v="0.28360000000000002"/>
    <n v="0"/>
    <n v="8"/>
    <n v="8"/>
  </r>
  <r>
    <n v="577"/>
    <x v="25"/>
    <s v="winter"/>
    <s v="JANUARY"/>
    <n v="7"/>
    <s v="NO"/>
    <x v="4"/>
    <s v="Dark Cloud"/>
    <n v="9.02"/>
    <n v="0.87"/>
    <n v="0.29849999999999999"/>
    <n v="1"/>
    <n v="29"/>
    <n v="30"/>
  </r>
  <r>
    <n v="578"/>
    <x v="25"/>
    <s v="winter"/>
    <s v="JANUARY"/>
    <n v="8"/>
    <s v="NO"/>
    <x v="4"/>
    <s v="Dark Cloud"/>
    <n v="9.02"/>
    <n v="0.87"/>
    <n v="0.29849999999999999"/>
    <n v="3"/>
    <n v="69"/>
    <n v="72"/>
  </r>
  <r>
    <n v="579"/>
    <x v="25"/>
    <s v="winter"/>
    <s v="JANUARY"/>
    <n v="9"/>
    <s v="NO"/>
    <x v="4"/>
    <s v="Dark Cloud"/>
    <n v="9.02"/>
    <n v="0.87"/>
    <n v="0.29849999999999999"/>
    <n v="3"/>
    <n v="55"/>
    <n v="58"/>
  </r>
  <r>
    <n v="580"/>
    <x v="25"/>
    <s v="winter"/>
    <s v="JANUARY"/>
    <n v="10"/>
    <s v="NO"/>
    <x v="4"/>
    <s v="Dark Cloud"/>
    <n v="9.02"/>
    <n v="0.93"/>
    <n v="0.28360000000000002"/>
    <n v="2"/>
    <n v="26"/>
    <n v="28"/>
  </r>
  <r>
    <n v="581"/>
    <x v="25"/>
    <s v="winter"/>
    <s v="JANUARY"/>
    <n v="11"/>
    <s v="NO"/>
    <x v="4"/>
    <s v="Dark Cloud"/>
    <n v="9.02"/>
    <n v="0.93"/>
    <n v="0.32840000000000003"/>
    <n v="6"/>
    <n v="35"/>
    <n v="41"/>
  </r>
  <r>
    <n v="582"/>
    <x v="25"/>
    <s v="winter"/>
    <s v="JANUARY"/>
    <n v="12"/>
    <s v="NO"/>
    <x v="4"/>
    <s v="Dark Cloud"/>
    <n v="9.02"/>
    <n v="0.93"/>
    <n v="0.32840000000000003"/>
    <n v="7"/>
    <n v="41"/>
    <n v="48"/>
  </r>
  <r>
    <n v="583"/>
    <x v="25"/>
    <s v="winter"/>
    <s v="JANUARY"/>
    <n v="13"/>
    <s v="NO"/>
    <x v="4"/>
    <s v="Dark Cloud"/>
    <n v="9.02"/>
    <n v="0.93"/>
    <n v="0.32840000000000003"/>
    <n v="4"/>
    <n v="43"/>
    <n v="47"/>
  </r>
  <r>
    <n v="584"/>
    <x v="25"/>
    <s v="winter"/>
    <s v="JANUARY"/>
    <n v="14"/>
    <s v="NO"/>
    <x v="4"/>
    <s v="Dark Cloud"/>
    <n v="9.02"/>
    <n v="0.93"/>
    <n v="0.35820000000000002"/>
    <n v="0"/>
    <n v="36"/>
    <n v="36"/>
  </r>
  <r>
    <n v="585"/>
    <x v="25"/>
    <s v="winter"/>
    <s v="JANUARY"/>
    <n v="15"/>
    <s v="NO"/>
    <x v="4"/>
    <s v="Dark Cloud"/>
    <n v="9.02"/>
    <n v="0.93"/>
    <n v="0.4627"/>
    <n v="1"/>
    <n v="42"/>
    <n v="43"/>
  </r>
  <r>
    <n v="586"/>
    <x v="25"/>
    <s v="winter"/>
    <s v="JANUARY"/>
    <n v="16"/>
    <s v="NO"/>
    <x v="4"/>
    <s v="Heavy Rainfall"/>
    <n v="9.02"/>
    <n v="0.93"/>
    <n v="0.32840000000000003"/>
    <n v="1"/>
    <n v="35"/>
    <n v="36"/>
  </r>
  <r>
    <n v="587"/>
    <x v="25"/>
    <s v="winter"/>
    <s v="JANUARY"/>
    <n v="17"/>
    <s v="NO"/>
    <x v="4"/>
    <s v="Dark Cloud"/>
    <n v="8.2000000000000011"/>
    <n v="0.93"/>
    <n v="0.35820000000000002"/>
    <n v="0"/>
    <n v="26"/>
    <n v="26"/>
  </r>
  <r>
    <n v="588"/>
    <x v="26"/>
    <s v="winter"/>
    <s v="JANUARY"/>
    <n v="16"/>
    <s v="NO"/>
    <x v="5"/>
    <s v="Clear Sky"/>
    <n v="9.02"/>
    <n v="0.55000000000000004"/>
    <n v="0.19400000000000001"/>
    <n v="1"/>
    <n v="23"/>
    <n v="24"/>
  </r>
  <r>
    <n v="589"/>
    <x v="26"/>
    <s v="winter"/>
    <s v="JANUARY"/>
    <n v="17"/>
    <s v="NO"/>
    <x v="5"/>
    <s v="Clear Sky"/>
    <n v="9.02"/>
    <n v="0.55000000000000004"/>
    <n v="0.1045"/>
    <n v="2"/>
    <n v="82"/>
    <n v="84"/>
  </r>
  <r>
    <n v="590"/>
    <x v="26"/>
    <s v="winter"/>
    <s v="JANUARY"/>
    <n v="18"/>
    <s v="NO"/>
    <x v="5"/>
    <s v="Clear Sky"/>
    <n v="8.2000000000000011"/>
    <n v="0.69"/>
    <n v="8.9599999999999999E-2"/>
    <n v="3"/>
    <n v="101"/>
    <n v="104"/>
  </r>
  <r>
    <n v="591"/>
    <x v="26"/>
    <s v="winter"/>
    <s v="JANUARY"/>
    <n v="19"/>
    <s v="NO"/>
    <x v="5"/>
    <s v="Clear Sky"/>
    <n v="8.2000000000000011"/>
    <n v="0.69"/>
    <n v="8.9599999999999999E-2"/>
    <n v="3"/>
    <n v="76"/>
    <n v="79"/>
  </r>
  <r>
    <n v="592"/>
    <x v="26"/>
    <s v="winter"/>
    <s v="JANUARY"/>
    <n v="20"/>
    <s v="NO"/>
    <x v="5"/>
    <s v="Clear Sky"/>
    <n v="7.38"/>
    <n v="0.74"/>
    <n v="8.9599999999999999E-2"/>
    <n v="4"/>
    <n v="55"/>
    <n v="59"/>
  </r>
  <r>
    <n v="593"/>
    <x v="26"/>
    <s v="winter"/>
    <s v="JANUARY"/>
    <n v="21"/>
    <s v="NO"/>
    <x v="5"/>
    <s v="Clear Sky"/>
    <n v="7.38"/>
    <n v="0.74"/>
    <n v="8.9599999999999999E-2"/>
    <n v="2"/>
    <n v="36"/>
    <n v="38"/>
  </r>
  <r>
    <n v="594"/>
    <x v="26"/>
    <s v="winter"/>
    <s v="JANUARY"/>
    <n v="22"/>
    <s v="NO"/>
    <x v="5"/>
    <s v="Clear Sky"/>
    <n v="7.38"/>
    <n v="0.74"/>
    <n v="8.9599999999999999E-2"/>
    <n v="0"/>
    <n v="27"/>
    <n v="27"/>
  </r>
  <r>
    <n v="595"/>
    <x v="26"/>
    <s v="winter"/>
    <s v="JANUARY"/>
    <n v="23"/>
    <s v="NO"/>
    <x v="5"/>
    <s v="Clear Sky"/>
    <n v="7.38"/>
    <n v="0.8"/>
    <n v="0.16420000000000001"/>
    <n v="0"/>
    <n v="16"/>
    <n v="16"/>
  </r>
  <r>
    <n v="596"/>
    <x v="27"/>
    <s v="winter"/>
    <s v="JANUARY"/>
    <n v="0"/>
    <s v="NO"/>
    <x v="6"/>
    <s v="Mist"/>
    <n v="8.2000000000000011"/>
    <n v="0.75"/>
    <n v="0.1343"/>
    <n v="0"/>
    <n v="9"/>
    <n v="9"/>
  </r>
  <r>
    <n v="597"/>
    <x v="27"/>
    <s v="winter"/>
    <s v="JANUARY"/>
    <n v="1"/>
    <s v="NO"/>
    <x v="6"/>
    <s v="Mist"/>
    <n v="8.2000000000000011"/>
    <n v="0.75"/>
    <n v="0.1343"/>
    <n v="1"/>
    <n v="2"/>
    <n v="3"/>
  </r>
  <r>
    <n v="598"/>
    <x v="27"/>
    <s v="winter"/>
    <s v="JANUARY"/>
    <n v="2"/>
    <s v="NO"/>
    <x v="6"/>
    <s v="Mist"/>
    <n v="8.2000000000000011"/>
    <n v="0.75"/>
    <n v="0.16420000000000001"/>
    <n v="0"/>
    <n v="2"/>
    <n v="2"/>
  </r>
  <r>
    <n v="599"/>
    <x v="27"/>
    <s v="winter"/>
    <s v="JANUARY"/>
    <n v="3"/>
    <s v="NO"/>
    <x v="6"/>
    <s v="Mist"/>
    <n v="8.2000000000000011"/>
    <n v="0.75"/>
    <n v="0.1045"/>
    <n v="1"/>
    <n v="0"/>
    <n v="1"/>
  </r>
  <r>
    <n v="600"/>
    <x v="27"/>
    <s v="winter"/>
    <s v="JANUARY"/>
    <n v="5"/>
    <s v="NO"/>
    <x v="6"/>
    <s v="Mist"/>
    <n v="7.38"/>
    <n v="0.8"/>
    <n v="0.1045"/>
    <n v="0"/>
    <n v="4"/>
    <n v="4"/>
  </r>
  <r>
    <n v="601"/>
    <x v="27"/>
    <s v="winter"/>
    <s v="JANUARY"/>
    <n v="6"/>
    <s v="NO"/>
    <x v="6"/>
    <s v="Mist"/>
    <n v="7.38"/>
    <n v="0.8"/>
    <n v="0.1343"/>
    <n v="0"/>
    <n v="16"/>
    <n v="16"/>
  </r>
  <r>
    <n v="602"/>
    <x v="27"/>
    <s v="winter"/>
    <s v="JANUARY"/>
    <n v="7"/>
    <s v="NO"/>
    <x v="6"/>
    <s v="Mist"/>
    <n v="6.5600000000000005"/>
    <n v="0.86"/>
    <n v="8.9599999999999999E-2"/>
    <n v="2"/>
    <n v="58"/>
    <n v="60"/>
  </r>
  <r>
    <n v="603"/>
    <x v="27"/>
    <s v="winter"/>
    <s v="JANUARY"/>
    <n v="8"/>
    <s v="NO"/>
    <x v="6"/>
    <s v="Mist"/>
    <n v="6.5600000000000005"/>
    <n v="0.86"/>
    <n v="8.9599999999999999E-2"/>
    <n v="2"/>
    <n v="155"/>
    <n v="157"/>
  </r>
  <r>
    <n v="604"/>
    <x v="27"/>
    <s v="winter"/>
    <s v="JANUARY"/>
    <n v="9"/>
    <s v="NO"/>
    <x v="6"/>
    <s v="Dark Cloud"/>
    <n v="7.38"/>
    <n v="0.86"/>
    <n v="8.9599999999999999E-2"/>
    <n v="6"/>
    <n v="95"/>
    <n v="101"/>
  </r>
  <r>
    <n v="605"/>
    <x v="27"/>
    <s v="winter"/>
    <s v="JANUARY"/>
    <n v="10"/>
    <s v="NO"/>
    <x v="6"/>
    <s v="Dark Cloud"/>
    <n v="7.38"/>
    <n v="0.86"/>
    <n v="0.1045"/>
    <n v="0"/>
    <n v="49"/>
    <n v="49"/>
  </r>
  <r>
    <n v="606"/>
    <x v="27"/>
    <s v="winter"/>
    <s v="JANUARY"/>
    <n v="11"/>
    <s v="NO"/>
    <x v="6"/>
    <s v="Dark Cloud"/>
    <n v="7.38"/>
    <n v="0.93"/>
    <n v="0.1045"/>
    <n v="0"/>
    <n v="30"/>
    <n v="30"/>
  </r>
  <r>
    <n v="607"/>
    <x v="27"/>
    <s v="winter"/>
    <s v="JANUARY"/>
    <n v="12"/>
    <s v="NO"/>
    <x v="6"/>
    <s v="Dark Cloud"/>
    <n v="7.38"/>
    <n v="0.93"/>
    <n v="0.1045"/>
    <n v="1"/>
    <n v="28"/>
    <n v="29"/>
  </r>
  <r>
    <n v="608"/>
    <x v="27"/>
    <s v="winter"/>
    <s v="JANUARY"/>
    <n v="13"/>
    <s v="NO"/>
    <x v="6"/>
    <s v="Dark Cloud"/>
    <n v="7.38"/>
    <n v="0.93"/>
    <n v="0.1045"/>
    <n v="0"/>
    <n v="31"/>
    <n v="31"/>
  </r>
  <r>
    <n v="609"/>
    <x v="27"/>
    <s v="winter"/>
    <s v="JANUARY"/>
    <n v="14"/>
    <s v="NO"/>
    <x v="6"/>
    <s v="Dark Cloud"/>
    <n v="9.02"/>
    <n v="0.8"/>
    <n v="0"/>
    <n v="2"/>
    <n v="36"/>
    <n v="38"/>
  </r>
  <r>
    <n v="610"/>
    <x v="27"/>
    <s v="winter"/>
    <s v="JANUARY"/>
    <n v="15"/>
    <s v="NO"/>
    <x v="6"/>
    <s v="Mist"/>
    <n v="8.2000000000000011"/>
    <n v="0.86"/>
    <n v="0"/>
    <n v="1"/>
    <n v="40"/>
    <n v="41"/>
  </r>
  <r>
    <n v="611"/>
    <x v="27"/>
    <s v="winter"/>
    <s v="JANUARY"/>
    <n v="16"/>
    <s v="NO"/>
    <x v="6"/>
    <s v="Clear Sky"/>
    <n v="9.02"/>
    <n v="0.8"/>
    <n v="0"/>
    <n v="10"/>
    <n v="70"/>
    <n v="80"/>
  </r>
  <r>
    <n v="612"/>
    <x v="27"/>
    <s v="winter"/>
    <s v="JANUARY"/>
    <n v="17"/>
    <s v="NO"/>
    <x v="6"/>
    <s v="Clear Sky"/>
    <n v="9.84"/>
    <n v="0.75"/>
    <n v="0.1343"/>
    <n v="2"/>
    <n v="147"/>
    <n v="149"/>
  </r>
  <r>
    <n v="613"/>
    <x v="27"/>
    <s v="winter"/>
    <s v="JANUARY"/>
    <n v="18"/>
    <s v="NO"/>
    <x v="6"/>
    <s v="Clear Sky"/>
    <n v="9.84"/>
    <n v="0.75"/>
    <n v="0.19400000000000001"/>
    <n v="2"/>
    <n v="107"/>
    <n v="109"/>
  </r>
  <r>
    <n v="614"/>
    <x v="27"/>
    <s v="winter"/>
    <s v="JANUARY"/>
    <n v="19"/>
    <s v="NO"/>
    <x v="6"/>
    <s v="Mist"/>
    <n v="9.84"/>
    <n v="0.75"/>
    <n v="0.1343"/>
    <n v="5"/>
    <n v="84"/>
    <n v="89"/>
  </r>
  <r>
    <n v="615"/>
    <x v="27"/>
    <s v="winter"/>
    <s v="JANUARY"/>
    <n v="20"/>
    <s v="NO"/>
    <x v="6"/>
    <s v="Mist"/>
    <n v="9.84"/>
    <n v="0.7"/>
    <n v="0.19400000000000001"/>
    <n v="1"/>
    <n v="61"/>
    <n v="62"/>
  </r>
  <r>
    <n v="616"/>
    <x v="27"/>
    <s v="winter"/>
    <s v="JANUARY"/>
    <n v="21"/>
    <s v="NO"/>
    <x v="6"/>
    <s v="Mist"/>
    <n v="9.02"/>
    <n v="0.75"/>
    <n v="0.1343"/>
    <n v="1"/>
    <n v="57"/>
    <n v="58"/>
  </r>
  <r>
    <n v="617"/>
    <x v="27"/>
    <s v="winter"/>
    <s v="JANUARY"/>
    <n v="22"/>
    <s v="NO"/>
    <x v="6"/>
    <s v="Clear Sky"/>
    <n v="9.84"/>
    <n v="0.65"/>
    <n v="0.35820000000000002"/>
    <n v="0"/>
    <n v="26"/>
    <n v="26"/>
  </r>
  <r>
    <n v="618"/>
    <x v="27"/>
    <s v="winter"/>
    <s v="JANUARY"/>
    <n v="23"/>
    <s v="NO"/>
    <x v="6"/>
    <s v="Clear Sky"/>
    <n v="9.84"/>
    <n v="0.6"/>
    <n v="0.22389999999999999"/>
    <n v="1"/>
    <n v="22"/>
    <n v="23"/>
  </r>
  <r>
    <n v="619"/>
    <x v="28"/>
    <s v="winter"/>
    <s v="JANUARY"/>
    <n v="0"/>
    <s v="NO"/>
    <x v="0"/>
    <s v="Clear Sky"/>
    <n v="9.02"/>
    <n v="0.64"/>
    <n v="0.35820000000000002"/>
    <n v="2"/>
    <n v="26"/>
    <n v="28"/>
  </r>
  <r>
    <n v="620"/>
    <x v="28"/>
    <s v="winter"/>
    <s v="JANUARY"/>
    <n v="1"/>
    <s v="NO"/>
    <x v="0"/>
    <s v="Clear Sky"/>
    <n v="9.02"/>
    <n v="0.64"/>
    <n v="0.19400000000000001"/>
    <n v="0"/>
    <n v="20"/>
    <n v="20"/>
  </r>
  <r>
    <n v="621"/>
    <x v="28"/>
    <s v="winter"/>
    <s v="JANUARY"/>
    <n v="2"/>
    <s v="NO"/>
    <x v="0"/>
    <s v="Clear Sky"/>
    <n v="9.02"/>
    <n v="0.64"/>
    <n v="0.16420000000000001"/>
    <n v="0"/>
    <n v="15"/>
    <n v="15"/>
  </r>
  <r>
    <n v="622"/>
    <x v="28"/>
    <s v="winter"/>
    <s v="JANUARY"/>
    <n v="3"/>
    <s v="NO"/>
    <x v="0"/>
    <s v="Clear Sky"/>
    <n v="8.2000000000000011"/>
    <n v="0.64"/>
    <n v="0.1343"/>
    <n v="3"/>
    <n v="5"/>
    <n v="8"/>
  </r>
  <r>
    <n v="623"/>
    <x v="28"/>
    <s v="winter"/>
    <s v="JANUARY"/>
    <n v="4"/>
    <s v="NO"/>
    <x v="0"/>
    <s v="Clear Sky"/>
    <n v="6.5600000000000005"/>
    <n v="0.69"/>
    <n v="0.1045"/>
    <n v="1"/>
    <n v="2"/>
    <n v="3"/>
  </r>
  <r>
    <n v="624"/>
    <x v="28"/>
    <s v="winter"/>
    <s v="JANUARY"/>
    <n v="6"/>
    <s v="NO"/>
    <x v="0"/>
    <s v="Clear Sky"/>
    <n v="6.5600000000000005"/>
    <n v="0.64"/>
    <n v="0.1343"/>
    <n v="0"/>
    <n v="2"/>
    <n v="2"/>
  </r>
  <r>
    <n v="625"/>
    <x v="28"/>
    <s v="winter"/>
    <s v="JANUARY"/>
    <n v="7"/>
    <s v="NO"/>
    <x v="0"/>
    <s v="Clear Sky"/>
    <n v="6.5600000000000005"/>
    <n v="0.59"/>
    <n v="0.1045"/>
    <n v="1"/>
    <n v="4"/>
    <n v="5"/>
  </r>
  <r>
    <n v="626"/>
    <x v="28"/>
    <s v="winter"/>
    <s v="JANUARY"/>
    <n v="8"/>
    <s v="NO"/>
    <x v="0"/>
    <s v="Clear Sky"/>
    <n v="7.38"/>
    <n v="0.55000000000000004"/>
    <n v="0.16420000000000001"/>
    <n v="3"/>
    <n v="31"/>
    <n v="34"/>
  </r>
  <r>
    <n v="627"/>
    <x v="28"/>
    <s v="winter"/>
    <s v="JANUARY"/>
    <n v="9"/>
    <s v="NO"/>
    <x v="0"/>
    <s v="Clear Sky"/>
    <n v="7.38"/>
    <n v="0.59"/>
    <n v="8.9599999999999999E-2"/>
    <n v="0"/>
    <n v="34"/>
    <n v="34"/>
  </r>
  <r>
    <n v="628"/>
    <x v="28"/>
    <s v="winter"/>
    <s v="JANUARY"/>
    <n v="10"/>
    <s v="NO"/>
    <x v="0"/>
    <s v="Mist"/>
    <n v="7.38"/>
    <n v="0.64"/>
    <n v="0.1045"/>
    <n v="4"/>
    <n v="51"/>
    <n v="55"/>
  </r>
  <r>
    <n v="629"/>
    <x v="28"/>
    <s v="winter"/>
    <s v="JANUARY"/>
    <n v="11"/>
    <s v="NO"/>
    <x v="0"/>
    <s v="Mist"/>
    <n v="7.38"/>
    <n v="0.64"/>
    <n v="0.1343"/>
    <n v="4"/>
    <n v="60"/>
    <n v="64"/>
  </r>
  <r>
    <n v="630"/>
    <x v="28"/>
    <s v="winter"/>
    <s v="JANUARY"/>
    <n v="12"/>
    <s v="NO"/>
    <x v="0"/>
    <s v="Mist"/>
    <n v="8.2000000000000011"/>
    <n v="0.59"/>
    <n v="0.19400000000000001"/>
    <n v="12"/>
    <n v="66"/>
    <n v="78"/>
  </r>
  <r>
    <n v="631"/>
    <x v="28"/>
    <s v="winter"/>
    <s v="JANUARY"/>
    <n v="13"/>
    <s v="NO"/>
    <x v="0"/>
    <s v="Mist"/>
    <n v="9.02"/>
    <n v="0.55000000000000004"/>
    <n v="0.16420000000000001"/>
    <n v="9"/>
    <n v="56"/>
    <n v="65"/>
  </r>
  <r>
    <n v="632"/>
    <x v="28"/>
    <s v="winter"/>
    <s v="JANUARY"/>
    <n v="14"/>
    <s v="NO"/>
    <x v="0"/>
    <s v="Mist"/>
    <n v="9.02"/>
    <n v="0.6"/>
    <n v="0.1343"/>
    <n v="10"/>
    <n v="89"/>
    <n v="99"/>
  </r>
  <r>
    <n v="633"/>
    <x v="28"/>
    <s v="winter"/>
    <s v="JANUARY"/>
    <n v="15"/>
    <s v="NO"/>
    <x v="0"/>
    <s v="Clear Sky"/>
    <n v="9.02"/>
    <n v="0.69"/>
    <n v="0.25369999999999998"/>
    <n v="22"/>
    <n v="98"/>
    <n v="120"/>
  </r>
  <r>
    <n v="634"/>
    <x v="28"/>
    <s v="winter"/>
    <s v="JANUARY"/>
    <n v="16"/>
    <s v="NO"/>
    <x v="0"/>
    <s v="Clear Sky"/>
    <n v="9.84"/>
    <n v="0.6"/>
    <n v="0.16420000000000001"/>
    <n v="19"/>
    <n v="88"/>
    <n v="107"/>
  </r>
  <r>
    <n v="635"/>
    <x v="28"/>
    <s v="winter"/>
    <s v="JANUARY"/>
    <n v="17"/>
    <s v="NO"/>
    <x v="0"/>
    <s v="Clear Sky"/>
    <n v="9.84"/>
    <n v="0.6"/>
    <n v="0"/>
    <n v="9"/>
    <n v="82"/>
    <n v="91"/>
  </r>
  <r>
    <n v="636"/>
    <x v="28"/>
    <s v="winter"/>
    <s v="JANUARY"/>
    <n v="18"/>
    <s v="NO"/>
    <x v="0"/>
    <s v="Clear Sky"/>
    <n v="9.02"/>
    <n v="0.69"/>
    <n v="0.1343"/>
    <n v="9"/>
    <n v="59"/>
    <n v="68"/>
  </r>
  <r>
    <n v="637"/>
    <x v="28"/>
    <s v="winter"/>
    <s v="JANUARY"/>
    <n v="19"/>
    <s v="NO"/>
    <x v="0"/>
    <s v="Mist"/>
    <n v="9.02"/>
    <n v="0.69"/>
    <n v="0.25369999999999998"/>
    <n v="6"/>
    <n v="52"/>
    <n v="58"/>
  </r>
  <r>
    <n v="638"/>
    <x v="28"/>
    <s v="winter"/>
    <s v="JANUARY"/>
    <n v="20"/>
    <s v="NO"/>
    <x v="0"/>
    <s v="Clear Sky"/>
    <n v="7.38"/>
    <n v="0.74"/>
    <n v="8.9599999999999999E-2"/>
    <n v="1"/>
    <n v="42"/>
    <n v="43"/>
  </r>
  <r>
    <n v="639"/>
    <x v="28"/>
    <s v="winter"/>
    <s v="JANUARY"/>
    <n v="21"/>
    <s v="NO"/>
    <x v="0"/>
    <s v="Clear Sky"/>
    <n v="7.38"/>
    <n v="0.74"/>
    <n v="8.9599999999999999E-2"/>
    <n v="1"/>
    <n v="35"/>
    <n v="36"/>
  </r>
  <r>
    <n v="640"/>
    <x v="28"/>
    <s v="winter"/>
    <s v="JANUARY"/>
    <n v="22"/>
    <s v="NO"/>
    <x v="0"/>
    <s v="Clear Sky"/>
    <n v="6.5600000000000005"/>
    <n v="0.8"/>
    <n v="8.9599999999999999E-2"/>
    <n v="4"/>
    <n v="28"/>
    <n v="32"/>
  </r>
  <r>
    <n v="641"/>
    <x v="28"/>
    <s v="winter"/>
    <s v="JANUARY"/>
    <n v="23"/>
    <s v="NO"/>
    <x v="0"/>
    <s v="Clear Sky"/>
    <n v="6.5600000000000005"/>
    <n v="0.8"/>
    <n v="8.9599999999999999E-2"/>
    <n v="3"/>
    <n v="30"/>
    <n v="33"/>
  </r>
  <r>
    <n v="642"/>
    <x v="29"/>
    <s v="winter"/>
    <s v="JANUARY"/>
    <n v="0"/>
    <s v="NO"/>
    <x v="1"/>
    <s v="Clear Sky"/>
    <n v="6.5600000000000005"/>
    <n v="0.8"/>
    <n v="0.1045"/>
    <n v="0"/>
    <n v="33"/>
    <n v="33"/>
  </r>
  <r>
    <n v="643"/>
    <x v="29"/>
    <s v="winter"/>
    <s v="JANUARY"/>
    <n v="1"/>
    <s v="NO"/>
    <x v="1"/>
    <s v="Clear Sky"/>
    <n v="5.74"/>
    <n v="0.8"/>
    <n v="0"/>
    <n v="7"/>
    <n v="22"/>
    <n v="29"/>
  </r>
  <r>
    <n v="644"/>
    <x v="29"/>
    <s v="winter"/>
    <s v="JANUARY"/>
    <n v="2"/>
    <s v="NO"/>
    <x v="1"/>
    <s v="Clear Sky"/>
    <n v="6.5600000000000005"/>
    <n v="0.8"/>
    <n v="0"/>
    <n v="1"/>
    <n v="10"/>
    <n v="11"/>
  </r>
  <r>
    <n v="645"/>
    <x v="29"/>
    <s v="winter"/>
    <s v="JANUARY"/>
    <n v="3"/>
    <s v="NO"/>
    <x v="1"/>
    <s v="Clear Sky"/>
    <n v="5.74"/>
    <n v="0.93"/>
    <n v="0"/>
    <n v="1"/>
    <n v="7"/>
    <n v="8"/>
  </r>
  <r>
    <n v="646"/>
    <x v="29"/>
    <s v="winter"/>
    <s v="JANUARY"/>
    <n v="4"/>
    <s v="NO"/>
    <x v="1"/>
    <s v="Clear Sky"/>
    <n v="5.74"/>
    <n v="0.93"/>
    <n v="0"/>
    <n v="0"/>
    <n v="1"/>
    <n v="1"/>
  </r>
  <r>
    <n v="647"/>
    <x v="29"/>
    <s v="winter"/>
    <s v="JANUARY"/>
    <n v="5"/>
    <s v="NO"/>
    <x v="1"/>
    <s v="Clear Sky"/>
    <n v="5.74"/>
    <n v="0.86"/>
    <n v="0"/>
    <n v="0"/>
    <n v="3"/>
    <n v="3"/>
  </r>
  <r>
    <n v="648"/>
    <x v="29"/>
    <s v="winter"/>
    <s v="JANUARY"/>
    <n v="7"/>
    <s v="NO"/>
    <x v="1"/>
    <s v="Clear Sky"/>
    <n v="5.74"/>
    <n v="0.86"/>
    <n v="0"/>
    <n v="0"/>
    <n v="3"/>
    <n v="3"/>
  </r>
  <r>
    <n v="649"/>
    <x v="29"/>
    <s v="winter"/>
    <s v="JANUARY"/>
    <n v="8"/>
    <s v="NO"/>
    <x v="1"/>
    <s v="Mist"/>
    <n v="5.74"/>
    <n v="0.86"/>
    <n v="0"/>
    <n v="1"/>
    <n v="11"/>
    <n v="12"/>
  </r>
  <r>
    <n v="650"/>
    <x v="29"/>
    <s v="winter"/>
    <s v="JANUARY"/>
    <n v="9"/>
    <s v="NO"/>
    <x v="1"/>
    <s v="Mist"/>
    <n v="6.5600000000000005"/>
    <n v="0.8"/>
    <n v="0"/>
    <n v="4"/>
    <n v="34"/>
    <n v="38"/>
  </r>
  <r>
    <n v="651"/>
    <x v="29"/>
    <s v="winter"/>
    <s v="JANUARY"/>
    <n v="10"/>
    <s v="NO"/>
    <x v="1"/>
    <s v="Mist"/>
    <n v="7.38"/>
    <n v="0.8"/>
    <n v="0"/>
    <n v="7"/>
    <n v="57"/>
    <n v="64"/>
  </r>
  <r>
    <n v="652"/>
    <x v="29"/>
    <s v="winter"/>
    <s v="JANUARY"/>
    <n v="11"/>
    <s v="NO"/>
    <x v="1"/>
    <s v="Clear Sky"/>
    <n v="9.02"/>
    <n v="0.75"/>
    <n v="0"/>
    <n v="9"/>
    <n v="50"/>
    <n v="59"/>
  </r>
  <r>
    <n v="653"/>
    <x v="29"/>
    <s v="winter"/>
    <s v="JANUARY"/>
    <n v="12"/>
    <s v="NO"/>
    <x v="1"/>
    <s v="Clear Sky"/>
    <n v="12.299999999999999"/>
    <n v="0.52"/>
    <n v="0.1045"/>
    <n v="10"/>
    <n v="87"/>
    <n v="97"/>
  </r>
  <r>
    <n v="654"/>
    <x v="29"/>
    <s v="winter"/>
    <s v="JANUARY"/>
    <n v="13"/>
    <s v="NO"/>
    <x v="1"/>
    <s v="Clear Sky"/>
    <n v="11.48"/>
    <n v="0.61"/>
    <n v="0.1045"/>
    <n v="13"/>
    <n v="71"/>
    <n v="84"/>
  </r>
  <r>
    <n v="655"/>
    <x v="29"/>
    <s v="winter"/>
    <s v="JANUARY"/>
    <n v="14"/>
    <s v="NO"/>
    <x v="1"/>
    <s v="Clear Sky"/>
    <n v="11.48"/>
    <n v="0.61"/>
    <n v="8.9599999999999999E-2"/>
    <n v="18"/>
    <n v="104"/>
    <n v="122"/>
  </r>
  <r>
    <n v="656"/>
    <x v="29"/>
    <s v="winter"/>
    <s v="JANUARY"/>
    <n v="15"/>
    <s v="NO"/>
    <x v="1"/>
    <s v="Clear Sky"/>
    <n v="12.299999999999999"/>
    <n v="0.56000000000000005"/>
    <n v="0"/>
    <n v="14"/>
    <n v="95"/>
    <n v="109"/>
  </r>
  <r>
    <n v="657"/>
    <x v="29"/>
    <s v="winter"/>
    <s v="JANUARY"/>
    <n v="16"/>
    <s v="NO"/>
    <x v="1"/>
    <s v="Clear Sky"/>
    <n v="12.299999999999999"/>
    <n v="0.56000000000000005"/>
    <n v="0"/>
    <n v="19"/>
    <n v="104"/>
    <n v="123"/>
  </r>
  <r>
    <n v="658"/>
    <x v="29"/>
    <s v="winter"/>
    <s v="JANUARY"/>
    <n v="17"/>
    <s v="NO"/>
    <x v="1"/>
    <s v="Clear Sky"/>
    <n v="12.299999999999999"/>
    <n v="0.56000000000000005"/>
    <n v="0.19400000000000001"/>
    <n v="6"/>
    <n v="71"/>
    <n v="77"/>
  </r>
  <r>
    <n v="659"/>
    <x v="29"/>
    <s v="winter"/>
    <s v="JANUARY"/>
    <n v="18"/>
    <s v="NO"/>
    <x v="1"/>
    <s v="Clear Sky"/>
    <n v="10.66"/>
    <n v="0.65"/>
    <n v="0.16420000000000001"/>
    <n v="8"/>
    <n v="57"/>
    <n v="65"/>
  </r>
  <r>
    <n v="660"/>
    <x v="29"/>
    <s v="winter"/>
    <s v="JANUARY"/>
    <n v="19"/>
    <s v="NO"/>
    <x v="1"/>
    <s v="Clear Sky"/>
    <n v="10.66"/>
    <n v="0.65"/>
    <n v="0.19400000000000001"/>
    <n v="9"/>
    <n v="46"/>
    <n v="55"/>
  </r>
  <r>
    <n v="661"/>
    <x v="29"/>
    <s v="winter"/>
    <s v="JANUARY"/>
    <n v="20"/>
    <s v="NO"/>
    <x v="1"/>
    <s v="Mist"/>
    <n v="10.66"/>
    <n v="0.65"/>
    <n v="0.1045"/>
    <n v="3"/>
    <n v="30"/>
    <n v="33"/>
  </r>
  <r>
    <n v="662"/>
    <x v="29"/>
    <s v="winter"/>
    <s v="JANUARY"/>
    <n v="21"/>
    <s v="NO"/>
    <x v="1"/>
    <s v="Mist"/>
    <n v="9.84"/>
    <n v="0.7"/>
    <n v="0.16420000000000001"/>
    <n v="3"/>
    <n v="25"/>
    <n v="28"/>
  </r>
  <r>
    <n v="663"/>
    <x v="29"/>
    <s v="winter"/>
    <s v="JANUARY"/>
    <n v="22"/>
    <s v="NO"/>
    <x v="1"/>
    <s v="Mist"/>
    <n v="9.84"/>
    <n v="0.7"/>
    <n v="0.19400000000000001"/>
    <n v="2"/>
    <n v="19"/>
    <n v="21"/>
  </r>
  <r>
    <n v="664"/>
    <x v="29"/>
    <s v="winter"/>
    <s v="JANUARY"/>
    <n v="23"/>
    <s v="NO"/>
    <x v="1"/>
    <s v="Mist"/>
    <n v="9.84"/>
    <n v="0.65"/>
    <n v="0.28360000000000002"/>
    <n v="5"/>
    <n v="16"/>
    <n v="21"/>
  </r>
  <r>
    <n v="665"/>
    <x v="30"/>
    <s v="winter"/>
    <s v="JANUARY"/>
    <n v="0"/>
    <s v="NO"/>
    <x v="2"/>
    <s v="Mist"/>
    <n v="9.84"/>
    <n v="0.65"/>
    <n v="0.22389999999999999"/>
    <n v="1"/>
    <n v="6"/>
    <n v="7"/>
  </r>
  <r>
    <n v="666"/>
    <x v="30"/>
    <s v="winter"/>
    <s v="JANUARY"/>
    <n v="1"/>
    <s v="NO"/>
    <x v="2"/>
    <s v="Clear Sky"/>
    <n v="9.02"/>
    <n v="0.64"/>
    <n v="0.25369999999999998"/>
    <n v="2"/>
    <n v="5"/>
    <n v="7"/>
  </r>
  <r>
    <n v="667"/>
    <x v="30"/>
    <s v="winter"/>
    <s v="JANUARY"/>
    <n v="2"/>
    <s v="NO"/>
    <x v="2"/>
    <s v="Clear Sky"/>
    <n v="9.02"/>
    <n v="0.64"/>
    <n v="0.19400000000000001"/>
    <n v="0"/>
    <n v="1"/>
    <n v="1"/>
  </r>
  <r>
    <n v="668"/>
    <x v="30"/>
    <s v="winter"/>
    <s v="JANUARY"/>
    <n v="3"/>
    <s v="NO"/>
    <x v="2"/>
    <s v="Clear Sky"/>
    <n v="9.02"/>
    <n v="0.64"/>
    <n v="0.19400000000000001"/>
    <n v="0"/>
    <n v="2"/>
    <n v="2"/>
  </r>
  <r>
    <n v="669"/>
    <x v="30"/>
    <s v="winter"/>
    <s v="JANUARY"/>
    <n v="4"/>
    <s v="NO"/>
    <x v="2"/>
    <s v="Clear Sky"/>
    <n v="8.2000000000000011"/>
    <n v="0.59"/>
    <n v="0.22389999999999999"/>
    <n v="0"/>
    <n v="2"/>
    <n v="2"/>
  </r>
  <r>
    <n v="670"/>
    <x v="30"/>
    <s v="winter"/>
    <s v="JANUARY"/>
    <n v="5"/>
    <s v="NO"/>
    <x v="2"/>
    <s v="Clear Sky"/>
    <n v="7.38"/>
    <n v="0.64"/>
    <n v="0.28360000000000002"/>
    <n v="0"/>
    <n v="8"/>
    <n v="8"/>
  </r>
  <r>
    <n v="671"/>
    <x v="30"/>
    <s v="winter"/>
    <s v="JANUARY"/>
    <n v="6"/>
    <s v="NO"/>
    <x v="2"/>
    <s v="Clear Sky"/>
    <n v="6.5600000000000005"/>
    <n v="0.69"/>
    <n v="0.32840000000000003"/>
    <n v="0"/>
    <n v="37"/>
    <n v="37"/>
  </r>
  <r>
    <n v="672"/>
    <x v="30"/>
    <s v="winter"/>
    <s v="JANUARY"/>
    <n v="7"/>
    <s v="NO"/>
    <x v="2"/>
    <s v="Mist"/>
    <n v="6.5600000000000005"/>
    <n v="0.64"/>
    <n v="0.28360000000000002"/>
    <n v="1"/>
    <n v="71"/>
    <n v="72"/>
  </r>
  <r>
    <n v="673"/>
    <x v="30"/>
    <s v="winter"/>
    <s v="JANUARY"/>
    <n v="8"/>
    <s v="NO"/>
    <x v="2"/>
    <s v="Mist"/>
    <n v="6.5600000000000005"/>
    <n v="0.59"/>
    <n v="0.28360000000000002"/>
    <n v="3"/>
    <n v="182"/>
    <n v="185"/>
  </r>
  <r>
    <n v="674"/>
    <x v="30"/>
    <s v="winter"/>
    <s v="JANUARY"/>
    <n v="9"/>
    <s v="NO"/>
    <x v="2"/>
    <s v="Mist"/>
    <n v="6.5600000000000005"/>
    <n v="0.59"/>
    <n v="0.29849999999999999"/>
    <n v="0"/>
    <n v="112"/>
    <n v="112"/>
  </r>
  <r>
    <n v="675"/>
    <x v="30"/>
    <s v="winter"/>
    <s v="JANUARY"/>
    <n v="10"/>
    <s v="NO"/>
    <x v="2"/>
    <s v="Mist"/>
    <n v="6.5600000000000005"/>
    <n v="0.59"/>
    <n v="0.19400000000000001"/>
    <n v="1"/>
    <n v="68"/>
    <n v="69"/>
  </r>
  <r>
    <n v="676"/>
    <x v="30"/>
    <s v="winter"/>
    <s v="JANUARY"/>
    <n v="11"/>
    <s v="NO"/>
    <x v="2"/>
    <s v="Mist"/>
    <n v="6.5600000000000005"/>
    <n v="0.59"/>
    <n v="0.19400000000000001"/>
    <n v="2"/>
    <n v="46"/>
    <n v="48"/>
  </r>
  <r>
    <n v="677"/>
    <x v="30"/>
    <s v="winter"/>
    <s v="JANUARY"/>
    <n v="12"/>
    <s v="NO"/>
    <x v="2"/>
    <s v="Mist"/>
    <n v="7.38"/>
    <n v="0.55000000000000004"/>
    <n v="0.1045"/>
    <n v="6"/>
    <n v="62"/>
    <n v="68"/>
  </r>
  <r>
    <n v="678"/>
    <x v="30"/>
    <s v="winter"/>
    <s v="JANUARY"/>
    <n v="13"/>
    <s v="NO"/>
    <x v="2"/>
    <s v="Mist"/>
    <n v="6.5600000000000005"/>
    <n v="0.59"/>
    <n v="0"/>
    <n v="2"/>
    <n v="52"/>
    <n v="54"/>
  </r>
  <r>
    <n v="679"/>
    <x v="30"/>
    <s v="winter"/>
    <s v="JANUARY"/>
    <n v="14"/>
    <s v="NO"/>
    <x v="2"/>
    <s v="Mist"/>
    <n v="7.38"/>
    <n v="0.55000000000000004"/>
    <n v="0.1343"/>
    <n v="1"/>
    <n v="85"/>
    <n v="86"/>
  </r>
  <r>
    <n v="680"/>
    <x v="30"/>
    <s v="winter"/>
    <s v="JANUARY"/>
    <n v="15"/>
    <s v="NO"/>
    <x v="2"/>
    <s v="Mist"/>
    <n v="6.5600000000000005"/>
    <n v="0.59"/>
    <n v="0.1343"/>
    <n v="3"/>
    <n v="41"/>
    <n v="44"/>
  </r>
  <r>
    <n v="681"/>
    <x v="30"/>
    <s v="winter"/>
    <s v="JANUARY"/>
    <n v="16"/>
    <s v="NO"/>
    <x v="2"/>
    <s v="Mist"/>
    <n v="6.5600000000000005"/>
    <n v="0.56000000000000005"/>
    <n v="0.19400000000000001"/>
    <n v="3"/>
    <n v="83"/>
    <n v="86"/>
  </r>
  <r>
    <n v="682"/>
    <x v="30"/>
    <s v="winter"/>
    <s v="JANUARY"/>
    <n v="17"/>
    <s v="NO"/>
    <x v="2"/>
    <s v="Mist"/>
    <n v="6.5600000000000005"/>
    <n v="0.59"/>
    <n v="0.19400000000000001"/>
    <n v="6"/>
    <n v="155"/>
    <n v="161"/>
  </r>
  <r>
    <n v="683"/>
    <x v="30"/>
    <s v="winter"/>
    <s v="JANUARY"/>
    <n v="18"/>
    <s v="NO"/>
    <x v="2"/>
    <s v="Mist"/>
    <n v="6.5600000000000005"/>
    <n v="0.55000000000000004"/>
    <n v="0.22389999999999999"/>
    <n v="3"/>
    <n v="153"/>
    <n v="156"/>
  </r>
  <r>
    <n v="684"/>
    <x v="30"/>
    <s v="winter"/>
    <s v="JANUARY"/>
    <n v="19"/>
    <s v="NO"/>
    <x v="2"/>
    <s v="Clear Sky"/>
    <n v="12.299999999999999"/>
    <n v="0.61"/>
    <n v="0.1045"/>
    <n v="3"/>
    <n v="108"/>
    <n v="111"/>
  </r>
  <r>
    <n v="685"/>
    <x v="30"/>
    <s v="winter"/>
    <s v="JANUARY"/>
    <n v="20"/>
    <s v="NO"/>
    <x v="2"/>
    <s v="Dark Cloud"/>
    <n v="6.5600000000000005"/>
    <n v="0.59"/>
    <n v="0.16420000000000001"/>
    <n v="0"/>
    <n v="78"/>
    <n v="78"/>
  </r>
  <r>
    <n v="686"/>
    <x v="30"/>
    <s v="winter"/>
    <s v="JANUARY"/>
    <n v="21"/>
    <s v="NO"/>
    <x v="2"/>
    <s v="Dark Cloud"/>
    <n v="6.5600000000000005"/>
    <n v="0.59"/>
    <n v="8.9599999999999999E-2"/>
    <n v="3"/>
    <n v="53"/>
    <n v="56"/>
  </r>
  <r>
    <n v="687"/>
    <x v="30"/>
    <s v="winter"/>
    <s v="JANUARY"/>
    <n v="22"/>
    <s v="NO"/>
    <x v="2"/>
    <s v="Mist"/>
    <n v="6.5600000000000005"/>
    <n v="0.59"/>
    <n v="0.1045"/>
    <n v="0"/>
    <n v="34"/>
    <n v="34"/>
  </r>
  <r>
    <n v="688"/>
    <x v="30"/>
    <s v="winter"/>
    <s v="JANUARY"/>
    <n v="23"/>
    <s v="NO"/>
    <x v="2"/>
    <s v="Mist"/>
    <n v="6.5600000000000005"/>
    <n v="0.64"/>
    <n v="8.9599999999999999E-2"/>
    <n v="2"/>
    <n v="15"/>
    <n v="17"/>
  </r>
  <r>
    <n v="689"/>
    <x v="31"/>
    <s v="winter"/>
    <s v="FEBRUARY"/>
    <n v="0"/>
    <s v="NO"/>
    <x v="3"/>
    <s v="Mist"/>
    <n v="6.5600000000000005"/>
    <n v="0.64"/>
    <n v="0.1045"/>
    <n v="2"/>
    <n v="6"/>
    <n v="8"/>
  </r>
  <r>
    <n v="690"/>
    <x v="31"/>
    <s v="winter"/>
    <s v="FEBRUARY"/>
    <n v="1"/>
    <s v="NO"/>
    <x v="3"/>
    <s v="Mist"/>
    <n v="6.5600000000000005"/>
    <n v="0.69"/>
    <n v="0.1045"/>
    <n v="0"/>
    <n v="3"/>
    <n v="3"/>
  </r>
  <r>
    <n v="691"/>
    <x v="31"/>
    <s v="winter"/>
    <s v="FEBRUARY"/>
    <n v="2"/>
    <s v="NO"/>
    <x v="3"/>
    <s v="Mist"/>
    <n v="6.5600000000000005"/>
    <n v="0.69"/>
    <n v="0"/>
    <n v="0"/>
    <n v="2"/>
    <n v="2"/>
  </r>
  <r>
    <n v="692"/>
    <x v="31"/>
    <s v="winter"/>
    <s v="FEBRUARY"/>
    <n v="3"/>
    <s v="NO"/>
    <x v="3"/>
    <s v="Mist"/>
    <n v="6.5600000000000005"/>
    <n v="0.69"/>
    <n v="0"/>
    <n v="0"/>
    <n v="2"/>
    <n v="2"/>
  </r>
  <r>
    <n v="693"/>
    <x v="31"/>
    <s v="winter"/>
    <s v="FEBRUARY"/>
    <n v="5"/>
    <s v="NO"/>
    <x v="3"/>
    <s v="Dark Cloud"/>
    <n v="5.74"/>
    <n v="0.93"/>
    <n v="0"/>
    <n v="0"/>
    <n v="3"/>
    <n v="3"/>
  </r>
  <r>
    <n v="694"/>
    <x v="31"/>
    <s v="winter"/>
    <s v="FEBRUARY"/>
    <n v="6"/>
    <s v="NO"/>
    <x v="3"/>
    <s v="Dark Cloud"/>
    <n v="5.74"/>
    <n v="0.93"/>
    <n v="0"/>
    <n v="0"/>
    <n v="22"/>
    <n v="22"/>
  </r>
  <r>
    <n v="695"/>
    <x v="31"/>
    <s v="winter"/>
    <s v="FEBRUARY"/>
    <n v="7"/>
    <s v="NO"/>
    <x v="3"/>
    <s v="Dark Cloud"/>
    <n v="6.5600000000000005"/>
    <n v="0.93"/>
    <n v="0"/>
    <n v="0"/>
    <n v="52"/>
    <n v="52"/>
  </r>
  <r>
    <n v="696"/>
    <x v="31"/>
    <s v="winter"/>
    <s v="FEBRUARY"/>
    <n v="8"/>
    <s v="NO"/>
    <x v="3"/>
    <s v="Dark Cloud"/>
    <n v="6.5600000000000005"/>
    <n v="0.93"/>
    <n v="0"/>
    <n v="3"/>
    <n v="132"/>
    <n v="135"/>
  </r>
  <r>
    <n v="697"/>
    <x v="31"/>
    <s v="winter"/>
    <s v="FEBRUARY"/>
    <n v="9"/>
    <s v="NO"/>
    <x v="3"/>
    <s v="Mist"/>
    <n v="6.5600000000000005"/>
    <n v="0.93"/>
    <n v="0"/>
    <n v="2"/>
    <n v="114"/>
    <n v="116"/>
  </r>
  <r>
    <n v="698"/>
    <x v="31"/>
    <s v="winter"/>
    <s v="FEBRUARY"/>
    <n v="10"/>
    <s v="NO"/>
    <x v="3"/>
    <s v="Mist"/>
    <n v="6.5600000000000005"/>
    <n v="0.93"/>
    <n v="0"/>
    <n v="0"/>
    <n v="47"/>
    <n v="47"/>
  </r>
  <r>
    <n v="699"/>
    <x v="31"/>
    <s v="winter"/>
    <s v="FEBRUARY"/>
    <n v="11"/>
    <s v="NO"/>
    <x v="3"/>
    <s v="Mist"/>
    <n v="7.38"/>
    <n v="0.86"/>
    <n v="0"/>
    <n v="2"/>
    <n v="49"/>
    <n v="51"/>
  </r>
  <r>
    <n v="700"/>
    <x v="31"/>
    <s v="winter"/>
    <s v="FEBRUARY"/>
    <n v="12"/>
    <s v="NO"/>
    <x v="3"/>
    <s v="Mist"/>
    <n v="8.2000000000000011"/>
    <n v="0.86"/>
    <n v="0"/>
    <n v="2"/>
    <n v="53"/>
    <n v="55"/>
  </r>
  <r>
    <n v="701"/>
    <x v="31"/>
    <s v="winter"/>
    <s v="FEBRUARY"/>
    <n v="13"/>
    <s v="NO"/>
    <x v="3"/>
    <s v="Mist"/>
    <n v="8.2000000000000011"/>
    <n v="0.86"/>
    <n v="0"/>
    <n v="3"/>
    <n v="49"/>
    <n v="52"/>
  </r>
  <r>
    <n v="702"/>
    <x v="31"/>
    <s v="winter"/>
    <s v="FEBRUARY"/>
    <n v="14"/>
    <s v="NO"/>
    <x v="3"/>
    <s v="Mist"/>
    <n v="9.02"/>
    <n v="0.8"/>
    <n v="8.9599999999999999E-2"/>
    <n v="5"/>
    <n v="49"/>
    <n v="54"/>
  </r>
  <r>
    <n v="703"/>
    <x v="31"/>
    <s v="winter"/>
    <s v="FEBRUARY"/>
    <n v="15"/>
    <s v="NO"/>
    <x v="3"/>
    <s v="Mist"/>
    <n v="9.84"/>
    <n v="0.75"/>
    <n v="0"/>
    <n v="7"/>
    <n v="45"/>
    <n v="52"/>
  </r>
  <r>
    <n v="704"/>
    <x v="31"/>
    <s v="winter"/>
    <s v="FEBRUARY"/>
    <n v="16"/>
    <s v="NO"/>
    <x v="3"/>
    <s v="Mist"/>
    <n v="9.84"/>
    <n v="0.75"/>
    <n v="0.1343"/>
    <n v="3"/>
    <n v="61"/>
    <n v="64"/>
  </r>
  <r>
    <n v="705"/>
    <x v="31"/>
    <s v="winter"/>
    <s v="FEBRUARY"/>
    <n v="17"/>
    <s v="NO"/>
    <x v="3"/>
    <s v="Mist"/>
    <n v="9.84"/>
    <n v="0.75"/>
    <n v="0"/>
    <n v="4"/>
    <n v="172"/>
    <n v="176"/>
  </r>
  <r>
    <n v="706"/>
    <x v="31"/>
    <s v="winter"/>
    <s v="FEBRUARY"/>
    <n v="18"/>
    <s v="NO"/>
    <x v="3"/>
    <s v="Mist"/>
    <n v="9.84"/>
    <n v="0.81"/>
    <n v="0.1045"/>
    <n v="3"/>
    <n v="165"/>
    <n v="168"/>
  </r>
  <r>
    <n v="707"/>
    <x v="31"/>
    <s v="winter"/>
    <s v="FEBRUARY"/>
    <n v="19"/>
    <s v="NO"/>
    <x v="3"/>
    <s v="Mist"/>
    <n v="9.84"/>
    <n v="0.81"/>
    <n v="0.1343"/>
    <n v="3"/>
    <n v="105"/>
    <n v="108"/>
  </r>
  <r>
    <n v="708"/>
    <x v="31"/>
    <s v="winter"/>
    <s v="FEBRUARY"/>
    <n v="20"/>
    <s v="NO"/>
    <x v="3"/>
    <s v="Mist"/>
    <n v="9.02"/>
    <n v="0.87"/>
    <n v="0.1343"/>
    <n v="5"/>
    <n v="69"/>
    <n v="74"/>
  </r>
  <r>
    <n v="709"/>
    <x v="31"/>
    <s v="winter"/>
    <s v="FEBRUARY"/>
    <n v="21"/>
    <s v="NO"/>
    <x v="3"/>
    <s v="Mist"/>
    <n v="9.02"/>
    <n v="0.87"/>
    <n v="0.1343"/>
    <n v="0"/>
    <n v="64"/>
    <n v="64"/>
  </r>
  <r>
    <n v="710"/>
    <x v="31"/>
    <s v="winter"/>
    <s v="FEBRUARY"/>
    <n v="22"/>
    <s v="NO"/>
    <x v="3"/>
    <s v="Mist"/>
    <n v="9.02"/>
    <n v="0.87"/>
    <n v="8.9599999999999999E-2"/>
    <n v="2"/>
    <n v="34"/>
    <n v="36"/>
  </r>
  <r>
    <n v="711"/>
    <x v="31"/>
    <s v="winter"/>
    <s v="FEBRUARY"/>
    <n v="23"/>
    <s v="NO"/>
    <x v="3"/>
    <s v="Dark Cloud"/>
    <n v="8.2000000000000011"/>
    <n v="0.93"/>
    <n v="0.19400000000000001"/>
    <n v="1"/>
    <n v="15"/>
    <n v="16"/>
  </r>
  <r>
    <n v="712"/>
    <x v="32"/>
    <s v="winter"/>
    <s v="FEBRUARY"/>
    <n v="0"/>
    <s v="NO"/>
    <x v="4"/>
    <s v="Dark Cloud"/>
    <n v="9.02"/>
    <n v="0.93"/>
    <n v="0.1045"/>
    <n v="0"/>
    <n v="2"/>
    <n v="2"/>
  </r>
  <r>
    <n v="713"/>
    <x v="32"/>
    <s v="winter"/>
    <s v="FEBRUARY"/>
    <n v="1"/>
    <s v="NO"/>
    <x v="4"/>
    <s v="Dark Cloud"/>
    <n v="9.02"/>
    <n v="0.93"/>
    <n v="0.19400000000000001"/>
    <n v="0"/>
    <n v="3"/>
    <n v="3"/>
  </r>
  <r>
    <n v="714"/>
    <x v="32"/>
    <s v="winter"/>
    <s v="FEBRUARY"/>
    <n v="2"/>
    <s v="NO"/>
    <x v="4"/>
    <s v="Dark Cloud"/>
    <n v="9.02"/>
    <n v="0.93"/>
    <n v="0.1343"/>
    <n v="4"/>
    <n v="0"/>
    <n v="4"/>
  </r>
  <r>
    <n v="715"/>
    <x v="32"/>
    <s v="winter"/>
    <s v="FEBRUARY"/>
    <n v="3"/>
    <s v="NO"/>
    <x v="4"/>
    <s v="Dark Cloud"/>
    <n v="9.02"/>
    <n v="0.93"/>
    <n v="0.1343"/>
    <n v="0"/>
    <n v="1"/>
    <n v="1"/>
  </r>
  <r>
    <n v="716"/>
    <x v="32"/>
    <s v="winter"/>
    <s v="FEBRUARY"/>
    <n v="4"/>
    <s v="NO"/>
    <x v="4"/>
    <s v="Dark Cloud"/>
    <n v="9.02"/>
    <n v="0.93"/>
    <n v="0.28360000000000002"/>
    <n v="0"/>
    <n v="1"/>
    <n v="1"/>
  </r>
  <r>
    <n v="717"/>
    <x v="32"/>
    <s v="winter"/>
    <s v="FEBRUARY"/>
    <n v="5"/>
    <s v="NO"/>
    <x v="4"/>
    <s v="Dark Cloud"/>
    <n v="9.02"/>
    <n v="0.93"/>
    <n v="0.1045"/>
    <n v="0"/>
    <n v="3"/>
    <n v="3"/>
  </r>
  <r>
    <n v="718"/>
    <x v="32"/>
    <s v="winter"/>
    <s v="FEBRUARY"/>
    <n v="6"/>
    <s v="NO"/>
    <x v="4"/>
    <s v="Dark Cloud"/>
    <n v="9.02"/>
    <n v="0.93"/>
    <n v="0.1045"/>
    <n v="1"/>
    <n v="17"/>
    <n v="18"/>
  </r>
  <r>
    <n v="719"/>
    <x v="32"/>
    <s v="winter"/>
    <s v="FEBRUARY"/>
    <n v="7"/>
    <s v="NO"/>
    <x v="4"/>
    <s v="Dark Cloud"/>
    <n v="9.02"/>
    <n v="0.93"/>
    <n v="0.22389999999999999"/>
    <n v="1"/>
    <n v="48"/>
    <n v="49"/>
  </r>
  <r>
    <n v="720"/>
    <x v="32"/>
    <s v="winter"/>
    <s v="FEBRUARY"/>
    <n v="8"/>
    <s v="NO"/>
    <x v="4"/>
    <s v="Dark Cloud"/>
    <n v="9.02"/>
    <n v="0.93"/>
    <n v="0.22389999999999999"/>
    <n v="1"/>
    <n v="154"/>
    <n v="155"/>
  </r>
  <r>
    <n v="721"/>
    <x v="32"/>
    <s v="winter"/>
    <s v="FEBRUARY"/>
    <n v="9"/>
    <s v="NO"/>
    <x v="4"/>
    <s v="Mist"/>
    <n v="9.84"/>
    <n v="0.93"/>
    <n v="8.9599999999999999E-2"/>
    <n v="4"/>
    <n v="119"/>
    <n v="123"/>
  </r>
  <r>
    <n v="722"/>
    <x v="32"/>
    <s v="winter"/>
    <s v="FEBRUARY"/>
    <n v="10"/>
    <s v="NO"/>
    <x v="4"/>
    <s v="Mist"/>
    <n v="9.02"/>
    <n v="1"/>
    <n v="0"/>
    <n v="2"/>
    <n v="59"/>
    <n v="61"/>
  </r>
  <r>
    <n v="723"/>
    <x v="32"/>
    <s v="winter"/>
    <s v="FEBRUARY"/>
    <n v="11"/>
    <s v="NO"/>
    <x v="4"/>
    <s v="Mist"/>
    <n v="9.84"/>
    <n v="0.93"/>
    <n v="0.19400000000000001"/>
    <n v="5"/>
    <n v="47"/>
    <n v="52"/>
  </r>
  <r>
    <n v="724"/>
    <x v="32"/>
    <s v="winter"/>
    <s v="FEBRUARY"/>
    <n v="12"/>
    <s v="NO"/>
    <x v="4"/>
    <s v="Mist"/>
    <n v="9.84"/>
    <n v="0.93"/>
    <n v="0.22389999999999999"/>
    <n v="3"/>
    <n v="61"/>
    <n v="64"/>
  </r>
  <r>
    <n v="725"/>
    <x v="32"/>
    <s v="winter"/>
    <s v="FEBRUARY"/>
    <n v="13"/>
    <s v="NO"/>
    <x v="4"/>
    <s v="Clear Sky"/>
    <n v="13.940000000000001"/>
    <n v="0.93"/>
    <n v="0.16420000000000001"/>
    <n v="1"/>
    <n v="74"/>
    <n v="75"/>
  </r>
  <r>
    <n v="726"/>
    <x v="32"/>
    <s v="winter"/>
    <s v="FEBRUARY"/>
    <n v="14"/>
    <s v="NO"/>
    <x v="4"/>
    <s v="Clear Sky"/>
    <n v="15.58"/>
    <n v="0.82"/>
    <n v="0.3881"/>
    <n v="2"/>
    <n v="61"/>
    <n v="63"/>
  </r>
  <r>
    <n v="727"/>
    <x v="32"/>
    <s v="winter"/>
    <s v="FEBRUARY"/>
    <n v="15"/>
    <s v="NO"/>
    <x v="4"/>
    <s v="Clear Sky"/>
    <n v="15.58"/>
    <n v="0.76"/>
    <n v="0.32840000000000003"/>
    <n v="10"/>
    <n v="66"/>
    <n v="76"/>
  </r>
  <r>
    <n v="728"/>
    <x v="32"/>
    <s v="winter"/>
    <s v="FEBRUARY"/>
    <n v="16"/>
    <s v="NO"/>
    <x v="4"/>
    <s v="Clear Sky"/>
    <n v="14.76"/>
    <n v="0.71"/>
    <n v="0.29849999999999999"/>
    <n v="8"/>
    <n v="95"/>
    <n v="103"/>
  </r>
  <r>
    <n v="729"/>
    <x v="32"/>
    <s v="winter"/>
    <s v="FEBRUARY"/>
    <n v="17"/>
    <s v="NO"/>
    <x v="4"/>
    <s v="Clear Sky"/>
    <n v="14.76"/>
    <n v="0.53"/>
    <n v="0.52239999999999998"/>
    <n v="7"/>
    <n v="183"/>
    <n v="190"/>
  </r>
  <r>
    <n v="730"/>
    <x v="32"/>
    <s v="winter"/>
    <s v="FEBRUARY"/>
    <n v="18"/>
    <s v="NO"/>
    <x v="4"/>
    <s v="Clear Sky"/>
    <n v="13.940000000000001"/>
    <n v="0.42"/>
    <n v="0.55220000000000002"/>
    <n v="7"/>
    <n v="175"/>
    <n v="182"/>
  </r>
  <r>
    <n v="731"/>
    <x v="32"/>
    <s v="winter"/>
    <s v="FEBRUARY"/>
    <n v="19"/>
    <s v="NO"/>
    <x v="4"/>
    <s v="Clear Sky"/>
    <n v="11.48"/>
    <n v="0.45"/>
    <n v="0.49249999999999999"/>
    <n v="3"/>
    <n v="88"/>
    <n v="91"/>
  </r>
  <r>
    <n v="732"/>
    <x v="32"/>
    <s v="winter"/>
    <s v="FEBRUARY"/>
    <n v="20"/>
    <s v="NO"/>
    <x v="4"/>
    <s v="Clear Sky"/>
    <n v="9.84"/>
    <n v="0.48"/>
    <n v="0.55220000000000002"/>
    <n v="4"/>
    <n v="71"/>
    <n v="75"/>
  </r>
  <r>
    <n v="733"/>
    <x v="32"/>
    <s v="winter"/>
    <s v="FEBRUARY"/>
    <n v="21"/>
    <s v="NO"/>
    <x v="4"/>
    <s v="Clear Sky"/>
    <n v="9.02"/>
    <n v="0.47"/>
    <n v="0.32840000000000003"/>
    <n v="1"/>
    <n v="62"/>
    <n v="63"/>
  </r>
  <r>
    <n v="734"/>
    <x v="32"/>
    <s v="winter"/>
    <s v="FEBRUARY"/>
    <n v="22"/>
    <s v="NO"/>
    <x v="4"/>
    <s v="Clear Sky"/>
    <n v="9.02"/>
    <n v="0.44"/>
    <n v="0.25369999999999998"/>
    <n v="5"/>
    <n v="35"/>
    <n v="40"/>
  </r>
  <r>
    <n v="735"/>
    <x v="32"/>
    <s v="winter"/>
    <s v="FEBRUARY"/>
    <n v="23"/>
    <s v="NO"/>
    <x v="4"/>
    <s v="Clear Sky"/>
    <n v="8.2000000000000011"/>
    <n v="0.44"/>
    <n v="0.44779999999999998"/>
    <n v="3"/>
    <n v="29"/>
    <n v="32"/>
  </r>
  <r>
    <n v="736"/>
    <x v="33"/>
    <s v="winter"/>
    <s v="FEBRUARY"/>
    <n v="0"/>
    <s v="NO"/>
    <x v="5"/>
    <s v="Clear Sky"/>
    <n v="8.2000000000000011"/>
    <n v="0.4"/>
    <n v="0.44779999999999998"/>
    <n v="1"/>
    <n v="11"/>
    <n v="12"/>
  </r>
  <r>
    <n v="737"/>
    <x v="33"/>
    <s v="winter"/>
    <s v="FEBRUARY"/>
    <n v="1"/>
    <s v="NO"/>
    <x v="5"/>
    <s v="Clear Sky"/>
    <n v="8.2000000000000011"/>
    <n v="0.44"/>
    <n v="0.52239999999999998"/>
    <n v="0"/>
    <n v="5"/>
    <n v="5"/>
  </r>
  <r>
    <n v="738"/>
    <x v="33"/>
    <s v="winter"/>
    <s v="FEBRUARY"/>
    <n v="2"/>
    <s v="NO"/>
    <x v="5"/>
    <s v="Clear Sky"/>
    <n v="7.38"/>
    <n v="0.43"/>
    <n v="0.25369999999999998"/>
    <n v="0"/>
    <n v="2"/>
    <n v="2"/>
  </r>
  <r>
    <n v="739"/>
    <x v="33"/>
    <s v="winter"/>
    <s v="FEBRUARY"/>
    <n v="3"/>
    <s v="NO"/>
    <x v="5"/>
    <s v="Clear Sky"/>
    <n v="7.38"/>
    <n v="0.43"/>
    <n v="0.25369999999999998"/>
    <n v="0"/>
    <n v="1"/>
    <n v="1"/>
  </r>
  <r>
    <n v="740"/>
    <x v="33"/>
    <s v="winter"/>
    <s v="FEBRUARY"/>
    <n v="5"/>
    <s v="NO"/>
    <x v="5"/>
    <s v="Clear Sky"/>
    <n v="6.5600000000000005"/>
    <n v="0.5"/>
    <n v="0.29849999999999999"/>
    <n v="0"/>
    <n v="2"/>
    <n v="2"/>
  </r>
  <r>
    <n v="741"/>
    <x v="33"/>
    <s v="winter"/>
    <s v="FEBRUARY"/>
    <n v="6"/>
    <s v="NO"/>
    <x v="5"/>
    <s v="Clear Sky"/>
    <n v="6.5600000000000005"/>
    <n v="0.43"/>
    <n v="0.35820000000000002"/>
    <n v="0"/>
    <n v="39"/>
    <n v="39"/>
  </r>
  <r>
    <n v="742"/>
    <x v="33"/>
    <s v="winter"/>
    <s v="FEBRUARY"/>
    <n v="7"/>
    <s v="NO"/>
    <x v="5"/>
    <s v="Clear Sky"/>
    <n v="5.74"/>
    <n v="0.5"/>
    <n v="0.32840000000000003"/>
    <n v="1"/>
    <n v="86"/>
    <n v="87"/>
  </r>
  <r>
    <n v="743"/>
    <x v="33"/>
    <s v="winter"/>
    <s v="FEBRUARY"/>
    <n v="8"/>
    <s v="NO"/>
    <x v="5"/>
    <s v="Clear Sky"/>
    <n v="5.74"/>
    <n v="0.5"/>
    <n v="0.35820000000000002"/>
    <n v="4"/>
    <n v="184"/>
    <n v="188"/>
  </r>
  <r>
    <n v="744"/>
    <x v="33"/>
    <s v="winter"/>
    <s v="FEBRUARY"/>
    <n v="9"/>
    <s v="NO"/>
    <x v="5"/>
    <s v="Clear Sky"/>
    <n v="6.5600000000000005"/>
    <n v="0.47"/>
    <n v="0.29849999999999999"/>
    <n v="6"/>
    <n v="127"/>
    <n v="133"/>
  </r>
  <r>
    <n v="745"/>
    <x v="33"/>
    <s v="winter"/>
    <s v="FEBRUARY"/>
    <n v="10"/>
    <s v="NO"/>
    <x v="5"/>
    <s v="Clear Sky"/>
    <n v="7.38"/>
    <n v="0.43"/>
    <n v="0.32840000000000003"/>
    <n v="2"/>
    <n v="50"/>
    <n v="52"/>
  </r>
  <r>
    <n v="746"/>
    <x v="33"/>
    <s v="winter"/>
    <s v="FEBRUARY"/>
    <n v="11"/>
    <s v="NO"/>
    <x v="5"/>
    <s v="Clear Sky"/>
    <n v="7.38"/>
    <n v="0.43"/>
    <n v="0.44779999999999998"/>
    <n v="9"/>
    <n v="55"/>
    <n v="64"/>
  </r>
  <r>
    <n v="747"/>
    <x v="33"/>
    <s v="winter"/>
    <s v="FEBRUARY"/>
    <n v="12"/>
    <s v="NO"/>
    <x v="5"/>
    <s v="Clear Sky"/>
    <n v="8.2000000000000011"/>
    <n v="0.4"/>
    <n v="0.35820000000000002"/>
    <n v="2"/>
    <n v="67"/>
    <n v="69"/>
  </r>
  <r>
    <n v="748"/>
    <x v="33"/>
    <s v="winter"/>
    <s v="FEBRUARY"/>
    <n v="13"/>
    <s v="NO"/>
    <x v="5"/>
    <s v="Clear Sky"/>
    <n v="8.2000000000000011"/>
    <n v="0.4"/>
    <n v="0.41789999999999999"/>
    <n v="4"/>
    <n v="47"/>
    <n v="51"/>
  </r>
  <r>
    <n v="749"/>
    <x v="33"/>
    <s v="winter"/>
    <s v="FEBRUARY"/>
    <n v="14"/>
    <s v="NO"/>
    <x v="5"/>
    <s v="Clear Sky"/>
    <n v="9.02"/>
    <n v="0.37"/>
    <n v="0.3881"/>
    <n v="4"/>
    <n v="43"/>
    <n v="47"/>
  </r>
  <r>
    <n v="750"/>
    <x v="33"/>
    <s v="winter"/>
    <s v="FEBRUARY"/>
    <n v="15"/>
    <s v="NO"/>
    <x v="5"/>
    <s v="Clear Sky"/>
    <n v="9.02"/>
    <n v="0.37"/>
    <n v="0.32840000000000003"/>
    <n v="4"/>
    <n v="56"/>
    <n v="60"/>
  </r>
  <r>
    <n v="751"/>
    <x v="33"/>
    <s v="winter"/>
    <s v="FEBRUARY"/>
    <n v="16"/>
    <s v="NO"/>
    <x v="5"/>
    <s v="Clear Sky"/>
    <n v="9.02"/>
    <n v="0.37"/>
    <n v="0.25369999999999998"/>
    <n v="5"/>
    <n v="73"/>
    <n v="78"/>
  </r>
  <r>
    <n v="752"/>
    <x v="33"/>
    <s v="winter"/>
    <s v="FEBRUARY"/>
    <n v="17"/>
    <s v="NO"/>
    <x v="5"/>
    <s v="Clear Sky"/>
    <n v="8.2000000000000011"/>
    <n v="0.4"/>
    <n v="0.19400000000000001"/>
    <n v="5"/>
    <n v="170"/>
    <n v="175"/>
  </r>
  <r>
    <n v="753"/>
    <x v="33"/>
    <s v="winter"/>
    <s v="FEBRUARY"/>
    <n v="18"/>
    <s v="NO"/>
    <x v="5"/>
    <s v="Clear Sky"/>
    <n v="8.2000000000000011"/>
    <n v="0.4"/>
    <n v="0.16420000000000001"/>
    <n v="2"/>
    <n v="145"/>
    <n v="147"/>
  </r>
  <r>
    <n v="754"/>
    <x v="33"/>
    <s v="winter"/>
    <s v="FEBRUARY"/>
    <n v="19"/>
    <s v="NO"/>
    <x v="5"/>
    <s v="Clear Sky"/>
    <n v="8.2000000000000011"/>
    <n v="0.4"/>
    <n v="0"/>
    <n v="4"/>
    <n v="92"/>
    <n v="96"/>
  </r>
  <r>
    <n v="755"/>
    <x v="33"/>
    <s v="winter"/>
    <s v="FEBRUARY"/>
    <n v="20"/>
    <s v="NO"/>
    <x v="5"/>
    <s v="Clear Sky"/>
    <n v="8.2000000000000011"/>
    <n v="0.47"/>
    <n v="8.9599999999999999E-2"/>
    <n v="1"/>
    <n v="108"/>
    <n v="109"/>
  </r>
  <r>
    <n v="756"/>
    <x v="33"/>
    <s v="winter"/>
    <s v="FEBRUARY"/>
    <n v="21"/>
    <s v="NO"/>
    <x v="5"/>
    <s v="Clear Sky"/>
    <n v="7.38"/>
    <n v="0.55000000000000004"/>
    <n v="0.1045"/>
    <n v="1"/>
    <n v="53"/>
    <n v="54"/>
  </r>
  <r>
    <n v="757"/>
    <x v="33"/>
    <s v="winter"/>
    <s v="FEBRUARY"/>
    <n v="22"/>
    <s v="NO"/>
    <x v="5"/>
    <s v="Clear Sky"/>
    <n v="7.38"/>
    <n v="0.51"/>
    <n v="8.9599999999999999E-2"/>
    <n v="2"/>
    <n v="39"/>
    <n v="41"/>
  </r>
  <r>
    <n v="758"/>
    <x v="33"/>
    <s v="winter"/>
    <s v="FEBRUARY"/>
    <n v="23"/>
    <s v="NO"/>
    <x v="5"/>
    <s v="Clear Sky"/>
    <n v="8.2000000000000011"/>
    <n v="0.47"/>
    <n v="0.1045"/>
    <n v="4"/>
    <n v="34"/>
    <n v="38"/>
  </r>
  <r>
    <n v="759"/>
    <x v="34"/>
    <s v="winter"/>
    <s v="FEBRUARY"/>
    <n v="0"/>
    <s v="NO"/>
    <x v="6"/>
    <s v="Mist"/>
    <n v="8.2000000000000011"/>
    <n v="0.44"/>
    <n v="0"/>
    <n v="3"/>
    <n v="10"/>
    <n v="13"/>
  </r>
  <r>
    <n v="760"/>
    <x v="34"/>
    <s v="winter"/>
    <s v="FEBRUARY"/>
    <n v="1"/>
    <s v="NO"/>
    <x v="6"/>
    <s v="Mist"/>
    <n v="6.5600000000000005"/>
    <n v="0.59"/>
    <n v="0"/>
    <n v="0"/>
    <n v="7"/>
    <n v="7"/>
  </r>
  <r>
    <n v="761"/>
    <x v="34"/>
    <s v="winter"/>
    <s v="FEBRUARY"/>
    <n v="2"/>
    <s v="NO"/>
    <x v="6"/>
    <s v="Mist"/>
    <n v="5.74"/>
    <n v="0.63"/>
    <n v="0.1045"/>
    <n v="0"/>
    <n v="1"/>
    <n v="1"/>
  </r>
  <r>
    <n v="762"/>
    <x v="34"/>
    <s v="winter"/>
    <s v="FEBRUARY"/>
    <n v="3"/>
    <s v="NO"/>
    <x v="6"/>
    <s v="Mist"/>
    <n v="5.74"/>
    <n v="0.63"/>
    <n v="0.1045"/>
    <n v="0"/>
    <n v="1"/>
    <n v="1"/>
  </r>
  <r>
    <n v="763"/>
    <x v="34"/>
    <s v="winter"/>
    <s v="FEBRUARY"/>
    <n v="5"/>
    <s v="NO"/>
    <x v="6"/>
    <s v="Mist"/>
    <n v="5.74"/>
    <n v="0.63"/>
    <n v="0.1343"/>
    <n v="0"/>
    <n v="7"/>
    <n v="7"/>
  </r>
  <r>
    <n v="764"/>
    <x v="34"/>
    <s v="winter"/>
    <s v="FEBRUARY"/>
    <n v="6"/>
    <s v="NO"/>
    <x v="6"/>
    <s v="Mist"/>
    <n v="6.5600000000000005"/>
    <n v="0.55000000000000004"/>
    <n v="0"/>
    <n v="2"/>
    <n v="26"/>
    <n v="28"/>
  </r>
  <r>
    <n v="765"/>
    <x v="34"/>
    <s v="winter"/>
    <s v="FEBRUARY"/>
    <n v="7"/>
    <s v="NO"/>
    <x v="6"/>
    <s v="Clear Sky"/>
    <n v="5.74"/>
    <n v="0.59"/>
    <n v="0"/>
    <n v="0"/>
    <n v="87"/>
    <n v="87"/>
  </r>
  <r>
    <n v="766"/>
    <x v="34"/>
    <s v="winter"/>
    <s v="FEBRUARY"/>
    <n v="8"/>
    <s v="NO"/>
    <x v="6"/>
    <s v="Clear Sky"/>
    <n v="5.74"/>
    <n v="0.74"/>
    <n v="0.1343"/>
    <n v="3"/>
    <n v="217"/>
    <n v="220"/>
  </r>
  <r>
    <n v="767"/>
    <x v="34"/>
    <s v="winter"/>
    <s v="FEBRUARY"/>
    <n v="9"/>
    <s v="NO"/>
    <x v="6"/>
    <s v="Mist"/>
    <n v="6.5600000000000005"/>
    <n v="0.8"/>
    <n v="0.1343"/>
    <n v="3"/>
    <n v="124"/>
    <n v="127"/>
  </r>
  <r>
    <n v="768"/>
    <x v="34"/>
    <s v="winter"/>
    <s v="FEBRUARY"/>
    <n v="10"/>
    <s v="NO"/>
    <x v="6"/>
    <s v="Mist"/>
    <n v="8.2000000000000011"/>
    <n v="0.51"/>
    <n v="0.1343"/>
    <n v="5"/>
    <n v="46"/>
    <n v="51"/>
  </r>
  <r>
    <n v="769"/>
    <x v="34"/>
    <s v="winter"/>
    <s v="FEBRUARY"/>
    <n v="11"/>
    <s v="NO"/>
    <x v="6"/>
    <s v="Clear Sky"/>
    <n v="9.02"/>
    <n v="0.51"/>
    <n v="0.16420000000000001"/>
    <n v="3"/>
    <n v="61"/>
    <n v="64"/>
  </r>
  <r>
    <n v="770"/>
    <x v="34"/>
    <s v="winter"/>
    <s v="FEBRUARY"/>
    <n v="12"/>
    <s v="NO"/>
    <x v="6"/>
    <s v="Mist"/>
    <n v="9.84"/>
    <n v="0.48"/>
    <n v="0.16420000000000001"/>
    <n v="8"/>
    <n v="78"/>
    <n v="86"/>
  </r>
  <r>
    <n v="771"/>
    <x v="34"/>
    <s v="winter"/>
    <s v="FEBRUARY"/>
    <n v="13"/>
    <s v="NO"/>
    <x v="6"/>
    <s v="Mist"/>
    <n v="10.66"/>
    <n v="0.5"/>
    <n v="0.22389999999999999"/>
    <n v="9"/>
    <n v="73"/>
    <n v="82"/>
  </r>
  <r>
    <n v="772"/>
    <x v="34"/>
    <s v="winter"/>
    <s v="FEBRUARY"/>
    <n v="14"/>
    <s v="NO"/>
    <x v="6"/>
    <s v="Mist"/>
    <n v="11.48"/>
    <n v="0.45"/>
    <n v="0.16420000000000001"/>
    <n v="15"/>
    <n v="76"/>
    <n v="91"/>
  </r>
  <r>
    <n v="773"/>
    <x v="34"/>
    <s v="winter"/>
    <s v="FEBRUARY"/>
    <n v="15"/>
    <s v="NO"/>
    <x v="6"/>
    <s v="Mist"/>
    <n v="11.48"/>
    <n v="0.48"/>
    <n v="0.25369999999999998"/>
    <n v="9"/>
    <n v="81"/>
    <n v="90"/>
  </r>
  <r>
    <n v="774"/>
    <x v="34"/>
    <s v="winter"/>
    <s v="FEBRUARY"/>
    <n v="16"/>
    <s v="NO"/>
    <x v="6"/>
    <s v="Mist"/>
    <n v="12.299999999999999"/>
    <n v="0.42"/>
    <n v="0.22389999999999999"/>
    <n v="8"/>
    <n v="91"/>
    <n v="99"/>
  </r>
  <r>
    <n v="775"/>
    <x v="34"/>
    <s v="winter"/>
    <s v="FEBRUARY"/>
    <n v="17"/>
    <s v="NO"/>
    <x v="6"/>
    <s v="Mist"/>
    <n v="10.66"/>
    <n v="0.56000000000000005"/>
    <n v="0.1343"/>
    <n v="10"/>
    <n v="195"/>
    <n v="205"/>
  </r>
  <r>
    <n v="776"/>
    <x v="34"/>
    <s v="winter"/>
    <s v="FEBRUARY"/>
    <n v="18"/>
    <s v="NO"/>
    <x v="6"/>
    <s v="Mist"/>
    <n v="9.84"/>
    <n v="0.6"/>
    <n v="0.1045"/>
    <n v="3"/>
    <n v="152"/>
    <n v="155"/>
  </r>
  <r>
    <n v="777"/>
    <x v="34"/>
    <s v="winter"/>
    <s v="FEBRUARY"/>
    <n v="19"/>
    <s v="NO"/>
    <x v="6"/>
    <s v="Mist"/>
    <n v="9.84"/>
    <n v="0.65"/>
    <n v="0.1343"/>
    <n v="1"/>
    <n v="102"/>
    <n v="103"/>
  </r>
  <r>
    <n v="778"/>
    <x v="34"/>
    <s v="winter"/>
    <s v="FEBRUARY"/>
    <n v="20"/>
    <s v="NO"/>
    <x v="6"/>
    <s v="Mist"/>
    <n v="9.84"/>
    <n v="0.65"/>
    <n v="0.16420000000000001"/>
    <n v="2"/>
    <n v="69"/>
    <n v="71"/>
  </r>
  <r>
    <n v="779"/>
    <x v="34"/>
    <s v="winter"/>
    <s v="FEBRUARY"/>
    <n v="21"/>
    <s v="NO"/>
    <x v="6"/>
    <s v="Mist"/>
    <n v="9.84"/>
    <n v="0.7"/>
    <n v="0.16420000000000001"/>
    <n v="2"/>
    <n v="41"/>
    <n v="43"/>
  </r>
  <r>
    <n v="780"/>
    <x v="34"/>
    <s v="winter"/>
    <s v="FEBRUARY"/>
    <n v="22"/>
    <s v="NO"/>
    <x v="6"/>
    <s v="Mist"/>
    <n v="9.84"/>
    <n v="0.65"/>
    <n v="0.16420000000000001"/>
    <n v="1"/>
    <n v="45"/>
    <n v="46"/>
  </r>
  <r>
    <n v="781"/>
    <x v="34"/>
    <s v="winter"/>
    <s v="FEBRUARY"/>
    <n v="23"/>
    <s v="NO"/>
    <x v="6"/>
    <s v="Mist"/>
    <n v="9.84"/>
    <n v="0.7"/>
    <n v="0.1343"/>
    <n v="1"/>
    <n v="30"/>
    <n v="31"/>
  </r>
  <r>
    <n v="782"/>
    <x v="35"/>
    <s v="winter"/>
    <s v="FEBRUARY"/>
    <n v="0"/>
    <s v="NO"/>
    <x v="0"/>
    <s v="Mist"/>
    <n v="9.84"/>
    <n v="0.7"/>
    <n v="0.16420000000000001"/>
    <n v="3"/>
    <n v="36"/>
    <n v="39"/>
  </r>
  <r>
    <n v="783"/>
    <x v="35"/>
    <s v="winter"/>
    <s v="FEBRUARY"/>
    <n v="1"/>
    <s v="NO"/>
    <x v="0"/>
    <s v="Mist"/>
    <n v="9.84"/>
    <n v="0.65"/>
    <n v="0.16420000000000001"/>
    <n v="1"/>
    <n v="17"/>
    <n v="18"/>
  </r>
  <r>
    <n v="784"/>
    <x v="35"/>
    <s v="winter"/>
    <s v="FEBRUARY"/>
    <n v="2"/>
    <s v="NO"/>
    <x v="0"/>
    <s v="Mist"/>
    <n v="9.84"/>
    <n v="0.75"/>
    <n v="0.16420000000000001"/>
    <n v="5"/>
    <n v="12"/>
    <n v="17"/>
  </r>
  <r>
    <n v="785"/>
    <x v="35"/>
    <s v="winter"/>
    <s v="FEBRUARY"/>
    <n v="3"/>
    <s v="NO"/>
    <x v="0"/>
    <s v="Mist"/>
    <n v="9.84"/>
    <n v="0.75"/>
    <n v="0.16420000000000001"/>
    <n v="1"/>
    <n v="10"/>
    <n v="11"/>
  </r>
  <r>
    <n v="786"/>
    <x v="35"/>
    <s v="winter"/>
    <s v="FEBRUARY"/>
    <n v="4"/>
    <s v="NO"/>
    <x v="0"/>
    <s v="Dark Cloud"/>
    <n v="9.02"/>
    <n v="0.93"/>
    <n v="0.1343"/>
    <n v="0"/>
    <n v="8"/>
    <n v="8"/>
  </r>
  <r>
    <n v="787"/>
    <x v="35"/>
    <s v="winter"/>
    <s v="FEBRUARY"/>
    <n v="5"/>
    <s v="NO"/>
    <x v="0"/>
    <s v="Dark Cloud"/>
    <n v="8.2000000000000011"/>
    <n v="1"/>
    <n v="8.9599999999999999E-2"/>
    <n v="0"/>
    <n v="9"/>
    <n v="9"/>
  </r>
  <r>
    <n v="788"/>
    <x v="35"/>
    <s v="winter"/>
    <s v="FEBRUARY"/>
    <n v="6"/>
    <s v="NO"/>
    <x v="0"/>
    <s v="Dark Cloud"/>
    <n v="8.2000000000000011"/>
    <n v="1"/>
    <n v="0"/>
    <n v="0"/>
    <n v="4"/>
    <n v="4"/>
  </r>
  <r>
    <n v="789"/>
    <x v="35"/>
    <s v="winter"/>
    <s v="FEBRUARY"/>
    <n v="7"/>
    <s v="NO"/>
    <x v="0"/>
    <s v="Dark Cloud"/>
    <n v="9.02"/>
    <n v="0.93"/>
    <n v="8.9599999999999999E-2"/>
    <n v="0"/>
    <n v="4"/>
    <n v="4"/>
  </r>
  <r>
    <n v="790"/>
    <x v="35"/>
    <s v="winter"/>
    <s v="FEBRUARY"/>
    <n v="8"/>
    <s v="NO"/>
    <x v="0"/>
    <s v="Dark Cloud"/>
    <n v="8.2000000000000011"/>
    <n v="1"/>
    <n v="8.9599999999999999E-2"/>
    <n v="0"/>
    <n v="10"/>
    <n v="10"/>
  </r>
  <r>
    <n v="791"/>
    <x v="35"/>
    <s v="winter"/>
    <s v="FEBRUARY"/>
    <n v="9"/>
    <s v="NO"/>
    <x v="0"/>
    <s v="Dark Cloud"/>
    <n v="8.2000000000000011"/>
    <n v="1"/>
    <n v="8.9599999999999999E-2"/>
    <n v="3"/>
    <n v="17"/>
    <n v="20"/>
  </r>
  <r>
    <n v="792"/>
    <x v="35"/>
    <s v="winter"/>
    <s v="FEBRUARY"/>
    <n v="10"/>
    <s v="NO"/>
    <x v="0"/>
    <s v="Dark Cloud"/>
    <n v="8.2000000000000011"/>
    <n v="1"/>
    <n v="0.1343"/>
    <n v="3"/>
    <n v="31"/>
    <n v="34"/>
  </r>
  <r>
    <n v="793"/>
    <x v="35"/>
    <s v="winter"/>
    <s v="FEBRUARY"/>
    <n v="11"/>
    <s v="NO"/>
    <x v="0"/>
    <s v="Dark Cloud"/>
    <n v="9.02"/>
    <n v="1"/>
    <n v="0.1343"/>
    <n v="1"/>
    <n v="46"/>
    <n v="47"/>
  </r>
  <r>
    <n v="794"/>
    <x v="35"/>
    <s v="winter"/>
    <s v="FEBRUARY"/>
    <n v="12"/>
    <s v="NO"/>
    <x v="0"/>
    <s v="Dark Cloud"/>
    <n v="9.02"/>
    <n v="1"/>
    <n v="0.16420000000000001"/>
    <n v="10"/>
    <n v="42"/>
    <n v="52"/>
  </r>
  <r>
    <n v="795"/>
    <x v="35"/>
    <s v="winter"/>
    <s v="FEBRUARY"/>
    <n v="13"/>
    <s v="NO"/>
    <x v="0"/>
    <s v="Dark Cloud"/>
    <n v="9.02"/>
    <n v="1"/>
    <n v="0.16420000000000001"/>
    <n v="10"/>
    <n v="62"/>
    <n v="72"/>
  </r>
  <r>
    <n v="796"/>
    <x v="35"/>
    <s v="winter"/>
    <s v="FEBRUARY"/>
    <n v="14"/>
    <s v="NO"/>
    <x v="0"/>
    <s v="Dark Cloud"/>
    <n v="9.02"/>
    <n v="1"/>
    <n v="0"/>
    <n v="5"/>
    <n v="50"/>
    <n v="55"/>
  </r>
  <r>
    <n v="797"/>
    <x v="35"/>
    <s v="winter"/>
    <s v="FEBRUARY"/>
    <n v="15"/>
    <s v="NO"/>
    <x v="0"/>
    <s v="Dark Cloud"/>
    <n v="9.02"/>
    <n v="1"/>
    <n v="0"/>
    <n v="11"/>
    <n v="49"/>
    <n v="60"/>
  </r>
  <r>
    <n v="798"/>
    <x v="35"/>
    <s v="winter"/>
    <s v="FEBRUARY"/>
    <n v="16"/>
    <s v="NO"/>
    <x v="0"/>
    <s v="Dark Cloud"/>
    <n v="9.02"/>
    <n v="1"/>
    <n v="0.1343"/>
    <n v="8"/>
    <n v="63"/>
    <n v="71"/>
  </r>
  <r>
    <n v="799"/>
    <x v="35"/>
    <s v="winter"/>
    <s v="FEBRUARY"/>
    <n v="17"/>
    <s v="NO"/>
    <x v="0"/>
    <s v="Mist"/>
    <n v="9.84"/>
    <n v="1"/>
    <n v="0.28360000000000002"/>
    <n v="14"/>
    <n v="64"/>
    <n v="78"/>
  </r>
  <r>
    <n v="800"/>
    <x v="35"/>
    <s v="winter"/>
    <s v="FEBRUARY"/>
    <n v="18"/>
    <s v="NO"/>
    <x v="0"/>
    <s v="Mist"/>
    <n v="11.48"/>
    <n v="0.93"/>
    <n v="0.44779999999999998"/>
    <n v="2"/>
    <n v="81"/>
    <n v="83"/>
  </r>
  <r>
    <n v="801"/>
    <x v="35"/>
    <s v="winter"/>
    <s v="FEBRUARY"/>
    <n v="19"/>
    <s v="NO"/>
    <x v="0"/>
    <s v="Mist"/>
    <n v="11.48"/>
    <n v="0.93"/>
    <n v="0.44779999999999998"/>
    <n v="6"/>
    <n v="78"/>
    <n v="84"/>
  </r>
  <r>
    <n v="802"/>
    <x v="35"/>
    <s v="winter"/>
    <s v="FEBRUARY"/>
    <n v="20"/>
    <s v="NO"/>
    <x v="0"/>
    <s v="Clear Sky"/>
    <n v="12.299999999999999"/>
    <n v="0.87"/>
    <n v="0.25369999999999998"/>
    <n v="5"/>
    <n v="64"/>
    <n v="69"/>
  </r>
  <r>
    <n v="803"/>
    <x v="35"/>
    <s v="winter"/>
    <s v="FEBRUARY"/>
    <n v="21"/>
    <s v="NO"/>
    <x v="0"/>
    <s v="Clear Sky"/>
    <n v="10.66"/>
    <n v="1"/>
    <n v="0.19400000000000001"/>
    <n v="3"/>
    <n v="53"/>
    <n v="56"/>
  </r>
  <r>
    <n v="804"/>
    <x v="35"/>
    <s v="winter"/>
    <s v="FEBRUARY"/>
    <n v="22"/>
    <s v="NO"/>
    <x v="0"/>
    <s v="Clear Sky"/>
    <n v="10.66"/>
    <n v="0.93"/>
    <n v="0.1343"/>
    <n v="2"/>
    <n v="43"/>
    <n v="45"/>
  </r>
  <r>
    <n v="805"/>
    <x v="35"/>
    <s v="winter"/>
    <s v="FEBRUARY"/>
    <n v="23"/>
    <s v="NO"/>
    <x v="0"/>
    <s v="Clear Sky"/>
    <n v="10.66"/>
    <n v="0.93"/>
    <n v="0.22389999999999999"/>
    <n v="7"/>
    <n v="52"/>
    <n v="59"/>
  </r>
  <r>
    <n v="806"/>
    <x v="36"/>
    <s v="winter"/>
    <s v="FEBRUARY"/>
    <n v="0"/>
    <s v="NO"/>
    <x v="1"/>
    <s v="Clear Sky"/>
    <n v="10.66"/>
    <n v="0.7"/>
    <n v="0.19400000000000001"/>
    <n v="2"/>
    <n v="37"/>
    <n v="39"/>
  </r>
  <r>
    <n v="807"/>
    <x v="36"/>
    <s v="winter"/>
    <s v="FEBRUARY"/>
    <n v="1"/>
    <s v="NO"/>
    <x v="1"/>
    <s v="Clear Sky"/>
    <n v="10.66"/>
    <n v="0.65"/>
    <n v="0.41789999999999999"/>
    <n v="4"/>
    <n v="40"/>
    <n v="44"/>
  </r>
  <r>
    <n v="808"/>
    <x v="36"/>
    <s v="winter"/>
    <s v="FEBRUARY"/>
    <n v="2"/>
    <s v="NO"/>
    <x v="1"/>
    <s v="Clear Sky"/>
    <n v="10.66"/>
    <n v="0.6"/>
    <n v="0.32840000000000003"/>
    <n v="0"/>
    <n v="20"/>
    <n v="20"/>
  </r>
  <r>
    <n v="809"/>
    <x v="36"/>
    <s v="winter"/>
    <s v="FEBRUARY"/>
    <n v="3"/>
    <s v="NO"/>
    <x v="1"/>
    <s v="Clear Sky"/>
    <n v="10.66"/>
    <n v="0.6"/>
    <n v="8.9599999999999999E-2"/>
    <n v="3"/>
    <n v="10"/>
    <n v="13"/>
  </r>
  <r>
    <n v="810"/>
    <x v="36"/>
    <s v="winter"/>
    <s v="FEBRUARY"/>
    <n v="4"/>
    <s v="NO"/>
    <x v="1"/>
    <s v="Clear Sky"/>
    <n v="10.66"/>
    <n v="0.6"/>
    <n v="0.35820000000000002"/>
    <n v="0"/>
    <n v="2"/>
    <n v="2"/>
  </r>
  <r>
    <n v="811"/>
    <x v="36"/>
    <s v="winter"/>
    <s v="FEBRUARY"/>
    <n v="5"/>
    <s v="NO"/>
    <x v="1"/>
    <s v="Clear Sky"/>
    <n v="10.66"/>
    <n v="0.6"/>
    <n v="0.22389999999999999"/>
    <n v="0"/>
    <n v="1"/>
    <n v="1"/>
  </r>
  <r>
    <n v="812"/>
    <x v="36"/>
    <s v="winter"/>
    <s v="FEBRUARY"/>
    <n v="6"/>
    <s v="NO"/>
    <x v="1"/>
    <s v="Clear Sky"/>
    <n v="10.66"/>
    <n v="0.6"/>
    <n v="0.22389999999999999"/>
    <n v="0"/>
    <n v="1"/>
    <n v="1"/>
  </r>
  <r>
    <n v="813"/>
    <x v="36"/>
    <s v="winter"/>
    <s v="FEBRUARY"/>
    <n v="7"/>
    <s v="NO"/>
    <x v="1"/>
    <s v="Clear Sky"/>
    <n v="9.84"/>
    <n v="0.65"/>
    <n v="0.16420000000000001"/>
    <n v="0"/>
    <n v="8"/>
    <n v="8"/>
  </r>
  <r>
    <n v="814"/>
    <x v="36"/>
    <s v="winter"/>
    <s v="FEBRUARY"/>
    <n v="8"/>
    <s v="NO"/>
    <x v="1"/>
    <s v="Clear Sky"/>
    <n v="9.84"/>
    <n v="0.65"/>
    <n v="0.1045"/>
    <n v="2"/>
    <n v="21"/>
    <n v="23"/>
  </r>
  <r>
    <n v="815"/>
    <x v="36"/>
    <s v="winter"/>
    <s v="FEBRUARY"/>
    <n v="9"/>
    <s v="NO"/>
    <x v="1"/>
    <s v="Clear Sky"/>
    <n v="11.48"/>
    <n v="0.56000000000000005"/>
    <n v="0.1045"/>
    <n v="7"/>
    <n v="38"/>
    <n v="45"/>
  </r>
  <r>
    <n v="816"/>
    <x v="36"/>
    <s v="winter"/>
    <s v="FEBRUARY"/>
    <n v="10"/>
    <s v="NO"/>
    <x v="1"/>
    <s v="Clear Sky"/>
    <n v="12.299999999999999"/>
    <n v="0.52"/>
    <n v="0.25369999999999998"/>
    <n v="15"/>
    <n v="74"/>
    <n v="89"/>
  </r>
  <r>
    <n v="817"/>
    <x v="36"/>
    <s v="winter"/>
    <s v="FEBRUARY"/>
    <n v="11"/>
    <s v="NO"/>
    <x v="1"/>
    <s v="Clear Sky"/>
    <n v="13.120000000000001"/>
    <n v="0.49"/>
    <n v="0.25369999999999998"/>
    <n v="28"/>
    <n v="89"/>
    <n v="117"/>
  </r>
  <r>
    <n v="818"/>
    <x v="36"/>
    <s v="winter"/>
    <s v="FEBRUARY"/>
    <n v="12"/>
    <s v="NO"/>
    <x v="1"/>
    <s v="Clear Sky"/>
    <n v="13.940000000000001"/>
    <n v="0.46"/>
    <n v="0"/>
    <n v="48"/>
    <n v="126"/>
    <n v="174"/>
  </r>
  <r>
    <n v="819"/>
    <x v="36"/>
    <s v="winter"/>
    <s v="FEBRUARY"/>
    <n v="13"/>
    <s v="NO"/>
    <x v="1"/>
    <s v="Clear Sky"/>
    <n v="13.940000000000001"/>
    <n v="0.46"/>
    <n v="0"/>
    <n v="47"/>
    <n v="135"/>
    <n v="182"/>
  </r>
  <r>
    <n v="820"/>
    <x v="36"/>
    <s v="winter"/>
    <s v="FEBRUARY"/>
    <n v="14"/>
    <s v="NO"/>
    <x v="1"/>
    <s v="Clear Sky"/>
    <n v="13.940000000000001"/>
    <n v="0.46"/>
    <n v="8.9599999999999999E-2"/>
    <n v="47"/>
    <n v="114"/>
    <n v="161"/>
  </r>
  <r>
    <n v="821"/>
    <x v="36"/>
    <s v="winter"/>
    <s v="FEBRUARY"/>
    <n v="15"/>
    <s v="NO"/>
    <x v="1"/>
    <s v="Clear Sky"/>
    <n v="13.940000000000001"/>
    <n v="0.46"/>
    <n v="8.9599999999999999E-2"/>
    <n v="52"/>
    <n v="130"/>
    <n v="182"/>
  </r>
  <r>
    <n v="822"/>
    <x v="36"/>
    <s v="winter"/>
    <s v="FEBRUARY"/>
    <n v="16"/>
    <s v="NO"/>
    <x v="1"/>
    <s v="Clear Sky"/>
    <n v="13.940000000000001"/>
    <n v="0.49"/>
    <n v="0.1045"/>
    <n v="42"/>
    <n v="115"/>
    <n v="157"/>
  </r>
  <r>
    <n v="823"/>
    <x v="36"/>
    <s v="winter"/>
    <s v="FEBRUARY"/>
    <n v="17"/>
    <s v="NO"/>
    <x v="1"/>
    <s v="Clear Sky"/>
    <n v="13.940000000000001"/>
    <n v="0.46"/>
    <n v="0"/>
    <n v="24"/>
    <n v="97"/>
    <n v="121"/>
  </r>
  <r>
    <n v="824"/>
    <x v="36"/>
    <s v="winter"/>
    <s v="FEBRUARY"/>
    <n v="18"/>
    <s v="NO"/>
    <x v="1"/>
    <s v="Clear Sky"/>
    <n v="12.299999999999999"/>
    <n v="0.56000000000000005"/>
    <n v="0.16420000000000001"/>
    <n v="13"/>
    <n v="65"/>
    <n v="78"/>
  </r>
  <r>
    <n v="825"/>
    <x v="36"/>
    <s v="winter"/>
    <s v="FEBRUARY"/>
    <n v="19"/>
    <s v="NO"/>
    <x v="1"/>
    <s v="Clear Sky"/>
    <n v="11.48"/>
    <n v="0.61"/>
    <n v="0.1343"/>
    <n v="1"/>
    <n v="20"/>
    <n v="21"/>
  </r>
  <r>
    <n v="826"/>
    <x v="36"/>
    <s v="winter"/>
    <s v="FEBRUARY"/>
    <n v="20"/>
    <s v="NO"/>
    <x v="1"/>
    <s v="Clear Sky"/>
    <n v="11.48"/>
    <n v="0.61"/>
    <n v="0.1045"/>
    <n v="5"/>
    <n v="21"/>
    <n v="26"/>
  </r>
  <r>
    <n v="827"/>
    <x v="36"/>
    <s v="winter"/>
    <s v="FEBRUARY"/>
    <n v="21"/>
    <s v="NO"/>
    <x v="1"/>
    <s v="Clear Sky"/>
    <n v="10.66"/>
    <n v="0.6"/>
    <n v="0"/>
    <n v="5"/>
    <n v="22"/>
    <n v="27"/>
  </r>
  <r>
    <n v="828"/>
    <x v="36"/>
    <s v="winter"/>
    <s v="FEBRUARY"/>
    <n v="22"/>
    <s v="NO"/>
    <x v="1"/>
    <s v="Clear Sky"/>
    <n v="10.66"/>
    <n v="0.6"/>
    <n v="0"/>
    <n v="5"/>
    <n v="57"/>
    <n v="62"/>
  </r>
  <r>
    <n v="829"/>
    <x v="36"/>
    <s v="winter"/>
    <s v="FEBRUARY"/>
    <n v="23"/>
    <s v="NO"/>
    <x v="1"/>
    <s v="Clear Sky"/>
    <n v="9.84"/>
    <n v="0.65"/>
    <n v="0"/>
    <n v="4"/>
    <n v="26"/>
    <n v="30"/>
  </r>
  <r>
    <n v="830"/>
    <x v="37"/>
    <s v="winter"/>
    <s v="FEBRUARY"/>
    <n v="0"/>
    <s v="NO"/>
    <x v="2"/>
    <s v="Clear Sky"/>
    <n v="9.84"/>
    <n v="0.65"/>
    <n v="0"/>
    <n v="1"/>
    <n v="14"/>
    <n v="15"/>
  </r>
  <r>
    <n v="831"/>
    <x v="37"/>
    <s v="winter"/>
    <s v="FEBRUARY"/>
    <n v="1"/>
    <s v="NO"/>
    <x v="2"/>
    <s v="Clear Sky"/>
    <n v="9.02"/>
    <n v="0.75"/>
    <n v="0"/>
    <n v="1"/>
    <n v="4"/>
    <n v="5"/>
  </r>
  <r>
    <n v="832"/>
    <x v="37"/>
    <s v="winter"/>
    <s v="FEBRUARY"/>
    <n v="2"/>
    <s v="NO"/>
    <x v="2"/>
    <s v="Clear Sky"/>
    <n v="8.2000000000000011"/>
    <n v="0.8"/>
    <n v="0"/>
    <n v="0"/>
    <n v="3"/>
    <n v="3"/>
  </r>
  <r>
    <n v="833"/>
    <x v="37"/>
    <s v="winter"/>
    <s v="FEBRUARY"/>
    <n v="3"/>
    <s v="NO"/>
    <x v="2"/>
    <s v="Clear Sky"/>
    <n v="8.2000000000000011"/>
    <n v="0.86"/>
    <n v="0"/>
    <n v="0"/>
    <n v="1"/>
    <n v="1"/>
  </r>
  <r>
    <n v="834"/>
    <x v="37"/>
    <s v="winter"/>
    <s v="FEBRUARY"/>
    <n v="4"/>
    <s v="NO"/>
    <x v="2"/>
    <s v="Clear Sky"/>
    <n v="8.2000000000000011"/>
    <n v="0.86"/>
    <n v="0"/>
    <n v="1"/>
    <n v="1"/>
    <n v="2"/>
  </r>
  <r>
    <n v="835"/>
    <x v="37"/>
    <s v="winter"/>
    <s v="FEBRUARY"/>
    <n v="5"/>
    <s v="NO"/>
    <x v="2"/>
    <s v="Clear Sky"/>
    <n v="8.2000000000000011"/>
    <n v="0.86"/>
    <n v="0"/>
    <n v="1"/>
    <n v="9"/>
    <n v="10"/>
  </r>
  <r>
    <n v="836"/>
    <x v="37"/>
    <s v="winter"/>
    <s v="FEBRUARY"/>
    <n v="6"/>
    <s v="NO"/>
    <x v="2"/>
    <s v="Clear Sky"/>
    <n v="7.38"/>
    <n v="0.93"/>
    <n v="0"/>
    <n v="1"/>
    <n v="29"/>
    <n v="30"/>
  </r>
  <r>
    <n v="837"/>
    <x v="37"/>
    <s v="winter"/>
    <s v="FEBRUARY"/>
    <n v="7"/>
    <s v="NO"/>
    <x v="2"/>
    <s v="Clear Sky"/>
    <n v="7.38"/>
    <n v="0.86"/>
    <n v="0"/>
    <n v="6"/>
    <n v="89"/>
    <n v="95"/>
  </r>
  <r>
    <n v="838"/>
    <x v="37"/>
    <s v="winter"/>
    <s v="FEBRUARY"/>
    <n v="8"/>
    <s v="NO"/>
    <x v="2"/>
    <s v="Mist"/>
    <n v="6.5600000000000005"/>
    <n v="1"/>
    <n v="0"/>
    <n v="7"/>
    <n v="223"/>
    <n v="230"/>
  </r>
  <r>
    <n v="839"/>
    <x v="37"/>
    <s v="winter"/>
    <s v="FEBRUARY"/>
    <n v="9"/>
    <s v="NO"/>
    <x v="2"/>
    <s v="Clear Sky"/>
    <n v="9.02"/>
    <n v="0.8"/>
    <n v="0"/>
    <n v="3"/>
    <n v="115"/>
    <n v="118"/>
  </r>
  <r>
    <n v="840"/>
    <x v="37"/>
    <s v="winter"/>
    <s v="FEBRUARY"/>
    <n v="10"/>
    <s v="NO"/>
    <x v="2"/>
    <s v="Clear Sky"/>
    <n v="9.84"/>
    <n v="0.75"/>
    <n v="0.1045"/>
    <n v="6"/>
    <n v="49"/>
    <n v="55"/>
  </r>
  <r>
    <n v="841"/>
    <x v="37"/>
    <s v="winter"/>
    <s v="FEBRUARY"/>
    <n v="11"/>
    <s v="NO"/>
    <x v="2"/>
    <s v="Clear Sky"/>
    <n v="12.299999999999999"/>
    <n v="0.65"/>
    <n v="8.9599999999999999E-2"/>
    <n v="11"/>
    <n v="36"/>
    <n v="47"/>
  </r>
  <r>
    <n v="842"/>
    <x v="37"/>
    <s v="winter"/>
    <s v="FEBRUARY"/>
    <n v="12"/>
    <s v="NO"/>
    <x v="2"/>
    <s v="Mist"/>
    <n v="13.120000000000001"/>
    <n v="0.62"/>
    <n v="0"/>
    <n v="7"/>
    <n v="59"/>
    <n v="66"/>
  </r>
  <r>
    <n v="843"/>
    <x v="37"/>
    <s v="winter"/>
    <s v="FEBRUARY"/>
    <n v="13"/>
    <s v="NO"/>
    <x v="2"/>
    <s v="Mist"/>
    <n v="14.76"/>
    <n v="0.56999999999999995"/>
    <n v="8.9599999999999999E-2"/>
    <n v="10"/>
    <n v="54"/>
    <n v="64"/>
  </r>
  <r>
    <n v="844"/>
    <x v="37"/>
    <s v="winter"/>
    <s v="FEBRUARY"/>
    <n v="14"/>
    <s v="NO"/>
    <x v="2"/>
    <s v="Mist"/>
    <n v="14.76"/>
    <n v="0.56999999999999995"/>
    <n v="8.9599999999999999E-2"/>
    <n v="8"/>
    <n v="52"/>
    <n v="60"/>
  </r>
  <r>
    <n v="845"/>
    <x v="37"/>
    <s v="winter"/>
    <s v="FEBRUARY"/>
    <n v="15"/>
    <s v="NO"/>
    <x v="2"/>
    <s v="Mist"/>
    <n v="15.58"/>
    <n v="0.54"/>
    <n v="8.9599999999999999E-2"/>
    <n v="4"/>
    <n v="46"/>
    <n v="50"/>
  </r>
  <r>
    <n v="846"/>
    <x v="37"/>
    <s v="winter"/>
    <s v="FEBRUARY"/>
    <n v="16"/>
    <s v="NO"/>
    <x v="2"/>
    <s v="Mist"/>
    <n v="14.76"/>
    <n v="0.56999999999999995"/>
    <n v="0.1343"/>
    <n v="16"/>
    <n v="98"/>
    <n v="114"/>
  </r>
  <r>
    <n v="847"/>
    <x v="37"/>
    <s v="winter"/>
    <s v="FEBRUARY"/>
    <n v="17"/>
    <s v="NO"/>
    <x v="2"/>
    <s v="Mist"/>
    <n v="13.120000000000001"/>
    <n v="0.7"/>
    <n v="0.16420000000000001"/>
    <n v="9"/>
    <n v="207"/>
    <n v="216"/>
  </r>
  <r>
    <n v="848"/>
    <x v="37"/>
    <s v="winter"/>
    <s v="FEBRUARY"/>
    <n v="18"/>
    <s v="NO"/>
    <x v="2"/>
    <s v="Mist"/>
    <n v="13.940000000000001"/>
    <n v="0.66"/>
    <n v="0.1343"/>
    <n v="5"/>
    <n v="170"/>
    <n v="175"/>
  </r>
  <r>
    <n v="849"/>
    <x v="37"/>
    <s v="winter"/>
    <s v="FEBRUARY"/>
    <n v="19"/>
    <s v="NO"/>
    <x v="2"/>
    <s v="Mist"/>
    <n v="13.120000000000001"/>
    <n v="0.7"/>
    <n v="0"/>
    <n v="5"/>
    <n v="123"/>
    <n v="128"/>
  </r>
  <r>
    <n v="850"/>
    <x v="37"/>
    <s v="winter"/>
    <s v="FEBRUARY"/>
    <n v="20"/>
    <s v="NO"/>
    <x v="2"/>
    <s v="Mist"/>
    <n v="13.120000000000001"/>
    <n v="0.7"/>
    <n v="0.1045"/>
    <n v="6"/>
    <n v="82"/>
    <n v="88"/>
  </r>
  <r>
    <n v="851"/>
    <x v="37"/>
    <s v="winter"/>
    <s v="FEBRUARY"/>
    <n v="21"/>
    <s v="NO"/>
    <x v="2"/>
    <s v="Clear Sky"/>
    <n v="13.120000000000001"/>
    <n v="0.7"/>
    <n v="0"/>
    <n v="3"/>
    <n v="75"/>
    <n v="78"/>
  </r>
  <r>
    <n v="852"/>
    <x v="37"/>
    <s v="winter"/>
    <s v="FEBRUARY"/>
    <n v="22"/>
    <s v="NO"/>
    <x v="2"/>
    <s v="Clear Sky"/>
    <n v="11.48"/>
    <n v="0.81"/>
    <n v="8.9599999999999999E-2"/>
    <n v="3"/>
    <n v="34"/>
    <n v="37"/>
  </r>
  <r>
    <n v="853"/>
    <x v="37"/>
    <s v="winter"/>
    <s v="FEBRUARY"/>
    <n v="23"/>
    <s v="NO"/>
    <x v="2"/>
    <s v="Mist"/>
    <n v="12.299999999999999"/>
    <n v="0.81"/>
    <n v="0"/>
    <n v="6"/>
    <n v="19"/>
    <n v="25"/>
  </r>
  <r>
    <n v="854"/>
    <x v="38"/>
    <s v="winter"/>
    <s v="FEBRUARY"/>
    <n v="0"/>
    <s v="NO"/>
    <x v="3"/>
    <s v="Mist"/>
    <n v="11.48"/>
    <n v="0.87"/>
    <n v="0"/>
    <n v="4"/>
    <n v="6"/>
    <n v="10"/>
  </r>
  <r>
    <n v="855"/>
    <x v="38"/>
    <s v="winter"/>
    <s v="FEBRUARY"/>
    <n v="1"/>
    <s v="NO"/>
    <x v="3"/>
    <s v="Mist"/>
    <n v="11.48"/>
    <n v="0.87"/>
    <n v="0"/>
    <n v="0"/>
    <n v="4"/>
    <n v="4"/>
  </r>
  <r>
    <n v="856"/>
    <x v="38"/>
    <s v="winter"/>
    <s v="FEBRUARY"/>
    <n v="2"/>
    <s v="NO"/>
    <x v="3"/>
    <s v="Mist"/>
    <n v="10.66"/>
    <n v="0.93"/>
    <n v="0.1045"/>
    <n v="1"/>
    <n v="1"/>
    <n v="2"/>
  </r>
  <r>
    <n v="857"/>
    <x v="38"/>
    <s v="winter"/>
    <s v="FEBRUARY"/>
    <n v="3"/>
    <s v="NO"/>
    <x v="3"/>
    <s v="Dark Cloud"/>
    <n v="11.48"/>
    <n v="0.93"/>
    <n v="0.16420000000000001"/>
    <n v="0"/>
    <n v="1"/>
    <n v="1"/>
  </r>
  <r>
    <n v="858"/>
    <x v="38"/>
    <s v="winter"/>
    <s v="FEBRUARY"/>
    <n v="4"/>
    <s v="NO"/>
    <x v="3"/>
    <s v="Clear Sky"/>
    <n v="10.66"/>
    <n v="0.93"/>
    <n v="0.16420000000000001"/>
    <n v="0"/>
    <n v="3"/>
    <n v="3"/>
  </r>
  <r>
    <n v="859"/>
    <x v="38"/>
    <s v="winter"/>
    <s v="FEBRUARY"/>
    <n v="5"/>
    <s v="NO"/>
    <x v="3"/>
    <s v="Clear Sky"/>
    <n v="10.66"/>
    <n v="0.81"/>
    <n v="0.32840000000000003"/>
    <n v="0"/>
    <n v="2"/>
    <n v="2"/>
  </r>
  <r>
    <n v="860"/>
    <x v="38"/>
    <s v="winter"/>
    <s v="FEBRUARY"/>
    <n v="6"/>
    <s v="NO"/>
    <x v="3"/>
    <s v="Clear Sky"/>
    <n v="10.66"/>
    <n v="0.7"/>
    <n v="0.32840000000000003"/>
    <n v="0"/>
    <n v="39"/>
    <n v="39"/>
  </r>
  <r>
    <n v="861"/>
    <x v="38"/>
    <s v="winter"/>
    <s v="FEBRUARY"/>
    <n v="7"/>
    <s v="NO"/>
    <x v="3"/>
    <s v="Clear Sky"/>
    <n v="9.84"/>
    <n v="0.65"/>
    <n v="0.41789999999999999"/>
    <n v="3"/>
    <n v="97"/>
    <n v="100"/>
  </r>
  <r>
    <n v="862"/>
    <x v="38"/>
    <s v="winter"/>
    <s v="FEBRUARY"/>
    <n v="8"/>
    <s v="NO"/>
    <x v="3"/>
    <s v="Clear Sky"/>
    <n v="9.84"/>
    <n v="0.56000000000000005"/>
    <n v="0.49249999999999999"/>
    <n v="7"/>
    <n v="236"/>
    <n v="243"/>
  </r>
  <r>
    <n v="863"/>
    <x v="38"/>
    <s v="winter"/>
    <s v="FEBRUARY"/>
    <n v="9"/>
    <s v="NO"/>
    <x v="3"/>
    <s v="Clear Sky"/>
    <n v="9.84"/>
    <n v="0.52"/>
    <n v="0.49249999999999999"/>
    <n v="7"/>
    <n v="128"/>
    <n v="135"/>
  </r>
  <r>
    <n v="864"/>
    <x v="38"/>
    <s v="winter"/>
    <s v="FEBRUARY"/>
    <n v="10"/>
    <s v="NO"/>
    <x v="3"/>
    <s v="Clear Sky"/>
    <n v="9.02"/>
    <n v="0.47"/>
    <n v="0.55220000000000002"/>
    <n v="4"/>
    <n v="44"/>
    <n v="48"/>
  </r>
  <r>
    <n v="865"/>
    <x v="38"/>
    <s v="winter"/>
    <s v="FEBRUARY"/>
    <n v="11"/>
    <s v="NO"/>
    <x v="3"/>
    <s v="Clear Sky"/>
    <n v="9.02"/>
    <n v="0.47"/>
    <n v="0.4627"/>
    <n v="1"/>
    <n v="49"/>
    <n v="50"/>
  </r>
  <r>
    <n v="866"/>
    <x v="38"/>
    <s v="winter"/>
    <s v="FEBRUARY"/>
    <n v="12"/>
    <s v="NO"/>
    <x v="3"/>
    <s v="Clear Sky"/>
    <n v="9.84"/>
    <n v="0.38"/>
    <n v="0.49249999999999999"/>
    <n v="2"/>
    <n v="63"/>
    <n v="65"/>
  </r>
  <r>
    <n v="867"/>
    <x v="38"/>
    <s v="winter"/>
    <s v="FEBRUARY"/>
    <n v="13"/>
    <s v="NO"/>
    <x v="3"/>
    <s v="Mist"/>
    <n v="9.84"/>
    <n v="0.32"/>
    <n v="0.44779999999999998"/>
    <n v="2"/>
    <n v="48"/>
    <n v="50"/>
  </r>
  <r>
    <n v="868"/>
    <x v="38"/>
    <s v="winter"/>
    <s v="FEBRUARY"/>
    <n v="14"/>
    <s v="NO"/>
    <x v="3"/>
    <s v="Clear Sky"/>
    <n v="9.02"/>
    <n v="0.37"/>
    <n v="0.41789999999999999"/>
    <n v="3"/>
    <n v="61"/>
    <n v="64"/>
  </r>
  <r>
    <n v="869"/>
    <x v="38"/>
    <s v="winter"/>
    <s v="FEBRUARY"/>
    <n v="15"/>
    <s v="NO"/>
    <x v="3"/>
    <s v="Clear Sky"/>
    <n v="9.02"/>
    <n v="0.35"/>
    <n v="0.3881"/>
    <n v="6"/>
    <n v="45"/>
    <n v="51"/>
  </r>
  <r>
    <n v="870"/>
    <x v="38"/>
    <s v="winter"/>
    <s v="FEBRUARY"/>
    <n v="16"/>
    <s v="NO"/>
    <x v="3"/>
    <s v="Clear Sky"/>
    <n v="9.02"/>
    <n v="0.35"/>
    <n v="0.52239999999999998"/>
    <n v="4"/>
    <n v="79"/>
    <n v="83"/>
  </r>
  <r>
    <n v="871"/>
    <x v="38"/>
    <s v="winter"/>
    <s v="FEBRUARY"/>
    <n v="17"/>
    <s v="NO"/>
    <x v="3"/>
    <s v="Clear Sky"/>
    <n v="9.02"/>
    <n v="0.32"/>
    <n v="0.58209999999999995"/>
    <n v="4"/>
    <n v="172"/>
    <n v="176"/>
  </r>
  <r>
    <n v="872"/>
    <x v="38"/>
    <s v="winter"/>
    <s v="FEBRUARY"/>
    <n v="18"/>
    <s v="NO"/>
    <x v="3"/>
    <s v="Clear Sky"/>
    <n v="8.2000000000000011"/>
    <n v="0.32"/>
    <n v="0.3881"/>
    <n v="1"/>
    <n v="151"/>
    <n v="152"/>
  </r>
  <r>
    <n v="873"/>
    <x v="38"/>
    <s v="winter"/>
    <s v="FEBRUARY"/>
    <n v="19"/>
    <s v="NO"/>
    <x v="3"/>
    <s v="Clear Sky"/>
    <n v="6.5600000000000005"/>
    <n v="0.4"/>
    <n v="0.4627"/>
    <n v="1"/>
    <n v="100"/>
    <n v="101"/>
  </r>
  <r>
    <n v="874"/>
    <x v="38"/>
    <s v="winter"/>
    <s v="FEBRUARY"/>
    <n v="20"/>
    <s v="NO"/>
    <x v="3"/>
    <s v="Clear Sky"/>
    <n v="6.5600000000000005"/>
    <n v="0.4"/>
    <n v="0.32840000000000003"/>
    <n v="3"/>
    <n v="53"/>
    <n v="56"/>
  </r>
  <r>
    <n v="875"/>
    <x v="38"/>
    <s v="winter"/>
    <s v="FEBRUARY"/>
    <n v="21"/>
    <s v="NO"/>
    <x v="3"/>
    <s v="Clear Sky"/>
    <n v="5.74"/>
    <n v="0.33"/>
    <n v="0.4627"/>
    <n v="8"/>
    <n v="46"/>
    <n v="54"/>
  </r>
  <r>
    <n v="876"/>
    <x v="38"/>
    <s v="winter"/>
    <s v="FEBRUARY"/>
    <n v="22"/>
    <s v="NO"/>
    <x v="3"/>
    <s v="Clear Sky"/>
    <n v="4.92"/>
    <n v="0.33"/>
    <n v="0.35820000000000002"/>
    <n v="0"/>
    <n v="29"/>
    <n v="29"/>
  </r>
  <r>
    <n v="877"/>
    <x v="38"/>
    <s v="winter"/>
    <s v="FEBRUARY"/>
    <n v="23"/>
    <s v="NO"/>
    <x v="3"/>
    <s v="Clear Sky"/>
    <n v="4.92"/>
    <n v="0.33"/>
    <n v="0.32840000000000003"/>
    <n v="3"/>
    <n v="9"/>
    <n v="12"/>
  </r>
  <r>
    <n v="878"/>
    <x v="39"/>
    <s v="winter"/>
    <s v="FEBRUARY"/>
    <n v="0"/>
    <s v="NO"/>
    <x v="4"/>
    <s v="Clear Sky"/>
    <n v="4.1000000000000005"/>
    <n v="0.36"/>
    <n v="0.35820000000000002"/>
    <n v="0"/>
    <n v="17"/>
    <n v="17"/>
  </r>
  <r>
    <n v="879"/>
    <x v="39"/>
    <s v="winter"/>
    <s v="FEBRUARY"/>
    <n v="1"/>
    <s v="NO"/>
    <x v="4"/>
    <s v="Clear Sky"/>
    <n v="4.1000000000000005"/>
    <n v="0.36"/>
    <n v="0.22389999999999999"/>
    <n v="0"/>
    <n v="7"/>
    <n v="7"/>
  </r>
  <r>
    <n v="880"/>
    <x v="39"/>
    <s v="winter"/>
    <s v="FEBRUARY"/>
    <n v="2"/>
    <s v="NO"/>
    <x v="4"/>
    <s v="Clear Sky"/>
    <n v="3.2800000000000002"/>
    <n v="0.38"/>
    <n v="0.28360000000000002"/>
    <n v="1"/>
    <n v="2"/>
    <n v="3"/>
  </r>
  <r>
    <n v="881"/>
    <x v="39"/>
    <s v="winter"/>
    <s v="FEBRUARY"/>
    <n v="3"/>
    <s v="NO"/>
    <x v="4"/>
    <s v="Clear Sky"/>
    <n v="2.46"/>
    <n v="0.45"/>
    <n v="0.1343"/>
    <n v="0"/>
    <n v="2"/>
    <n v="2"/>
  </r>
  <r>
    <n v="882"/>
    <x v="39"/>
    <s v="winter"/>
    <s v="FEBRUARY"/>
    <n v="5"/>
    <s v="NO"/>
    <x v="4"/>
    <s v="Clear Sky"/>
    <n v="2.46"/>
    <n v="0.45"/>
    <n v="0.1045"/>
    <n v="0"/>
    <n v="7"/>
    <n v="7"/>
  </r>
  <r>
    <n v="883"/>
    <x v="39"/>
    <s v="winter"/>
    <s v="FEBRUARY"/>
    <n v="6"/>
    <s v="NO"/>
    <x v="4"/>
    <s v="Clear Sky"/>
    <n v="2.46"/>
    <n v="0.45"/>
    <n v="0"/>
    <n v="0"/>
    <n v="43"/>
    <n v="43"/>
  </r>
  <r>
    <n v="884"/>
    <x v="39"/>
    <s v="winter"/>
    <s v="FEBRUARY"/>
    <n v="7"/>
    <s v="NO"/>
    <x v="4"/>
    <s v="Clear Sky"/>
    <n v="2.46"/>
    <n v="0.49"/>
    <n v="0.1045"/>
    <n v="4"/>
    <n v="95"/>
    <n v="99"/>
  </r>
  <r>
    <n v="885"/>
    <x v="39"/>
    <s v="winter"/>
    <s v="FEBRUARY"/>
    <n v="8"/>
    <s v="NO"/>
    <x v="4"/>
    <s v="Clear Sky"/>
    <n v="4.1000000000000005"/>
    <n v="0.42"/>
    <n v="0"/>
    <n v="1"/>
    <n v="198"/>
    <n v="199"/>
  </r>
  <r>
    <n v="886"/>
    <x v="39"/>
    <s v="winter"/>
    <s v="FEBRUARY"/>
    <n v="9"/>
    <s v="NO"/>
    <x v="4"/>
    <s v="Clear Sky"/>
    <n v="4.92"/>
    <n v="0.39"/>
    <n v="0.16420000000000001"/>
    <n v="4"/>
    <n v="119"/>
    <n v="123"/>
  </r>
  <r>
    <n v="887"/>
    <x v="39"/>
    <s v="winter"/>
    <s v="FEBRUARY"/>
    <n v="10"/>
    <s v="NO"/>
    <x v="4"/>
    <s v="Clear Sky"/>
    <n v="5.74"/>
    <n v="0.36"/>
    <n v="0"/>
    <n v="8"/>
    <n v="51"/>
    <n v="59"/>
  </r>
  <r>
    <n v="888"/>
    <x v="39"/>
    <s v="winter"/>
    <s v="FEBRUARY"/>
    <n v="11"/>
    <s v="NO"/>
    <x v="4"/>
    <s v="Mist"/>
    <n v="5.74"/>
    <n v="0.43"/>
    <n v="0.16420000000000001"/>
    <n v="1"/>
    <n v="40"/>
    <n v="41"/>
  </r>
  <r>
    <n v="889"/>
    <x v="39"/>
    <s v="winter"/>
    <s v="FEBRUARY"/>
    <n v="12"/>
    <s v="NO"/>
    <x v="4"/>
    <s v="Mist"/>
    <n v="7.38"/>
    <n v="0.4"/>
    <n v="0.22389999999999999"/>
    <n v="4"/>
    <n v="57"/>
    <n v="61"/>
  </r>
  <r>
    <n v="890"/>
    <x v="39"/>
    <s v="winter"/>
    <s v="FEBRUARY"/>
    <n v="13"/>
    <s v="NO"/>
    <x v="4"/>
    <s v="Clear Sky"/>
    <n v="7.38"/>
    <n v="0.4"/>
    <n v="0.25369999999999998"/>
    <n v="2"/>
    <n v="67"/>
    <n v="69"/>
  </r>
  <r>
    <n v="891"/>
    <x v="39"/>
    <s v="winter"/>
    <s v="FEBRUARY"/>
    <n v="14"/>
    <s v="NO"/>
    <x v="4"/>
    <s v="Clear Sky"/>
    <n v="8.2000000000000011"/>
    <n v="0.34"/>
    <n v="0.29849999999999999"/>
    <n v="2"/>
    <n v="56"/>
    <n v="58"/>
  </r>
  <r>
    <n v="892"/>
    <x v="39"/>
    <s v="winter"/>
    <s v="FEBRUARY"/>
    <n v="15"/>
    <s v="NO"/>
    <x v="4"/>
    <s v="Mist"/>
    <n v="8.2000000000000011"/>
    <n v="0.34"/>
    <n v="0.28360000000000002"/>
    <n v="3"/>
    <n v="61"/>
    <n v="64"/>
  </r>
  <r>
    <n v="893"/>
    <x v="39"/>
    <s v="winter"/>
    <s v="FEBRUARY"/>
    <n v="16"/>
    <s v="NO"/>
    <x v="4"/>
    <s v="Mist"/>
    <n v="8.2000000000000011"/>
    <n v="0.37"/>
    <n v="0.25369999999999998"/>
    <n v="7"/>
    <n v="72"/>
    <n v="79"/>
  </r>
  <r>
    <n v="894"/>
    <x v="39"/>
    <s v="winter"/>
    <s v="FEBRUARY"/>
    <n v="17"/>
    <s v="NO"/>
    <x v="4"/>
    <s v="Mist"/>
    <n v="8.2000000000000011"/>
    <n v="0.34"/>
    <n v="0.25369999999999998"/>
    <n v="9"/>
    <n v="157"/>
    <n v="166"/>
  </r>
  <r>
    <n v="895"/>
    <x v="39"/>
    <s v="winter"/>
    <s v="FEBRUARY"/>
    <n v="18"/>
    <s v="NO"/>
    <x v="4"/>
    <s v="Mist"/>
    <n v="7.38"/>
    <n v="0.47"/>
    <n v="0.29849999999999999"/>
    <n v="2"/>
    <n v="168"/>
    <n v="170"/>
  </r>
  <r>
    <n v="896"/>
    <x v="39"/>
    <s v="winter"/>
    <s v="FEBRUARY"/>
    <n v="19"/>
    <s v="NO"/>
    <x v="4"/>
    <s v="Dark Cloud"/>
    <n v="5.74"/>
    <n v="0.86"/>
    <n v="0.25369999999999998"/>
    <n v="1"/>
    <n v="87"/>
    <n v="88"/>
  </r>
  <r>
    <n v="897"/>
    <x v="39"/>
    <s v="winter"/>
    <s v="FEBRUARY"/>
    <n v="20"/>
    <s v="NO"/>
    <x v="4"/>
    <s v="Dark Cloud"/>
    <n v="5.74"/>
    <n v="0.86"/>
    <n v="0.16420000000000001"/>
    <n v="0"/>
    <n v="84"/>
    <n v="84"/>
  </r>
  <r>
    <n v="898"/>
    <x v="39"/>
    <s v="winter"/>
    <s v="FEBRUARY"/>
    <n v="21"/>
    <s v="NO"/>
    <x v="4"/>
    <s v="Mist"/>
    <n v="5.74"/>
    <n v="0.86"/>
    <n v="0.16420000000000001"/>
    <n v="0"/>
    <n v="83"/>
    <n v="83"/>
  </r>
  <r>
    <n v="899"/>
    <x v="39"/>
    <s v="winter"/>
    <s v="FEBRUARY"/>
    <n v="22"/>
    <s v="NO"/>
    <x v="4"/>
    <s v="Dark Cloud"/>
    <n v="6.5600000000000005"/>
    <n v="0.8"/>
    <n v="0.16420000000000001"/>
    <n v="4"/>
    <n v="42"/>
    <n v="46"/>
  </r>
  <r>
    <n v="900"/>
    <x v="39"/>
    <s v="winter"/>
    <s v="FEBRUARY"/>
    <n v="23"/>
    <s v="NO"/>
    <x v="4"/>
    <s v="Dark Cloud"/>
    <n v="6.5600000000000005"/>
    <n v="0.8"/>
    <n v="0.19400000000000001"/>
    <n v="0"/>
    <n v="37"/>
    <n v="37"/>
  </r>
  <r>
    <n v="901"/>
    <x v="40"/>
    <s v="winter"/>
    <s v="FEBRUARY"/>
    <n v="0"/>
    <s v="NO"/>
    <x v="5"/>
    <s v="Dark Cloud"/>
    <n v="5.74"/>
    <n v="0.86"/>
    <n v="0.19400000000000001"/>
    <n v="0"/>
    <n v="16"/>
    <n v="16"/>
  </r>
  <r>
    <n v="902"/>
    <x v="40"/>
    <s v="winter"/>
    <s v="FEBRUARY"/>
    <n v="1"/>
    <s v="NO"/>
    <x v="5"/>
    <s v="Dark Cloud"/>
    <n v="5.74"/>
    <n v="0.8"/>
    <n v="0.1343"/>
    <n v="0"/>
    <n v="7"/>
    <n v="7"/>
  </r>
  <r>
    <n v="903"/>
    <x v="40"/>
    <s v="winter"/>
    <s v="FEBRUARY"/>
    <n v="2"/>
    <s v="NO"/>
    <x v="5"/>
    <s v="Dark Cloud"/>
    <n v="5.74"/>
    <n v="0.8"/>
    <n v="0.1343"/>
    <n v="0"/>
    <n v="3"/>
    <n v="3"/>
  </r>
  <r>
    <n v="904"/>
    <x v="40"/>
    <s v="winter"/>
    <s v="FEBRUARY"/>
    <n v="4"/>
    <s v="NO"/>
    <x v="5"/>
    <s v="Mist"/>
    <n v="5.74"/>
    <n v="0.59"/>
    <n v="0.22389999999999999"/>
    <n v="0"/>
    <n v="1"/>
    <n v="1"/>
  </r>
  <r>
    <n v="905"/>
    <x v="40"/>
    <s v="winter"/>
    <s v="FEBRUARY"/>
    <n v="5"/>
    <s v="NO"/>
    <x v="5"/>
    <s v="Mist"/>
    <n v="4.92"/>
    <n v="0.5"/>
    <n v="0.22389999999999999"/>
    <n v="0"/>
    <n v="6"/>
    <n v="6"/>
  </r>
  <r>
    <n v="906"/>
    <x v="40"/>
    <s v="winter"/>
    <s v="FEBRUARY"/>
    <n v="6"/>
    <s v="NO"/>
    <x v="5"/>
    <s v="Mist"/>
    <n v="4.92"/>
    <n v="0.54"/>
    <n v="0.28360000000000002"/>
    <n v="0"/>
    <n v="26"/>
    <n v="26"/>
  </r>
  <r>
    <n v="907"/>
    <x v="40"/>
    <s v="winter"/>
    <s v="FEBRUARY"/>
    <n v="7"/>
    <s v="NO"/>
    <x v="5"/>
    <s v="Clear Sky"/>
    <n v="4.1000000000000005"/>
    <n v="0.5"/>
    <n v="0.41789999999999999"/>
    <n v="0"/>
    <n v="99"/>
    <n v="99"/>
  </r>
  <r>
    <n v="908"/>
    <x v="40"/>
    <s v="winter"/>
    <s v="FEBRUARY"/>
    <n v="8"/>
    <s v="NO"/>
    <x v="5"/>
    <s v="Clear Sky"/>
    <n v="4.1000000000000005"/>
    <n v="0.49"/>
    <n v="0.32840000000000003"/>
    <n v="5"/>
    <n v="173"/>
    <n v="178"/>
  </r>
  <r>
    <n v="909"/>
    <x v="40"/>
    <s v="winter"/>
    <s v="FEBRUARY"/>
    <n v="9"/>
    <s v="NO"/>
    <x v="5"/>
    <s v="Clear Sky"/>
    <n v="4.92"/>
    <n v="0.42"/>
    <n v="0.35820000000000002"/>
    <n v="1"/>
    <n v="121"/>
    <n v="122"/>
  </r>
  <r>
    <n v="910"/>
    <x v="40"/>
    <s v="winter"/>
    <s v="FEBRUARY"/>
    <n v="10"/>
    <s v="NO"/>
    <x v="5"/>
    <s v="Clear Sky"/>
    <n v="4.92"/>
    <n v="0.42"/>
    <n v="0.29849999999999999"/>
    <n v="1"/>
    <n v="34"/>
    <n v="35"/>
  </r>
  <r>
    <n v="911"/>
    <x v="40"/>
    <s v="winter"/>
    <s v="FEBRUARY"/>
    <n v="11"/>
    <s v="NO"/>
    <x v="5"/>
    <s v="Clear Sky"/>
    <n v="5.74"/>
    <n v="0.39"/>
    <n v="0.35820000000000002"/>
    <n v="1"/>
    <n v="44"/>
    <n v="45"/>
  </r>
  <r>
    <n v="912"/>
    <x v="40"/>
    <s v="winter"/>
    <s v="FEBRUARY"/>
    <n v="12"/>
    <s v="NO"/>
    <x v="5"/>
    <s v="Clear Sky"/>
    <n v="6.5600000000000005"/>
    <n v="0.34"/>
    <n v="0.3881"/>
    <n v="4"/>
    <n v="65"/>
    <n v="69"/>
  </r>
  <r>
    <n v="913"/>
    <x v="40"/>
    <s v="winter"/>
    <s v="FEBRUARY"/>
    <n v="13"/>
    <s v="NO"/>
    <x v="5"/>
    <s v="Clear Sky"/>
    <n v="7.38"/>
    <n v="0.28999999999999998"/>
    <n v="0.29849999999999999"/>
    <n v="3"/>
    <n v="59"/>
    <n v="62"/>
  </r>
  <r>
    <n v="914"/>
    <x v="40"/>
    <s v="winter"/>
    <s v="FEBRUARY"/>
    <n v="14"/>
    <s v="NO"/>
    <x v="5"/>
    <s v="Clear Sky"/>
    <n v="8.2000000000000011"/>
    <n v="0.27"/>
    <n v="0.28360000000000002"/>
    <n v="6"/>
    <n v="42"/>
    <n v="48"/>
  </r>
  <r>
    <n v="915"/>
    <x v="40"/>
    <s v="winter"/>
    <s v="FEBRUARY"/>
    <n v="15"/>
    <s v="NO"/>
    <x v="5"/>
    <s v="Clear Sky"/>
    <n v="8.2000000000000011"/>
    <n v="0.25"/>
    <n v="0.25369999999999998"/>
    <n v="0"/>
    <n v="50"/>
    <n v="50"/>
  </r>
  <r>
    <n v="916"/>
    <x v="40"/>
    <s v="winter"/>
    <s v="FEBRUARY"/>
    <n v="16"/>
    <s v="NO"/>
    <x v="5"/>
    <s v="Clear Sky"/>
    <n v="8.2000000000000011"/>
    <n v="0.27"/>
    <n v="0.29849999999999999"/>
    <n v="4"/>
    <n v="76"/>
    <n v="80"/>
  </r>
  <r>
    <n v="917"/>
    <x v="40"/>
    <s v="winter"/>
    <s v="FEBRUARY"/>
    <n v="17"/>
    <s v="NO"/>
    <x v="5"/>
    <s v="Clear Sky"/>
    <n v="7.38"/>
    <n v="0.26"/>
    <n v="0.19400000000000001"/>
    <n v="6"/>
    <n v="159"/>
    <n v="165"/>
  </r>
  <r>
    <n v="918"/>
    <x v="40"/>
    <s v="winter"/>
    <s v="FEBRUARY"/>
    <n v="18"/>
    <s v="NO"/>
    <x v="5"/>
    <s v="Clear Sky"/>
    <n v="6.5600000000000005"/>
    <n v="0.28000000000000003"/>
    <n v="0.1343"/>
    <n v="3"/>
    <n v="157"/>
    <n v="160"/>
  </r>
  <r>
    <n v="919"/>
    <x v="40"/>
    <s v="winter"/>
    <s v="FEBRUARY"/>
    <n v="19"/>
    <s v="NO"/>
    <x v="5"/>
    <s v="Clear Sky"/>
    <n v="5.74"/>
    <n v="0.28000000000000003"/>
    <n v="0.1045"/>
    <n v="2"/>
    <n v="110"/>
    <n v="112"/>
  </r>
  <r>
    <n v="920"/>
    <x v="40"/>
    <s v="winter"/>
    <s v="FEBRUARY"/>
    <n v="20"/>
    <s v="NO"/>
    <x v="5"/>
    <s v="Clear Sky"/>
    <n v="5.74"/>
    <n v="0.31"/>
    <n v="8.9599999999999999E-2"/>
    <n v="4"/>
    <n v="93"/>
    <n v="97"/>
  </r>
  <r>
    <n v="921"/>
    <x v="40"/>
    <s v="winter"/>
    <s v="FEBRUARY"/>
    <n v="21"/>
    <s v="NO"/>
    <x v="5"/>
    <s v="Clear Sky"/>
    <n v="5.74"/>
    <n v="0.39"/>
    <n v="0"/>
    <n v="2"/>
    <n v="70"/>
    <n v="72"/>
  </r>
  <r>
    <n v="922"/>
    <x v="40"/>
    <s v="winter"/>
    <s v="FEBRUARY"/>
    <n v="22"/>
    <s v="NO"/>
    <x v="5"/>
    <s v="Clear Sky"/>
    <n v="4.92"/>
    <n v="0.39"/>
    <n v="0"/>
    <n v="4"/>
    <n v="47"/>
    <n v="51"/>
  </r>
  <r>
    <n v="923"/>
    <x v="40"/>
    <s v="winter"/>
    <s v="FEBRUARY"/>
    <n v="23"/>
    <s v="NO"/>
    <x v="5"/>
    <s v="Clear Sky"/>
    <n v="4.92"/>
    <n v="0.42"/>
    <n v="0.1045"/>
    <n v="1"/>
    <n v="33"/>
    <n v="34"/>
  </r>
  <r>
    <n v="924"/>
    <x v="41"/>
    <s v="winter"/>
    <s v="FEBRUARY"/>
    <n v="0"/>
    <s v="NO"/>
    <x v="6"/>
    <s v="Clear Sky"/>
    <n v="4.1000000000000005"/>
    <n v="0.49"/>
    <n v="0.1045"/>
    <n v="2"/>
    <n v="12"/>
    <n v="14"/>
  </r>
  <r>
    <n v="925"/>
    <x v="41"/>
    <s v="winter"/>
    <s v="FEBRUARY"/>
    <n v="1"/>
    <s v="NO"/>
    <x v="6"/>
    <s v="Clear Sky"/>
    <n v="4.1000000000000005"/>
    <n v="0.54"/>
    <n v="8.9599999999999999E-2"/>
    <n v="1"/>
    <n v="6"/>
    <n v="7"/>
  </r>
  <r>
    <n v="926"/>
    <x v="41"/>
    <s v="winter"/>
    <s v="FEBRUARY"/>
    <n v="2"/>
    <s v="NO"/>
    <x v="6"/>
    <s v="Clear Sky"/>
    <n v="4.1000000000000005"/>
    <n v="0.54"/>
    <n v="8.9599999999999999E-2"/>
    <n v="0"/>
    <n v="3"/>
    <n v="3"/>
  </r>
  <r>
    <n v="927"/>
    <x v="41"/>
    <s v="winter"/>
    <s v="FEBRUARY"/>
    <n v="5"/>
    <s v="NO"/>
    <x v="6"/>
    <s v="Clear Sky"/>
    <n v="3.2800000000000002"/>
    <n v="0.63"/>
    <n v="8.9599999999999999E-2"/>
    <n v="0"/>
    <n v="4"/>
    <n v="4"/>
  </r>
  <r>
    <n v="928"/>
    <x v="41"/>
    <s v="winter"/>
    <s v="FEBRUARY"/>
    <n v="6"/>
    <s v="NO"/>
    <x v="6"/>
    <s v="Clear Sky"/>
    <n v="4.1000000000000005"/>
    <n v="0.68"/>
    <n v="0"/>
    <n v="1"/>
    <n v="23"/>
    <n v="24"/>
  </r>
  <r>
    <n v="929"/>
    <x v="41"/>
    <s v="winter"/>
    <s v="FEBRUARY"/>
    <n v="7"/>
    <s v="NO"/>
    <x v="6"/>
    <s v="Clear Sky"/>
    <n v="3.2800000000000002"/>
    <n v="0.73"/>
    <n v="0"/>
    <n v="1"/>
    <n v="73"/>
    <n v="74"/>
  </r>
  <r>
    <n v="930"/>
    <x v="41"/>
    <s v="winter"/>
    <s v="FEBRUARY"/>
    <n v="8"/>
    <s v="NO"/>
    <x v="6"/>
    <s v="Clear Sky"/>
    <n v="4.1000000000000005"/>
    <n v="0.74"/>
    <n v="0.16420000000000001"/>
    <n v="4"/>
    <n v="212"/>
    <n v="216"/>
  </r>
  <r>
    <n v="931"/>
    <x v="41"/>
    <s v="winter"/>
    <s v="FEBRUARY"/>
    <n v="9"/>
    <s v="NO"/>
    <x v="6"/>
    <s v="Clear Sky"/>
    <n v="4.92"/>
    <n v="0.74"/>
    <n v="0.22389999999999999"/>
    <n v="8"/>
    <n v="132"/>
    <n v="140"/>
  </r>
  <r>
    <n v="932"/>
    <x v="41"/>
    <s v="winter"/>
    <s v="FEBRUARY"/>
    <n v="10"/>
    <s v="NO"/>
    <x v="6"/>
    <s v="Clear Sky"/>
    <n v="5.74"/>
    <n v="0.69"/>
    <n v="0.19400000000000001"/>
    <n v="5"/>
    <n v="39"/>
    <n v="44"/>
  </r>
  <r>
    <n v="933"/>
    <x v="41"/>
    <s v="winter"/>
    <s v="FEBRUARY"/>
    <n v="11"/>
    <s v="NO"/>
    <x v="6"/>
    <s v="Clear Sky"/>
    <n v="9.02"/>
    <n v="0.47"/>
    <n v="0.1343"/>
    <n v="12"/>
    <n v="52"/>
    <n v="64"/>
  </r>
  <r>
    <n v="934"/>
    <x v="41"/>
    <s v="winter"/>
    <s v="FEBRUARY"/>
    <n v="12"/>
    <s v="NO"/>
    <x v="6"/>
    <s v="Clear Sky"/>
    <n v="9.02"/>
    <n v="0.47"/>
    <n v="0.1343"/>
    <n v="7"/>
    <n v="64"/>
    <n v="71"/>
  </r>
  <r>
    <n v="935"/>
    <x v="41"/>
    <s v="winter"/>
    <s v="FEBRUARY"/>
    <n v="13"/>
    <s v="NO"/>
    <x v="6"/>
    <s v="Clear Sky"/>
    <n v="9.84"/>
    <n v="0.35"/>
    <n v="0.19400000000000001"/>
    <n v="21"/>
    <n v="89"/>
    <n v="110"/>
  </r>
  <r>
    <n v="936"/>
    <x v="41"/>
    <s v="winter"/>
    <s v="FEBRUARY"/>
    <n v="14"/>
    <s v="NO"/>
    <x v="6"/>
    <s v="Clear Sky"/>
    <n v="12.299999999999999"/>
    <n v="0.26"/>
    <n v="0.25369999999999998"/>
    <n v="17"/>
    <n v="67"/>
    <n v="84"/>
  </r>
  <r>
    <n v="937"/>
    <x v="41"/>
    <s v="winter"/>
    <s v="FEBRUARY"/>
    <n v="15"/>
    <s v="NO"/>
    <x v="6"/>
    <s v="Clear Sky"/>
    <n v="13.120000000000001"/>
    <n v="0.21"/>
    <n v="0.16420000000000001"/>
    <n v="12"/>
    <n v="62"/>
    <n v="74"/>
  </r>
  <r>
    <n v="938"/>
    <x v="41"/>
    <s v="winter"/>
    <s v="FEBRUARY"/>
    <n v="16"/>
    <s v="NO"/>
    <x v="6"/>
    <s v="Clear Sky"/>
    <n v="12.299999999999999"/>
    <n v="0.28000000000000003"/>
    <n v="0.19400000000000001"/>
    <n v="14"/>
    <n v="111"/>
    <n v="125"/>
  </r>
  <r>
    <n v="939"/>
    <x v="41"/>
    <s v="winter"/>
    <s v="FEBRUARY"/>
    <n v="17"/>
    <s v="NO"/>
    <x v="6"/>
    <s v="Clear Sky"/>
    <n v="12.299999999999999"/>
    <n v="0.24"/>
    <n v="0"/>
    <n v="18"/>
    <n v="193"/>
    <n v="211"/>
  </r>
  <r>
    <n v="940"/>
    <x v="41"/>
    <s v="winter"/>
    <s v="FEBRUARY"/>
    <n v="18"/>
    <s v="NO"/>
    <x v="6"/>
    <s v="Clear Sky"/>
    <n v="11.48"/>
    <n v="0.28000000000000003"/>
    <n v="0"/>
    <n v="9"/>
    <n v="165"/>
    <n v="174"/>
  </r>
  <r>
    <n v="941"/>
    <x v="41"/>
    <s v="winter"/>
    <s v="FEBRUARY"/>
    <n v="19"/>
    <s v="NO"/>
    <x v="6"/>
    <s v="Clear Sky"/>
    <n v="10.66"/>
    <n v="0.33"/>
    <n v="0"/>
    <n v="7"/>
    <n v="94"/>
    <n v="101"/>
  </r>
  <r>
    <n v="942"/>
    <x v="41"/>
    <s v="winter"/>
    <s v="FEBRUARY"/>
    <n v="20"/>
    <s v="NO"/>
    <x v="6"/>
    <s v="Clear Sky"/>
    <n v="9.02"/>
    <n v="0.55000000000000004"/>
    <n v="0.1343"/>
    <n v="2"/>
    <n v="61"/>
    <n v="63"/>
  </r>
  <r>
    <n v="943"/>
    <x v="41"/>
    <s v="winter"/>
    <s v="FEBRUARY"/>
    <n v="21"/>
    <s v="NO"/>
    <x v="6"/>
    <s v="Clear Sky"/>
    <n v="8.2000000000000011"/>
    <n v="0.59"/>
    <n v="0.1343"/>
    <n v="1"/>
    <n v="46"/>
    <n v="47"/>
  </r>
  <r>
    <n v="944"/>
    <x v="41"/>
    <s v="winter"/>
    <s v="FEBRUARY"/>
    <n v="22"/>
    <s v="NO"/>
    <x v="6"/>
    <s v="Clear Sky"/>
    <n v="8.2000000000000011"/>
    <n v="0.64"/>
    <n v="8.9599999999999999E-2"/>
    <n v="2"/>
    <n v="41"/>
    <n v="43"/>
  </r>
  <r>
    <n v="945"/>
    <x v="41"/>
    <s v="winter"/>
    <s v="FEBRUARY"/>
    <n v="23"/>
    <s v="NO"/>
    <x v="6"/>
    <s v="Clear Sky"/>
    <n v="7.38"/>
    <n v="0.69"/>
    <n v="0"/>
    <n v="5"/>
    <n v="48"/>
    <n v="53"/>
  </r>
  <r>
    <n v="946"/>
    <x v="42"/>
    <s v="winter"/>
    <s v="FEBRUARY"/>
    <n v="0"/>
    <s v="NO"/>
    <x v="0"/>
    <s v="Clear Sky"/>
    <n v="6.5600000000000005"/>
    <n v="0.69"/>
    <n v="8.9599999999999999E-2"/>
    <n v="3"/>
    <n v="27"/>
    <n v="30"/>
  </r>
  <r>
    <n v="947"/>
    <x v="42"/>
    <s v="winter"/>
    <s v="FEBRUARY"/>
    <n v="1"/>
    <s v="NO"/>
    <x v="0"/>
    <s v="Clear Sky"/>
    <n v="5.74"/>
    <n v="0.86"/>
    <n v="0"/>
    <n v="2"/>
    <n v="22"/>
    <n v="24"/>
  </r>
  <r>
    <n v="948"/>
    <x v="42"/>
    <s v="winter"/>
    <s v="FEBRUARY"/>
    <n v="2"/>
    <s v="NO"/>
    <x v="0"/>
    <s v="Clear Sky"/>
    <n v="5.74"/>
    <n v="0.8"/>
    <n v="0"/>
    <n v="2"/>
    <n v="13"/>
    <n v="15"/>
  </r>
  <r>
    <n v="949"/>
    <x v="42"/>
    <s v="winter"/>
    <s v="FEBRUARY"/>
    <n v="3"/>
    <s v="NO"/>
    <x v="0"/>
    <s v="Clear Sky"/>
    <n v="4.92"/>
    <n v="0.8"/>
    <n v="0"/>
    <n v="3"/>
    <n v="7"/>
    <n v="10"/>
  </r>
  <r>
    <n v="950"/>
    <x v="42"/>
    <s v="winter"/>
    <s v="FEBRUARY"/>
    <n v="4"/>
    <s v="NO"/>
    <x v="0"/>
    <s v="Clear Sky"/>
    <n v="4.92"/>
    <n v="0.74"/>
    <n v="8.9599999999999999E-2"/>
    <n v="0"/>
    <n v="4"/>
    <n v="4"/>
  </r>
  <r>
    <n v="951"/>
    <x v="42"/>
    <s v="winter"/>
    <s v="FEBRUARY"/>
    <n v="5"/>
    <s v="NO"/>
    <x v="0"/>
    <s v="Clear Sky"/>
    <n v="4.92"/>
    <n v="0.74"/>
    <n v="8.9599999999999999E-2"/>
    <n v="0"/>
    <n v="1"/>
    <n v="1"/>
  </r>
  <r>
    <n v="952"/>
    <x v="42"/>
    <s v="winter"/>
    <s v="FEBRUARY"/>
    <n v="6"/>
    <s v="NO"/>
    <x v="0"/>
    <s v="Clear Sky"/>
    <n v="4.92"/>
    <n v="0.93"/>
    <n v="0.19400000000000001"/>
    <n v="1"/>
    <n v="1"/>
    <n v="2"/>
  </r>
  <r>
    <n v="953"/>
    <x v="42"/>
    <s v="winter"/>
    <s v="FEBRUARY"/>
    <n v="7"/>
    <s v="NO"/>
    <x v="0"/>
    <s v="Clear Sky"/>
    <n v="4.92"/>
    <n v="0.8"/>
    <n v="0.1045"/>
    <n v="2"/>
    <n v="9"/>
    <n v="11"/>
  </r>
  <r>
    <n v="954"/>
    <x v="42"/>
    <s v="winter"/>
    <s v="FEBRUARY"/>
    <n v="8"/>
    <s v="NO"/>
    <x v="0"/>
    <s v="Clear Sky"/>
    <n v="5.74"/>
    <n v="0.86"/>
    <n v="0.1343"/>
    <n v="2"/>
    <n v="28"/>
    <n v="30"/>
  </r>
  <r>
    <n v="955"/>
    <x v="42"/>
    <s v="winter"/>
    <s v="FEBRUARY"/>
    <n v="9"/>
    <s v="NO"/>
    <x v="0"/>
    <s v="Clear Sky"/>
    <n v="6.5600000000000005"/>
    <n v="0.64"/>
    <n v="0.1343"/>
    <n v="5"/>
    <n v="38"/>
    <n v="43"/>
  </r>
  <r>
    <n v="956"/>
    <x v="42"/>
    <s v="winter"/>
    <s v="FEBRUARY"/>
    <n v="10"/>
    <s v="NO"/>
    <x v="0"/>
    <s v="Clear Sky"/>
    <n v="9.02"/>
    <n v="0.41"/>
    <n v="0.25369999999999998"/>
    <n v="13"/>
    <n v="71"/>
    <n v="84"/>
  </r>
  <r>
    <n v="957"/>
    <x v="42"/>
    <s v="winter"/>
    <s v="FEBRUARY"/>
    <n v="11"/>
    <s v="NO"/>
    <x v="0"/>
    <s v="Clear Sky"/>
    <n v="12.299999999999999"/>
    <n v="0.28000000000000003"/>
    <n v="0.32840000000000003"/>
    <n v="30"/>
    <n v="84"/>
    <n v="114"/>
  </r>
  <r>
    <n v="958"/>
    <x v="42"/>
    <s v="winter"/>
    <s v="FEBRUARY"/>
    <n v="12"/>
    <s v="NO"/>
    <x v="0"/>
    <s v="Clear Sky"/>
    <n v="12.299999999999999"/>
    <n v="0.39"/>
    <n v="0.4627"/>
    <n v="27"/>
    <n v="93"/>
    <n v="120"/>
  </r>
  <r>
    <n v="959"/>
    <x v="42"/>
    <s v="winter"/>
    <s v="FEBRUARY"/>
    <n v="13"/>
    <s v="NO"/>
    <x v="0"/>
    <s v="Clear Sky"/>
    <n v="12.299999999999999"/>
    <n v="0.39"/>
    <n v="0.41789999999999999"/>
    <n v="32"/>
    <n v="103"/>
    <n v="135"/>
  </r>
  <r>
    <n v="960"/>
    <x v="42"/>
    <s v="winter"/>
    <s v="FEBRUARY"/>
    <n v="14"/>
    <s v="NO"/>
    <x v="0"/>
    <s v="Clear Sky"/>
    <n v="13.940000000000001"/>
    <n v="0.31"/>
    <n v="0.28360000000000002"/>
    <n v="30"/>
    <n v="90"/>
    <n v="120"/>
  </r>
  <r>
    <n v="961"/>
    <x v="42"/>
    <s v="winter"/>
    <s v="FEBRUARY"/>
    <n v="15"/>
    <s v="NO"/>
    <x v="0"/>
    <s v="Clear Sky"/>
    <n v="13.940000000000001"/>
    <n v="0.28999999999999998"/>
    <n v="0.41789999999999999"/>
    <n v="47"/>
    <n v="127"/>
    <n v="174"/>
  </r>
  <r>
    <n v="962"/>
    <x v="42"/>
    <s v="winter"/>
    <s v="FEBRUARY"/>
    <n v="16"/>
    <s v="NO"/>
    <x v="0"/>
    <s v="Clear Sky"/>
    <n v="13.940000000000001"/>
    <n v="0.28999999999999998"/>
    <n v="0.41789999999999999"/>
    <n v="42"/>
    <n v="103"/>
    <n v="145"/>
  </r>
  <r>
    <n v="963"/>
    <x v="42"/>
    <s v="winter"/>
    <s v="FEBRUARY"/>
    <n v="17"/>
    <s v="NO"/>
    <x v="0"/>
    <s v="Clear Sky"/>
    <n v="13.120000000000001"/>
    <n v="0.31"/>
    <n v="0.52239999999999998"/>
    <n v="24"/>
    <n v="113"/>
    <n v="137"/>
  </r>
  <r>
    <n v="964"/>
    <x v="42"/>
    <s v="winter"/>
    <s v="FEBRUARY"/>
    <n v="18"/>
    <s v="NO"/>
    <x v="0"/>
    <s v="Clear Sky"/>
    <n v="11.48"/>
    <n v="0.38"/>
    <n v="0.32840000000000003"/>
    <n v="4"/>
    <n v="60"/>
    <n v="64"/>
  </r>
  <r>
    <n v="965"/>
    <x v="42"/>
    <s v="winter"/>
    <s v="FEBRUARY"/>
    <n v="19"/>
    <s v="NO"/>
    <x v="0"/>
    <s v="Clear Sky"/>
    <n v="11.48"/>
    <n v="0.38"/>
    <n v="0.16420000000000001"/>
    <n v="2"/>
    <n v="39"/>
    <n v="41"/>
  </r>
  <r>
    <n v="966"/>
    <x v="42"/>
    <s v="winter"/>
    <s v="FEBRUARY"/>
    <n v="20"/>
    <s v="NO"/>
    <x v="0"/>
    <s v="Clear Sky"/>
    <n v="10.66"/>
    <n v="0.41"/>
    <n v="0.22389999999999999"/>
    <n v="1"/>
    <n v="39"/>
    <n v="40"/>
  </r>
  <r>
    <n v="967"/>
    <x v="42"/>
    <s v="winter"/>
    <s v="FEBRUARY"/>
    <n v="21"/>
    <s v="NO"/>
    <x v="0"/>
    <s v="Clear Sky"/>
    <n v="10.66"/>
    <n v="0.41"/>
    <n v="0"/>
    <n v="9"/>
    <n v="42"/>
    <n v="51"/>
  </r>
  <r>
    <n v="968"/>
    <x v="42"/>
    <s v="winter"/>
    <s v="FEBRUARY"/>
    <n v="22"/>
    <s v="NO"/>
    <x v="0"/>
    <s v="Clear Sky"/>
    <n v="9.84"/>
    <n v="0.44"/>
    <n v="8.9599999999999999E-2"/>
    <n v="6"/>
    <n v="39"/>
    <n v="45"/>
  </r>
  <r>
    <n v="969"/>
    <x v="42"/>
    <s v="winter"/>
    <s v="FEBRUARY"/>
    <n v="23"/>
    <s v="NO"/>
    <x v="0"/>
    <s v="Clear Sky"/>
    <n v="9.02"/>
    <n v="0.51"/>
    <n v="0.1343"/>
    <n v="1"/>
    <n v="31"/>
    <n v="32"/>
  </r>
  <r>
    <n v="970"/>
    <x v="43"/>
    <s v="winter"/>
    <s v="FEBRUARY"/>
    <n v="0"/>
    <s v="NO"/>
    <x v="1"/>
    <s v="Clear Sky"/>
    <n v="8.2000000000000011"/>
    <n v="0.64"/>
    <n v="0.1045"/>
    <n v="5"/>
    <n v="34"/>
    <n v="39"/>
  </r>
  <r>
    <n v="971"/>
    <x v="43"/>
    <s v="winter"/>
    <s v="FEBRUARY"/>
    <n v="1"/>
    <s v="NO"/>
    <x v="1"/>
    <s v="Clear Sky"/>
    <n v="8.2000000000000011"/>
    <n v="0.59"/>
    <n v="8.9599999999999999E-2"/>
    <n v="1"/>
    <n v="23"/>
    <n v="24"/>
  </r>
  <r>
    <n v="972"/>
    <x v="43"/>
    <s v="winter"/>
    <s v="FEBRUARY"/>
    <n v="2"/>
    <s v="NO"/>
    <x v="1"/>
    <s v="Mist"/>
    <n v="8.2000000000000011"/>
    <n v="0.75"/>
    <n v="8.9599999999999999E-2"/>
    <n v="1"/>
    <n v="19"/>
    <n v="20"/>
  </r>
  <r>
    <n v="973"/>
    <x v="43"/>
    <s v="winter"/>
    <s v="FEBRUARY"/>
    <n v="3"/>
    <s v="NO"/>
    <x v="1"/>
    <s v="Mist"/>
    <n v="8.2000000000000011"/>
    <n v="0.69"/>
    <n v="0.1045"/>
    <n v="4"/>
    <n v="8"/>
    <n v="12"/>
  </r>
  <r>
    <n v="974"/>
    <x v="43"/>
    <s v="winter"/>
    <s v="FEBRUARY"/>
    <n v="4"/>
    <s v="NO"/>
    <x v="1"/>
    <s v="Mist"/>
    <n v="8.2000000000000011"/>
    <n v="0.69"/>
    <n v="0.16420000000000001"/>
    <n v="0"/>
    <n v="2"/>
    <n v="2"/>
  </r>
  <r>
    <n v="975"/>
    <x v="43"/>
    <s v="winter"/>
    <s v="FEBRUARY"/>
    <n v="6"/>
    <s v="NO"/>
    <x v="1"/>
    <s v="Mist"/>
    <n v="8.2000000000000011"/>
    <n v="0.69"/>
    <n v="0.1343"/>
    <n v="2"/>
    <n v="3"/>
    <n v="5"/>
  </r>
  <r>
    <n v="976"/>
    <x v="43"/>
    <s v="winter"/>
    <s v="FEBRUARY"/>
    <n v="7"/>
    <s v="NO"/>
    <x v="1"/>
    <s v="Mist"/>
    <n v="9.02"/>
    <n v="0.55000000000000004"/>
    <n v="0"/>
    <n v="0"/>
    <n v="3"/>
    <n v="3"/>
  </r>
  <r>
    <n v="977"/>
    <x v="43"/>
    <s v="winter"/>
    <s v="FEBRUARY"/>
    <n v="8"/>
    <s v="NO"/>
    <x v="1"/>
    <s v="Mist"/>
    <n v="9.02"/>
    <n v="0.64"/>
    <n v="0.19400000000000001"/>
    <n v="1"/>
    <n v="11"/>
    <n v="12"/>
  </r>
  <r>
    <n v="978"/>
    <x v="43"/>
    <s v="winter"/>
    <s v="FEBRUARY"/>
    <n v="9"/>
    <s v="NO"/>
    <x v="1"/>
    <s v="Mist"/>
    <n v="9.84"/>
    <n v="0.6"/>
    <n v="0.22389999999999999"/>
    <n v="12"/>
    <n v="35"/>
    <n v="47"/>
  </r>
  <r>
    <n v="979"/>
    <x v="43"/>
    <s v="winter"/>
    <s v="FEBRUARY"/>
    <n v="10"/>
    <s v="NO"/>
    <x v="1"/>
    <s v="Clear Sky"/>
    <n v="12.299999999999999"/>
    <n v="0.45"/>
    <n v="0.32840000000000003"/>
    <n v="19"/>
    <n v="86"/>
    <n v="105"/>
  </r>
  <r>
    <n v="980"/>
    <x v="43"/>
    <s v="winter"/>
    <s v="FEBRUARY"/>
    <n v="11"/>
    <s v="NO"/>
    <x v="1"/>
    <s v="Clear Sky"/>
    <n v="13.120000000000001"/>
    <n v="0.39"/>
    <n v="0.44779999999999998"/>
    <n v="26"/>
    <n v="86"/>
    <n v="112"/>
  </r>
  <r>
    <n v="981"/>
    <x v="43"/>
    <s v="winter"/>
    <s v="FEBRUARY"/>
    <n v="12"/>
    <s v="NO"/>
    <x v="1"/>
    <s v="Clear Sky"/>
    <n v="14.76"/>
    <n v="0.32"/>
    <n v="0.4627"/>
    <n v="58"/>
    <n v="94"/>
    <n v="152"/>
  </r>
  <r>
    <n v="982"/>
    <x v="43"/>
    <s v="winter"/>
    <s v="FEBRUARY"/>
    <n v="13"/>
    <s v="NO"/>
    <x v="1"/>
    <s v="Clear Sky"/>
    <n v="15.58"/>
    <n v="0.28999999999999998"/>
    <n v="0.35820000000000002"/>
    <n v="62"/>
    <n v="92"/>
    <n v="154"/>
  </r>
  <r>
    <n v="983"/>
    <x v="43"/>
    <s v="winter"/>
    <s v="FEBRUARY"/>
    <n v="14"/>
    <s v="NO"/>
    <x v="1"/>
    <s v="Mist"/>
    <n v="16.400000000000002"/>
    <n v="0.3"/>
    <n v="0.41789999999999999"/>
    <n v="51"/>
    <n v="110"/>
    <n v="161"/>
  </r>
  <r>
    <n v="984"/>
    <x v="43"/>
    <s v="winter"/>
    <s v="FEBRUARY"/>
    <n v="15"/>
    <s v="NO"/>
    <x v="1"/>
    <s v="Mist"/>
    <n v="16.400000000000002"/>
    <n v="0.3"/>
    <n v="0.29849999999999999"/>
    <n v="40"/>
    <n v="122"/>
    <n v="162"/>
  </r>
  <r>
    <n v="985"/>
    <x v="43"/>
    <s v="winter"/>
    <s v="FEBRUARY"/>
    <n v="16"/>
    <s v="NO"/>
    <x v="1"/>
    <s v="Mist"/>
    <n v="17.22"/>
    <n v="0.28000000000000003"/>
    <n v="0.32840000000000003"/>
    <n v="28"/>
    <n v="106"/>
    <n v="134"/>
  </r>
  <r>
    <n v="986"/>
    <x v="43"/>
    <s v="winter"/>
    <s v="FEBRUARY"/>
    <n v="17"/>
    <s v="NO"/>
    <x v="1"/>
    <s v="Clear Sky"/>
    <n v="17.22"/>
    <n v="0.28000000000000003"/>
    <n v="0.32840000000000003"/>
    <n v="30"/>
    <n v="95"/>
    <n v="125"/>
  </r>
  <r>
    <n v="987"/>
    <x v="43"/>
    <s v="winter"/>
    <s v="FEBRUARY"/>
    <n v="18"/>
    <s v="NO"/>
    <x v="1"/>
    <s v="Clear Sky"/>
    <n v="16.400000000000002"/>
    <n v="0.32"/>
    <n v="0.29849999999999999"/>
    <n v="17"/>
    <n v="78"/>
    <n v="95"/>
  </r>
  <r>
    <n v="988"/>
    <x v="43"/>
    <s v="winter"/>
    <s v="FEBRUARY"/>
    <n v="19"/>
    <s v="NO"/>
    <x v="1"/>
    <s v="Clear Sky"/>
    <n v="16.400000000000002"/>
    <n v="0.35"/>
    <n v="0.28360000000000002"/>
    <n v="11"/>
    <n v="50"/>
    <n v="61"/>
  </r>
  <r>
    <n v="989"/>
    <x v="43"/>
    <s v="winter"/>
    <s v="FEBRUARY"/>
    <n v="20"/>
    <s v="NO"/>
    <x v="1"/>
    <s v="Clear Sky"/>
    <n v="16.400000000000002"/>
    <n v="0.35"/>
    <n v="0.32840000000000003"/>
    <n v="15"/>
    <n v="32"/>
    <n v="47"/>
  </r>
  <r>
    <n v="990"/>
    <x v="43"/>
    <s v="winter"/>
    <s v="FEBRUARY"/>
    <n v="21"/>
    <s v="NO"/>
    <x v="1"/>
    <s v="Clear Sky"/>
    <n v="16.400000000000002"/>
    <n v="0.35"/>
    <n v="0.35820000000000002"/>
    <n v="6"/>
    <n v="45"/>
    <n v="51"/>
  </r>
  <r>
    <n v="991"/>
    <x v="43"/>
    <s v="winter"/>
    <s v="FEBRUARY"/>
    <n v="22"/>
    <s v="NO"/>
    <x v="1"/>
    <s v="Clear Sky"/>
    <n v="16.400000000000002"/>
    <n v="0.35"/>
    <n v="0.29849999999999999"/>
    <n v="5"/>
    <n v="31"/>
    <n v="36"/>
  </r>
  <r>
    <n v="992"/>
    <x v="43"/>
    <s v="winter"/>
    <s v="FEBRUARY"/>
    <n v="23"/>
    <s v="NO"/>
    <x v="1"/>
    <s v="Clear Sky"/>
    <n v="16.400000000000002"/>
    <n v="0.35"/>
    <n v="0.35820000000000002"/>
    <n v="3"/>
    <n v="27"/>
    <n v="30"/>
  </r>
  <r>
    <n v="993"/>
    <x v="44"/>
    <s v="winter"/>
    <s v="FEBRUARY"/>
    <n v="0"/>
    <s v="NO"/>
    <x v="2"/>
    <s v="Clear Sky"/>
    <n v="15.58"/>
    <n v="0.37"/>
    <n v="0.35820000000000002"/>
    <n v="3"/>
    <n v="8"/>
    <n v="11"/>
  </r>
  <r>
    <n v="994"/>
    <x v="44"/>
    <s v="winter"/>
    <s v="FEBRUARY"/>
    <n v="1"/>
    <s v="NO"/>
    <x v="2"/>
    <s v="Clear Sky"/>
    <n v="15.58"/>
    <n v="0.37"/>
    <n v="0.35820000000000002"/>
    <n v="1"/>
    <n v="6"/>
    <n v="7"/>
  </r>
  <r>
    <n v="995"/>
    <x v="44"/>
    <s v="winter"/>
    <s v="FEBRUARY"/>
    <n v="2"/>
    <s v="NO"/>
    <x v="2"/>
    <s v="Clear Sky"/>
    <n v="14.76"/>
    <n v="0.4"/>
    <n v="0.29849999999999999"/>
    <n v="0"/>
    <n v="2"/>
    <n v="2"/>
  </r>
  <r>
    <n v="996"/>
    <x v="44"/>
    <s v="winter"/>
    <s v="FEBRUARY"/>
    <n v="3"/>
    <s v="NO"/>
    <x v="2"/>
    <s v="Clear Sky"/>
    <n v="13.940000000000001"/>
    <n v="0.46"/>
    <n v="0.22389999999999999"/>
    <n v="1"/>
    <n v="1"/>
    <n v="2"/>
  </r>
  <r>
    <n v="997"/>
    <x v="44"/>
    <s v="winter"/>
    <s v="FEBRUARY"/>
    <n v="4"/>
    <s v="NO"/>
    <x v="2"/>
    <s v="Clear Sky"/>
    <n v="13.120000000000001"/>
    <n v="0.53"/>
    <n v="0.28360000000000002"/>
    <n v="0"/>
    <n v="2"/>
    <n v="2"/>
  </r>
  <r>
    <n v="998"/>
    <x v="44"/>
    <s v="winter"/>
    <s v="FEBRUARY"/>
    <n v="5"/>
    <s v="NO"/>
    <x v="2"/>
    <s v="Clear Sky"/>
    <n v="13.120000000000001"/>
    <n v="0.53"/>
    <n v="0.28360000000000002"/>
    <n v="0"/>
    <n v="3"/>
    <n v="3"/>
  </r>
  <r>
    <n v="999"/>
    <x v="44"/>
    <s v="winter"/>
    <s v="FEBRUARY"/>
    <n v="6"/>
    <s v="NO"/>
    <x v="2"/>
    <s v="Clear Sky"/>
    <n v="13.940000000000001"/>
    <n v="0.46"/>
    <n v="0.29849999999999999"/>
    <n v="1"/>
    <n v="25"/>
    <n v="26"/>
  </r>
  <r>
    <n v="1000"/>
    <x v="44"/>
    <s v="winter"/>
    <s v="FEBRUARY"/>
    <n v="7"/>
    <s v="NO"/>
    <x v="2"/>
    <s v="Clear Sky"/>
    <n v="13.940000000000001"/>
    <n v="0.46"/>
    <n v="0.29849999999999999"/>
    <n v="2"/>
    <n v="96"/>
    <n v="9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r>
  <r>
    <x v="0"/>
  </r>
  <r>
    <x v="0"/>
  </r>
  <r>
    <x v="0"/>
  </r>
  <r>
    <x v="0"/>
  </r>
  <r>
    <x v="1"/>
  </r>
  <r>
    <x v="0"/>
  </r>
  <r>
    <x v="0"/>
  </r>
  <r>
    <x v="0"/>
  </r>
  <r>
    <x v="0"/>
  </r>
  <r>
    <x v="0"/>
  </r>
  <r>
    <x v="0"/>
  </r>
  <r>
    <x v="0"/>
  </r>
  <r>
    <x v="1"/>
  </r>
  <r>
    <x v="1"/>
  </r>
  <r>
    <x v="1"/>
  </r>
  <r>
    <x v="1"/>
  </r>
  <r>
    <x v="1"/>
  </r>
  <r>
    <x v="2"/>
  </r>
  <r>
    <x v="2"/>
  </r>
  <r>
    <x v="1"/>
  </r>
  <r>
    <x v="1"/>
  </r>
  <r>
    <x v="1"/>
  </r>
  <r>
    <x v="1"/>
  </r>
  <r>
    <x v="1"/>
  </r>
  <r>
    <x v="1"/>
  </r>
  <r>
    <x v="1"/>
  </r>
  <r>
    <x v="1"/>
  </r>
  <r>
    <x v="1"/>
  </r>
  <r>
    <x v="2"/>
  </r>
  <r>
    <x v="1"/>
  </r>
  <r>
    <x v="2"/>
  </r>
  <r>
    <x v="1"/>
  </r>
  <r>
    <x v="1"/>
  </r>
  <r>
    <x v="1"/>
  </r>
  <r>
    <x v="1"/>
  </r>
  <r>
    <x v="1"/>
  </r>
  <r>
    <x v="2"/>
  </r>
  <r>
    <x v="2"/>
  </r>
  <r>
    <x v="2"/>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0"/>
  </r>
  <r>
    <x v="1"/>
  </r>
  <r>
    <x v="0"/>
  </r>
  <r>
    <x v="0"/>
  </r>
  <r>
    <x v="0"/>
  </r>
  <r>
    <x v="0"/>
  </r>
  <r>
    <x v="0"/>
  </r>
  <r>
    <x v="0"/>
  </r>
  <r>
    <x v="0"/>
  </r>
  <r>
    <x v="0"/>
  </r>
  <r>
    <x v="0"/>
  </r>
  <r>
    <x v="0"/>
  </r>
  <r>
    <x v="0"/>
  </r>
  <r>
    <x v="1"/>
  </r>
  <r>
    <x v="1"/>
  </r>
  <r>
    <x v="1"/>
  </r>
  <r>
    <x v="1"/>
  </r>
  <r>
    <x v="1"/>
  </r>
  <r>
    <x v="1"/>
  </r>
  <r>
    <x v="1"/>
  </r>
  <r>
    <x v="2"/>
  </r>
  <r>
    <x v="1"/>
  </r>
  <r>
    <x v="0"/>
  </r>
  <r>
    <x v="0"/>
  </r>
  <r>
    <x v="0"/>
  </r>
  <r>
    <x v="0"/>
  </r>
  <r>
    <x v="1"/>
  </r>
  <r>
    <x v="1"/>
  </r>
  <r>
    <x v="1"/>
  </r>
  <r>
    <x v="1"/>
  </r>
  <r>
    <x v="1"/>
  </r>
  <r>
    <x v="1"/>
  </r>
  <r>
    <x v="1"/>
  </r>
  <r>
    <x v="0"/>
  </r>
  <r>
    <x v="0"/>
  </r>
  <r>
    <x v="0"/>
  </r>
  <r>
    <x v="0"/>
  </r>
  <r>
    <x v="1"/>
  </r>
  <r>
    <x v="1"/>
  </r>
  <r>
    <x v="1"/>
  </r>
  <r>
    <x v="1"/>
  </r>
  <r>
    <x v="1"/>
  </r>
  <r>
    <x v="2"/>
  </r>
  <r>
    <x v="2"/>
  </r>
  <r>
    <x v="1"/>
  </r>
  <r>
    <x v="1"/>
  </r>
  <r>
    <x v="1"/>
  </r>
  <r>
    <x v="2"/>
  </r>
  <r>
    <x v="2"/>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0"/>
  </r>
  <r>
    <x v="0"/>
  </r>
  <r>
    <x v="0"/>
  </r>
  <r>
    <x v="0"/>
  </r>
  <r>
    <x v="0"/>
  </r>
  <r>
    <x v="0"/>
  </r>
  <r>
    <x v="0"/>
  </r>
  <r>
    <x v="0"/>
  </r>
  <r>
    <x v="0"/>
  </r>
  <r>
    <x v="0"/>
  </r>
  <r>
    <x v="1"/>
  </r>
  <r>
    <x v="1"/>
  </r>
  <r>
    <x v="1"/>
  </r>
  <r>
    <x v="1"/>
  </r>
  <r>
    <x v="1"/>
  </r>
  <r>
    <x v="1"/>
  </r>
  <r>
    <x v="1"/>
  </r>
  <r>
    <x v="1"/>
  </r>
  <r>
    <x v="1"/>
  </r>
  <r>
    <x v="1"/>
  </r>
  <r>
    <x v="1"/>
  </r>
  <r>
    <x v="1"/>
  </r>
  <r>
    <x v="1"/>
  </r>
  <r>
    <x v="1"/>
  </r>
  <r>
    <x v="2"/>
  </r>
  <r>
    <x v="2"/>
  </r>
  <r>
    <x v="2"/>
  </r>
  <r>
    <x v="2"/>
  </r>
  <r>
    <x v="2"/>
  </r>
  <r>
    <x v="2"/>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1"/>
  </r>
  <r>
    <x v="1"/>
  </r>
  <r>
    <x v="1"/>
  </r>
  <r>
    <x v="1"/>
  </r>
  <r>
    <x v="0"/>
  </r>
  <r>
    <x v="0"/>
  </r>
  <r>
    <x v="0"/>
  </r>
  <r>
    <x v="0"/>
  </r>
  <r>
    <x v="0"/>
  </r>
  <r>
    <x v="0"/>
  </r>
  <r>
    <x v="0"/>
  </r>
  <r>
    <x v="0"/>
  </r>
  <r>
    <x v="0"/>
  </r>
  <r>
    <x v="0"/>
  </r>
  <r>
    <x v="1"/>
  </r>
  <r>
    <x v="1"/>
  </r>
  <r>
    <x v="1"/>
  </r>
  <r>
    <x v="1"/>
  </r>
  <r>
    <x v="1"/>
  </r>
  <r>
    <x v="1"/>
  </r>
  <r>
    <x v="1"/>
  </r>
  <r>
    <x v="1"/>
  </r>
  <r>
    <x v="0"/>
  </r>
  <r>
    <x v="0"/>
  </r>
  <r>
    <x v="0"/>
  </r>
  <r>
    <x v="0"/>
  </r>
  <r>
    <x v="0"/>
  </r>
  <r>
    <x v="0"/>
  </r>
  <r>
    <x v="1"/>
  </r>
  <r>
    <x v="1"/>
  </r>
  <r>
    <x v="1"/>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0"/>
  </r>
  <r>
    <x v="1"/>
  </r>
  <r>
    <x v="2"/>
  </r>
  <r>
    <x v="2"/>
  </r>
  <r>
    <x v="2"/>
  </r>
  <r>
    <x v="2"/>
  </r>
  <r>
    <x v="2"/>
  </r>
  <r>
    <x v="1"/>
  </r>
  <r>
    <x v="1"/>
  </r>
  <r>
    <x v="1"/>
  </r>
  <r>
    <x v="1"/>
  </r>
  <r>
    <x v="1"/>
  </r>
  <r>
    <x v="1"/>
  </r>
  <r>
    <x v="1"/>
  </r>
  <r>
    <x v="1"/>
  </r>
  <r>
    <x v="1"/>
  </r>
  <r>
    <x v="1"/>
  </r>
  <r>
    <x v="1"/>
  </r>
  <r>
    <x v="1"/>
  </r>
  <r>
    <x v="1"/>
  </r>
  <r>
    <x v="2"/>
  </r>
  <r>
    <x v="2"/>
  </r>
  <r>
    <x v="2"/>
  </r>
  <r>
    <x v="1"/>
  </r>
  <r>
    <x v="1"/>
  </r>
  <r>
    <x v="1"/>
  </r>
  <r>
    <x v="1"/>
  </r>
  <r>
    <x v="1"/>
  </r>
  <r>
    <x v="1"/>
  </r>
  <r>
    <x v="1"/>
  </r>
  <r>
    <x v="1"/>
  </r>
  <r>
    <x v="0"/>
  </r>
  <r>
    <x v="0"/>
  </r>
  <r>
    <x v="0"/>
  </r>
  <r>
    <x v="0"/>
  </r>
  <r>
    <x v="0"/>
  </r>
  <r>
    <x v="0"/>
  </r>
  <r>
    <x v="0"/>
  </r>
  <r>
    <x v="0"/>
  </r>
  <r>
    <x v="0"/>
  </r>
  <r>
    <x v="0"/>
  </r>
  <r>
    <x v="0"/>
  </r>
  <r>
    <x v="0"/>
  </r>
  <r>
    <x v="0"/>
  </r>
  <r>
    <x v="0"/>
  </r>
  <r>
    <x v="0"/>
  </r>
  <r>
    <x v="0"/>
  </r>
  <r>
    <x v="0"/>
  </r>
  <r>
    <x v="0"/>
  </r>
  <r>
    <x v="0"/>
  </r>
  <r>
    <x v="0"/>
  </r>
  <r>
    <x v="1"/>
  </r>
  <r>
    <x v="0"/>
  </r>
  <r>
    <x v="1"/>
  </r>
  <r>
    <x v="1"/>
  </r>
  <r>
    <x v="1"/>
  </r>
  <r>
    <x v="1"/>
  </r>
  <r>
    <x v="1"/>
  </r>
  <r>
    <x v="1"/>
  </r>
  <r>
    <x v="1"/>
  </r>
  <r>
    <x v="1"/>
  </r>
  <r>
    <x v="0"/>
  </r>
  <r>
    <x v="1"/>
  </r>
  <r>
    <x v="1"/>
  </r>
  <r>
    <x v="1"/>
  </r>
  <r>
    <x v="1"/>
  </r>
  <r>
    <x v="1"/>
  </r>
  <r>
    <x v="1"/>
  </r>
  <r>
    <x v="2"/>
  </r>
  <r>
    <x v="2"/>
  </r>
  <r>
    <x v="1"/>
  </r>
  <r>
    <x v="0"/>
  </r>
  <r>
    <x v="0"/>
  </r>
  <r>
    <x v="0"/>
  </r>
  <r>
    <x v="0"/>
  </r>
  <r>
    <x v="0"/>
  </r>
  <r>
    <x v="0"/>
  </r>
  <r>
    <x v="0"/>
  </r>
  <r>
    <x v="0"/>
  </r>
  <r>
    <x v="0"/>
  </r>
  <r>
    <x v="0"/>
  </r>
  <r>
    <x v="0"/>
  </r>
  <r>
    <x v="0"/>
  </r>
  <r>
    <x v="0"/>
  </r>
  <r>
    <x v="0"/>
  </r>
  <r>
    <x v="0"/>
  </r>
  <r>
    <x v="0"/>
  </r>
  <r>
    <x v="0"/>
  </r>
  <r>
    <x v="0"/>
  </r>
  <r>
    <x v="0"/>
  </r>
  <r>
    <x v="0"/>
  </r>
  <r>
    <x v="1"/>
  </r>
  <r>
    <x v="1"/>
  </r>
  <r>
    <x v="1"/>
  </r>
  <r>
    <x v="1"/>
  </r>
  <r>
    <x v="1"/>
  </r>
  <r>
    <x v="0"/>
  </r>
  <r>
    <x v="0"/>
  </r>
  <r>
    <x v="0"/>
  </r>
  <r>
    <x v="1"/>
  </r>
  <r>
    <x v="1"/>
  </r>
  <r>
    <x v="1"/>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0"/>
  </r>
  <r>
    <x v="0"/>
  </r>
  <r>
    <x v="0"/>
  </r>
  <r>
    <x v="0"/>
  </r>
  <r>
    <x v="0"/>
  </r>
  <r>
    <x v="0"/>
  </r>
  <r>
    <x v="0"/>
  </r>
  <r>
    <x v="1"/>
  </r>
  <r>
    <x v="1"/>
  </r>
  <r>
    <x v="1"/>
  </r>
  <r>
    <x v="1"/>
  </r>
  <r>
    <x v="0"/>
  </r>
  <r>
    <x v="0"/>
  </r>
  <r>
    <x v="0"/>
  </r>
  <r>
    <x v="0"/>
  </r>
  <r>
    <x v="0"/>
  </r>
  <r>
    <x v="1"/>
  </r>
  <r>
    <x v="1"/>
  </r>
  <r>
    <x v="1"/>
  </r>
  <r>
    <x v="1"/>
  </r>
  <r>
    <x v="1"/>
  </r>
  <r>
    <x v="1"/>
  </r>
  <r>
    <x v="1"/>
  </r>
  <r>
    <x v="1"/>
  </r>
  <r>
    <x v="1"/>
  </r>
  <r>
    <x v="0"/>
  </r>
  <r>
    <x v="1"/>
  </r>
  <r>
    <x v="1"/>
  </r>
  <r>
    <x v="0"/>
  </r>
  <r>
    <x v="0"/>
  </r>
  <r>
    <x v="0"/>
  </r>
  <r>
    <x v="1"/>
  </r>
  <r>
    <x v="1"/>
  </r>
  <r>
    <x v="1"/>
  </r>
  <r>
    <x v="2"/>
  </r>
  <r>
    <x v="2"/>
  </r>
  <r>
    <x v="2"/>
  </r>
  <r>
    <x v="2"/>
  </r>
  <r>
    <x v="2"/>
  </r>
  <r>
    <x v="2"/>
  </r>
  <r>
    <x v="2"/>
  </r>
  <r>
    <x v="2"/>
  </r>
  <r>
    <x v="2"/>
  </r>
  <r>
    <x v="2"/>
  </r>
  <r>
    <x v="2"/>
  </r>
  <r>
    <x v="2"/>
  </r>
  <r>
    <x v="3"/>
  </r>
  <r>
    <x v="2"/>
  </r>
  <r>
    <x v="0"/>
  </r>
  <r>
    <x v="0"/>
  </r>
  <r>
    <x v="0"/>
  </r>
  <r>
    <x v="0"/>
  </r>
  <r>
    <x v="0"/>
  </r>
  <r>
    <x v="0"/>
  </r>
  <r>
    <x v="0"/>
  </r>
  <r>
    <x v="0"/>
  </r>
  <r>
    <x v="1"/>
  </r>
  <r>
    <x v="1"/>
  </r>
  <r>
    <x v="1"/>
  </r>
  <r>
    <x v="1"/>
  </r>
  <r>
    <x v="1"/>
  </r>
  <r>
    <x v="1"/>
  </r>
  <r>
    <x v="1"/>
  </r>
  <r>
    <x v="1"/>
  </r>
  <r>
    <x v="2"/>
  </r>
  <r>
    <x v="2"/>
  </r>
  <r>
    <x v="2"/>
  </r>
  <r>
    <x v="2"/>
  </r>
  <r>
    <x v="2"/>
  </r>
  <r>
    <x v="2"/>
  </r>
  <r>
    <x v="1"/>
  </r>
  <r>
    <x v="0"/>
  </r>
  <r>
    <x v="0"/>
  </r>
  <r>
    <x v="0"/>
  </r>
  <r>
    <x v="1"/>
  </r>
  <r>
    <x v="1"/>
  </r>
  <r>
    <x v="1"/>
  </r>
  <r>
    <x v="0"/>
  </r>
  <r>
    <x v="0"/>
  </r>
  <r>
    <x v="0"/>
  </r>
  <r>
    <x v="0"/>
  </r>
  <r>
    <x v="0"/>
  </r>
  <r>
    <x v="0"/>
  </r>
  <r>
    <x v="0"/>
  </r>
  <r>
    <x v="0"/>
  </r>
  <r>
    <x v="0"/>
  </r>
  <r>
    <x v="0"/>
  </r>
  <r>
    <x v="0"/>
  </r>
  <r>
    <x v="1"/>
  </r>
  <r>
    <x v="1"/>
  </r>
  <r>
    <x v="1"/>
  </r>
  <r>
    <x v="1"/>
  </r>
  <r>
    <x v="1"/>
  </r>
  <r>
    <x v="0"/>
  </r>
  <r>
    <x v="0"/>
  </r>
  <r>
    <x v="0"/>
  </r>
  <r>
    <x v="0"/>
  </r>
  <r>
    <x v="1"/>
  </r>
  <r>
    <x v="0"/>
  </r>
  <r>
    <x v="0"/>
  </r>
  <r>
    <x v="0"/>
  </r>
  <r>
    <x v="0"/>
  </r>
  <r>
    <x v="0"/>
  </r>
  <r>
    <x v="0"/>
  </r>
  <r>
    <x v="0"/>
  </r>
  <r>
    <x v="0"/>
  </r>
  <r>
    <x v="0"/>
  </r>
  <r>
    <x v="0"/>
  </r>
  <r>
    <x v="0"/>
  </r>
  <r>
    <x v="1"/>
  </r>
  <r>
    <x v="1"/>
  </r>
  <r>
    <x v="1"/>
  </r>
  <r>
    <x v="0"/>
  </r>
  <r>
    <x v="0"/>
  </r>
  <r>
    <x v="0"/>
  </r>
  <r>
    <x v="0"/>
  </r>
  <r>
    <x v="0"/>
  </r>
  <r>
    <x v="0"/>
  </r>
  <r>
    <x v="0"/>
  </r>
  <r>
    <x v="0"/>
  </r>
  <r>
    <x v="0"/>
  </r>
  <r>
    <x v="1"/>
  </r>
  <r>
    <x v="1"/>
  </r>
  <r>
    <x v="1"/>
  </r>
  <r>
    <x v="1"/>
  </r>
  <r>
    <x v="1"/>
  </r>
  <r>
    <x v="0"/>
  </r>
  <r>
    <x v="0"/>
  </r>
  <r>
    <x v="0"/>
  </r>
  <r>
    <x v="0"/>
  </r>
  <r>
    <x v="0"/>
  </r>
  <r>
    <x v="0"/>
  </r>
  <r>
    <x v="1"/>
  </r>
  <r>
    <x v="1"/>
  </r>
  <r>
    <x v="1"/>
  </r>
  <r>
    <x v="1"/>
  </r>
  <r>
    <x v="1"/>
  </r>
  <r>
    <x v="1"/>
  </r>
  <r>
    <x v="1"/>
  </r>
  <r>
    <x v="1"/>
  </r>
  <r>
    <x v="1"/>
  </r>
  <r>
    <x v="1"/>
  </r>
  <r>
    <x v="1"/>
  </r>
  <r>
    <x v="1"/>
  </r>
  <r>
    <x v="0"/>
  </r>
  <r>
    <x v="2"/>
  </r>
  <r>
    <x v="2"/>
  </r>
  <r>
    <x v="1"/>
  </r>
  <r>
    <x v="1"/>
  </r>
  <r>
    <x v="1"/>
  </r>
  <r>
    <x v="1"/>
  </r>
  <r>
    <x v="1"/>
  </r>
  <r>
    <x v="1"/>
  </r>
  <r>
    <x v="2"/>
  </r>
  <r>
    <x v="2"/>
  </r>
  <r>
    <x v="2"/>
  </r>
  <r>
    <x v="2"/>
  </r>
  <r>
    <x v="1"/>
  </r>
  <r>
    <x v="1"/>
  </r>
  <r>
    <x v="1"/>
  </r>
  <r>
    <x v="1"/>
  </r>
  <r>
    <x v="1"/>
  </r>
  <r>
    <x v="1"/>
  </r>
  <r>
    <x v="1"/>
  </r>
  <r>
    <x v="1"/>
  </r>
  <r>
    <x v="1"/>
  </r>
  <r>
    <x v="1"/>
  </r>
  <r>
    <x v="1"/>
  </r>
  <r>
    <x v="1"/>
  </r>
  <r>
    <x v="1"/>
  </r>
  <r>
    <x v="1"/>
  </r>
  <r>
    <x v="2"/>
  </r>
  <r>
    <x v="2"/>
  </r>
  <r>
    <x v="2"/>
  </r>
  <r>
    <x v="2"/>
  </r>
  <r>
    <x v="2"/>
  </r>
  <r>
    <x v="2"/>
  </r>
  <r>
    <x v="2"/>
  </r>
  <r>
    <x v="2"/>
  </r>
  <r>
    <x v="2"/>
  </r>
  <r>
    <x v="2"/>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0"/>
  </r>
  <r>
    <x v="0"/>
  </r>
  <r>
    <x v="1"/>
  </r>
  <r>
    <x v="1"/>
  </r>
  <r>
    <x v="0"/>
  </r>
  <r>
    <x v="1"/>
  </r>
  <r>
    <x v="1"/>
  </r>
  <r>
    <x v="1"/>
  </r>
  <r>
    <x v="1"/>
  </r>
  <r>
    <x v="1"/>
  </r>
  <r>
    <x v="1"/>
  </r>
  <r>
    <x v="1"/>
  </r>
  <r>
    <x v="1"/>
  </r>
  <r>
    <x v="1"/>
  </r>
  <r>
    <x v="1"/>
  </r>
  <r>
    <x v="1"/>
  </r>
  <r>
    <x v="1"/>
  </r>
  <r>
    <x v="1"/>
  </r>
  <r>
    <x v="1"/>
  </r>
  <r>
    <x v="1"/>
  </r>
  <r>
    <x v="1"/>
  </r>
  <r>
    <x v="2"/>
  </r>
  <r>
    <x v="2"/>
  </r>
  <r>
    <x v="2"/>
  </r>
  <r>
    <x v="2"/>
  </r>
  <r>
    <x v="2"/>
  </r>
  <r>
    <x v="2"/>
  </r>
  <r>
    <x v="2"/>
  </r>
  <r>
    <x v="2"/>
  </r>
  <r>
    <x v="2"/>
  </r>
  <r>
    <x v="2"/>
  </r>
  <r>
    <x v="2"/>
  </r>
  <r>
    <x v="2"/>
  </r>
  <r>
    <x v="2"/>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1"/>
  </r>
  <r>
    <x v="1"/>
  </r>
  <r>
    <x v="1"/>
  </r>
  <r>
    <x v="1"/>
  </r>
  <r>
    <x v="1"/>
  </r>
  <r>
    <x v="1"/>
  </r>
  <r>
    <x v="1"/>
  </r>
  <r>
    <x v="1"/>
  </r>
  <r>
    <x v="1"/>
  </r>
  <r>
    <x v="0"/>
  </r>
  <r>
    <x v="0"/>
  </r>
  <r>
    <x v="1"/>
  </r>
  <r>
    <x v="1"/>
  </r>
  <r>
    <x v="1"/>
  </r>
  <r>
    <x v="1"/>
  </r>
  <r>
    <x v="2"/>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1"/>
  </r>
  <r>
    <x v="0"/>
  </r>
  <r>
    <x v="0"/>
  </r>
  <r>
    <x v="1"/>
  </r>
  <r>
    <x v="1"/>
  </r>
  <r>
    <x v="1"/>
  </r>
  <r>
    <x v="1"/>
  </r>
  <r>
    <x v="2"/>
  </r>
  <r>
    <x v="2"/>
  </r>
  <r>
    <x v="1"/>
  </r>
  <r>
    <x v="2"/>
  </r>
  <r>
    <x v="2"/>
  </r>
  <r>
    <x v="2"/>
  </r>
  <r>
    <x v="2"/>
  </r>
  <r>
    <x v="2"/>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0"/>
  </r>
  <r>
    <x v="0"/>
  </r>
  <r>
    <x v="0"/>
  </r>
  <r>
    <x v="0"/>
  </r>
  <r>
    <x v="1"/>
  </r>
  <r>
    <x v="1"/>
  </r>
  <r>
    <x v="1"/>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DE8ECC-7E5A-4977-A95A-1D7635235A8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49" firstHeaderRow="1" firstDataRow="1" firstDataCol="1"/>
  <pivotFields count="18">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items count="3">
        <item x="0"/>
        <item x="1"/>
        <item t="default"/>
      </items>
    </pivotField>
    <pivotField showAll="0"/>
    <pivotField showAll="0"/>
    <pivotField showAll="0"/>
    <pivotField showAll="0"/>
    <pivotField numFmtId="165" showAll="0"/>
    <pivotField showAll="0"/>
    <pivotField showAll="0"/>
    <pivotField numFmtId="9"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6"/>
    <field x="17"/>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registered" fld="14" baseField="0" baseItem="0"/>
  </dataFields>
  <chartFormats count="1">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DD785-AC43-4FAB-B695-31C54D2689E1}"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I22"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items count="5">
        <item x="1"/>
        <item x="2"/>
        <item x="0"/>
        <item x="3"/>
        <item t="default"/>
      </items>
    </pivotField>
    <pivotField numFmtId="165" showAll="0"/>
    <pivotField showAll="0"/>
    <pivotField showAll="0"/>
    <pivotField numFmtId="9" showAll="0"/>
    <pivotField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82AA35-16AE-4D9A-BC43-D3ED2BFA9D7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E29" firstHeaderRow="1" firstDataRow="1" firstDataCol="1"/>
  <pivotFields count="1">
    <pivotField axis="axisRow" showAll="0">
      <items count="5">
        <item x="0"/>
        <item x="2"/>
        <item x="3"/>
        <item x="1"/>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02934-E677-4F74-ABFC-45CEE666E388}"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5:C63" firstHeaderRow="0" firstDataRow="1" firstDataCol="1"/>
  <pivotFields count="18">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8">
        <item x="1"/>
        <item x="2"/>
        <item x="3"/>
        <item x="4"/>
        <item x="5"/>
        <item x="6"/>
        <item x="0"/>
        <item t="default"/>
      </items>
    </pivotField>
    <pivotField showAll="0">
      <items count="5">
        <item x="1"/>
        <item x="2"/>
        <item x="0"/>
        <item x="3"/>
        <item t="default"/>
      </items>
    </pivotField>
    <pivotField numFmtId="165" showAll="0"/>
    <pivotField dataField="1" showAll="0"/>
    <pivotField showAll="0"/>
    <pivotField dataField="1" numFmtId="9"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x="1"/>
        <item x="2"/>
        <item sd="0" x="3"/>
        <item sd="0" x="4"/>
        <item sd="0" x="5"/>
        <item sd="0" x="6"/>
        <item sd="0" x="7"/>
        <item sd="0" x="8"/>
        <item sd="0" x="9"/>
        <item sd="0" x="10"/>
        <item sd="0" x="11"/>
        <item sd="0" x="12"/>
        <item sd="0" x="13"/>
      </items>
    </pivotField>
  </pivotFields>
  <rowFields count="3">
    <field x="17"/>
    <field x="16"/>
    <field x="1"/>
  </rowFields>
  <rowItems count="48">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t="grand">
      <x/>
    </i>
  </rowItems>
  <colFields count="1">
    <field x="-2"/>
  </colFields>
  <colItems count="2">
    <i>
      <x/>
    </i>
    <i i="1">
      <x v="1"/>
    </i>
  </colItems>
  <dataFields count="2">
    <dataField name="Average of hum" fld="11" subtotal="average" baseField="16" baseItem="1" numFmtId="9"/>
    <dataField name="Average of temp" fld="9" subtotal="average" baseField="16" baseItem="1"/>
  </dataFields>
  <formats count="1">
    <format dxfId="9">
      <pivotArea collapsedLevelsAreSubtotals="1" fieldPosition="0">
        <references count="3">
          <reference field="4294967294" count="1" selected="0">
            <x v="0"/>
          </reference>
          <reference field="16" count="1">
            <x v="1"/>
          </reference>
          <reference field="17" count="1" selected="0">
            <x v="1"/>
          </reference>
        </references>
      </pivotArea>
    </format>
  </formats>
  <chartFormats count="2">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C70F42-19EF-4472-8E0B-A67E23EE8C7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D11" firstHeaderRow="0" firstDataRow="1" firstDataCol="1"/>
  <pivotFields count="14">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8">
        <item sd="0" x="1"/>
        <item sd="0" x="2"/>
        <item sd="0" x="3"/>
        <item sd="0" x="4"/>
        <item sd="0" x="5"/>
        <item sd="0" x="6"/>
        <item sd="0" x="0"/>
        <item t="default" sd="0"/>
      </items>
    </pivotField>
    <pivotField showAll="0"/>
    <pivotField numFmtId="165" showAll="0"/>
    <pivotField dataField="1" numFmtId="9" showAll="0"/>
    <pivotField dataField="1" showAll="0"/>
    <pivotField showAll="0"/>
    <pivotField dataField="1" showAll="0"/>
    <pivotField showAll="0"/>
  </pivotFields>
  <rowFields count="2">
    <field x="6"/>
    <field x="1"/>
  </rowFields>
  <rowItems count="8">
    <i>
      <x/>
    </i>
    <i>
      <x v="1"/>
    </i>
    <i>
      <x v="2"/>
    </i>
    <i>
      <x v="3"/>
    </i>
    <i>
      <x v="4"/>
    </i>
    <i>
      <x v="5"/>
    </i>
    <i>
      <x v="6"/>
    </i>
    <i t="grand">
      <x/>
    </i>
  </rowItems>
  <colFields count="1">
    <field x="-2"/>
  </colFields>
  <colItems count="3">
    <i>
      <x/>
    </i>
    <i i="1">
      <x v="1"/>
    </i>
    <i i="2">
      <x v="2"/>
    </i>
  </colItems>
  <dataFields count="3">
    <dataField name="Average of hum" fld="9" subtotal="average" baseField="0" baseItem="0" numFmtId="9"/>
    <dataField name="Average of windspeed" fld="10" subtotal="average" baseField="6" baseItem="0"/>
    <dataField name="Sum of registered" fld="12" baseField="0" baseItem="0"/>
  </dataFields>
  <chartFormats count="3">
    <chartFormat chart="34" format="6"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863FF-6790-4E5A-81D5-B60F6EED62DE}"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C51"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3">
        <item x="0"/>
        <item x="1"/>
        <item t="default"/>
      </items>
    </pivotField>
    <pivotField showAll="0"/>
    <pivotField showAll="0">
      <items count="3">
        <item x="0"/>
        <item x="1"/>
        <item t="default"/>
      </items>
    </pivotField>
    <pivotField showAll="0">
      <items count="8">
        <item x="1"/>
        <item x="2"/>
        <item x="3"/>
        <item x="4"/>
        <item x="5"/>
        <item x="6"/>
        <item x="0"/>
        <item t="default"/>
      </items>
    </pivotField>
    <pivotField showAll="0">
      <items count="5">
        <item x="1"/>
        <item x="2"/>
        <item x="0"/>
        <item x="3"/>
        <item t="default"/>
      </items>
    </pivotField>
    <pivotField numFmtId="165" showAll="0"/>
    <pivotField showAll="0"/>
    <pivotField showAll="0"/>
    <pivotField numFmtId="9"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85584B-4FCD-4CAB-995A-5DF75DF7F75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19:C31" firstHeaderRow="1" firstDataRow="1" firstDataCol="1"/>
  <pivotFields count="18">
    <pivotField showAll="0"/>
    <pivotField axis="axisRow" numFmtId="14" showAll="0">
      <items count="46">
        <item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showAll="0"/>
    <pivotField showAll="0"/>
    <pivotField showAll="0"/>
    <pivotField showAll="0"/>
    <pivotField showAll="0"/>
    <pivotField axis="axisRow" showAll="0">
      <items count="5">
        <item x="1"/>
        <item x="2"/>
        <item x="0"/>
        <item x="3"/>
        <item t="default"/>
      </items>
    </pivotField>
    <pivotField numFmtId="165" showAll="0"/>
    <pivotField showAll="0"/>
    <pivotField showAll="0"/>
    <pivotField numFmtId="9" showAll="0"/>
    <pivotField showAll="0"/>
    <pivotField showAll="0"/>
    <pivotField showAll="0"/>
    <pivotField dataField="1"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4">
    <field x="17"/>
    <field x="16"/>
    <field x="1"/>
    <field x="7"/>
  </rowFields>
  <rowItems count="12">
    <i>
      <x v="1"/>
    </i>
    <i r="1">
      <x v="1"/>
    </i>
    <i r="2">
      <x/>
    </i>
    <i r="3">
      <x/>
    </i>
    <i r="3">
      <x v="1"/>
    </i>
    <i r="3">
      <x v="2"/>
    </i>
    <i r="1">
      <x v="2"/>
    </i>
    <i r="2">
      <x v="1"/>
    </i>
    <i r="3">
      <x/>
    </i>
    <i r="3">
      <x v="1"/>
    </i>
    <i r="3">
      <x v="2"/>
    </i>
    <i t="grand">
      <x/>
    </i>
  </rowItems>
  <colItems count="1">
    <i/>
  </colItems>
  <dataFields count="1">
    <dataField name="Average of cnt" fld="15" subtotal="average" baseField="17" baseItem="1" numFmtId="1"/>
  </dataFields>
  <chartFormats count="2">
    <chartFormat chart="15"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972CD-AD1A-42D8-BCA6-7D2F97639A9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4" firstHeaderRow="1" firstDataRow="1" firstDataCol="1"/>
  <pivotFields count="14">
    <pivotField showAll="0"/>
    <pivotField numFmtId="14" showAll="0"/>
    <pivotField showAll="0"/>
    <pivotField showAll="0"/>
    <pivotField showAll="0"/>
    <pivotField axis="axisRow" showAll="0">
      <items count="3">
        <item x="0"/>
        <item x="1"/>
        <item t="default"/>
      </items>
    </pivotField>
    <pivotField axis="axisRow" showAll="0" sortType="ascending">
      <items count="8">
        <item x="1"/>
        <item x="2"/>
        <item x="3"/>
        <item x="4"/>
        <item x="5"/>
        <item x="6"/>
        <item x="0"/>
        <item t="default"/>
      </items>
    </pivotField>
    <pivotField showAll="0">
      <items count="5">
        <item x="0"/>
        <item x="2"/>
        <item x="3"/>
        <item x="1"/>
        <item t="default"/>
      </items>
    </pivotField>
    <pivotField numFmtId="165" showAll="0"/>
    <pivotField numFmtId="9" showAll="0"/>
    <pivotField showAll="0"/>
    <pivotField showAll="0"/>
    <pivotField showAll="0"/>
    <pivotField dataField="1" showAll="0"/>
  </pivotFields>
  <rowFields count="2">
    <field x="5"/>
    <field x="6"/>
  </rowFields>
  <rowItems count="11">
    <i>
      <x/>
    </i>
    <i r="1">
      <x/>
    </i>
    <i r="1">
      <x v="1"/>
    </i>
    <i r="1">
      <x v="2"/>
    </i>
    <i r="1">
      <x v="3"/>
    </i>
    <i r="1">
      <x v="4"/>
    </i>
    <i r="1">
      <x v="5"/>
    </i>
    <i r="1">
      <x v="6"/>
    </i>
    <i>
      <x v="1"/>
    </i>
    <i r="1">
      <x v="1"/>
    </i>
    <i t="grand">
      <x/>
    </i>
  </rowItems>
  <colItems count="1">
    <i/>
  </colItems>
  <dataFields count="1">
    <dataField name="Sum of cnt" fld="13" baseField="5" baseItem="0"/>
  </dataFields>
  <chartFormats count="2">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B48E6AE-35EC-4C87-9FD6-42CBD7FB4D84}" autoFormatId="16" applyNumberFormats="0" applyBorderFormats="0" applyFontFormats="0" applyPatternFormats="0" applyAlignmentFormats="0" applyWidthHeightFormats="0">
  <queryTableRefresh nextId="24">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8" name="atemp" tableColumnId="18"/>
      <queryTableField id="19" name="hum" tableColumnId="19"/>
      <queryTableField id="20" name="windspeed" tableColumnId="20"/>
      <queryTableField id="21" name="casual" tableColumnId="21"/>
      <queryTableField id="22" name="registered" tableColumnId="22"/>
      <queryTableField id="23" name="cnt"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CD56A11B-73B1-4F8C-A89B-534B34AA4E8F}" autoFormatId="16" applyNumberFormats="0" applyBorderFormats="0" applyFontFormats="0" applyPatternFormats="0" applyAlignmentFormats="0" applyWidthHeightFormats="0">
  <queryTableRefresh nextId="24">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8" name="atemp" tableColumnId="18"/>
      <queryTableField id="19" name="hum" tableColumnId="19"/>
      <queryTableField id="20" name="windspeed" tableColumnId="20"/>
      <queryTableField id="21" name="casual" tableColumnId="21"/>
      <queryTableField id="22" name="registered" tableColumnId="22"/>
      <queryTableField id="23" name="cnt"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16C4B05E-A779-4C6F-8395-155C2985E4BD}" autoFormatId="16" applyNumberFormats="0" applyBorderFormats="0" applyFontFormats="0" applyPatternFormats="0" applyAlignmentFormats="0" applyWidthHeightFormats="0">
  <queryTableRefresh nextId="24">
    <queryTableFields count="14">
      <queryTableField id="1" name="instant" tableColumnId="1"/>
      <queryTableField id="2" name="dteday" tableColumnId="2"/>
      <queryTableField id="3" name="season" tableColumnId="3"/>
      <queryTableField id="17" dataBound="0" tableColumnId="17"/>
      <queryTableField id="6" name="hr" tableColumnId="6"/>
      <queryTableField id="20" dataBound="0" tableColumnId="20"/>
      <queryTableField id="18" dataBound="0" tableColumnId="18"/>
      <queryTableField id="21" dataBound="0" tableColumnId="21"/>
      <queryTableField id="22" dataBound="0" tableColumnId="22"/>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7">
      <deletedField name="yr"/>
      <deletedField name="mnth"/>
      <deletedField name="weekday"/>
      <deletedField name="holiday"/>
      <deletedField name="weathersit"/>
      <deletedField name="temp"/>
      <deletedField name="atemp"/>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E8356C36-C118-4BF3-AA34-13A59738A34E}" sourceName="dteday">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0BAC1A00-54AF-4C23-8A86-BD940A2696F7}" sourceName="cnt">
  <extLst>
    <x:ext xmlns:x15="http://schemas.microsoft.com/office/spreadsheetml/2010/11/main" uri="{2F2917AC-EB37-4324-AD4E-5DD8C200BD13}">
      <x15:tableSlicerCache tableId="6"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teday" xr10:uid="{22476B2B-B9F3-4BE5-B338-2A54B1126223}" cache="Slicer_dteday" caption="dteday" rowHeight="234950"/>
  <slicer name="dteday 1" xr10:uid="{9E40DB05-F264-4E75-AB3E-AA91C7E3BF28}" cache="Slicer_dteday" caption="dteday" rowHeight="234950"/>
  <slicer name="cnt" xr10:uid="{294DF6DD-F01D-472D-8A3B-A47352F2E38B}" cache="Slicer_cnt" caption="cnt"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769D29-EDC6-430F-B3C7-E5ADF9FDD551}" name="Table4" displayName="Table4" ref="A1:P391" totalsRowShown="0" headerRowDxfId="57" dataDxfId="56" headerRowCellStyle="Normal 2" dataCellStyle="Normal 2">
  <autoFilter ref="A1:P391" xr:uid="{C0769D29-EDC6-430F-B3C7-E5ADF9FDD551}"/>
  <sortState xmlns:xlrd2="http://schemas.microsoft.com/office/spreadsheetml/2017/richdata2" ref="A2:P391">
    <sortCondition ref="A1:A391"/>
  </sortState>
  <tableColumns count="16">
    <tableColumn id="1" xr3:uid="{38358728-3502-4CE5-8085-EC53E37D543A}" name="instant" dataDxfId="55" dataCellStyle="Normal 2"/>
    <tableColumn id="2" xr3:uid="{726F3B19-47E4-40DA-9938-57289FF86C6F}" name="dteday" dataDxfId="54" dataCellStyle="Normal 2"/>
    <tableColumn id="3" xr3:uid="{4C598667-2662-458F-A395-4E0392A311C1}" name="season" dataDxfId="53" dataCellStyle="Normal 2"/>
    <tableColumn id="4" xr3:uid="{5FAF3769-10CA-4B91-9485-8B5FD3B05713}" name="yr" dataDxfId="52" dataCellStyle="Normal 2"/>
    <tableColumn id="5" xr3:uid="{7FBCBFD6-AED0-4E63-919F-1D19F3E63614}" name="mnth" dataDxfId="51" dataCellStyle="Normal 2"/>
    <tableColumn id="6" xr3:uid="{98A527D8-3F10-4BD4-85D0-0CA0991DB800}" name="hr" dataDxfId="50" dataCellStyle="Normal 2"/>
    <tableColumn id="7" xr3:uid="{27E740EB-19EC-4C9A-8A99-580856445862}" name="holiday" dataDxfId="49" dataCellStyle="Normal 2"/>
    <tableColumn id="8" xr3:uid="{5592C603-CE97-4B64-BD9E-F4AB329A32B4}" name="weekday" dataDxfId="48" dataCellStyle="Normal 2"/>
    <tableColumn id="9" xr3:uid="{59FE1957-A6D5-473E-8833-749099C0F9A4}" name="weathersit" dataDxfId="47" dataCellStyle="Normal 2"/>
    <tableColumn id="10" xr3:uid="{EE7557E4-10DD-4A4E-BD74-A4D9383A8BDB}" name="temp" dataDxfId="46" dataCellStyle="Normal 2"/>
    <tableColumn id="11" xr3:uid="{DF69933A-9E0E-42BE-BE44-2E888F288308}" name="atemp" dataDxfId="45" dataCellStyle="Normal 2"/>
    <tableColumn id="12" xr3:uid="{5381DE3C-4C18-4C30-998D-8BE59F353180}" name="hum" dataDxfId="44" dataCellStyle="Normal 2"/>
    <tableColumn id="13" xr3:uid="{4FF031E3-AF02-4A0F-A086-BBC869C41E65}" name="windspeed" dataDxfId="43" dataCellStyle="Normal 2"/>
    <tableColumn id="14" xr3:uid="{11FF1A74-B5BB-4E45-9CEE-409FE29DA539}" name="casual" dataDxfId="42" dataCellStyle="Normal 2"/>
    <tableColumn id="15" xr3:uid="{A16AE243-B3CF-4852-B5DB-76D937370324}" name="registered" dataDxfId="41" dataCellStyle="Normal 2"/>
    <tableColumn id="16" xr3:uid="{DDA6F0C5-8E74-4288-A816-8F02056E0367}" name="cnt" dataDxfId="40"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08239-B0AA-4C6F-996B-0C256C2B0A4E}" name="Table1" displayName="Table1" ref="A1:J611" totalsRowShown="0" headerRowDxfId="39" dataDxfId="37" headerRowBorderDxfId="38" tableBorderDxfId="36" totalsRowBorderDxfId="35">
  <autoFilter ref="A1:J611" xr:uid="{6F308239-B0AA-4C6F-996B-0C256C2B0A4E}"/>
  <tableColumns count="10">
    <tableColumn id="1" xr3:uid="{BED7593B-F11A-4E61-9788-16A2F8DCA756}" name="instant" dataDxfId="34"/>
    <tableColumn id="2" xr3:uid="{90863716-EFEA-4DF2-8688-7DBC953425CA}" name="dteday" dataDxfId="33"/>
    <tableColumn id="3" xr3:uid="{8C23A82E-9EF7-49E4-8F2C-8281678CD563}" name="season" dataDxfId="32"/>
    <tableColumn id="4" xr3:uid="{4AD6E992-2C1B-41C7-B2D2-45EA5769060B}" name="yr" dataDxfId="31"/>
    <tableColumn id="5" xr3:uid="{275C9965-0E8F-4177-9D1F-2148B5A56C96}" name="mnth" dataDxfId="30"/>
    <tableColumn id="6" xr3:uid="{4B9CA403-67B2-4F94-AB7E-30AA7FF68373}" name="hr" dataDxfId="29"/>
    <tableColumn id="7" xr3:uid="{464A784B-4891-44C9-BFD9-B24998F8188C}" name="holiday" dataDxfId="28"/>
    <tableColumn id="8" xr3:uid="{8FEAD0F6-65AB-4EC6-B373-86B798683593}" name="weekday" dataDxfId="27"/>
    <tableColumn id="9" xr3:uid="{EF6D24F8-030B-40C2-B933-26683C3C9865}" name="weathersit" dataDxfId="26"/>
    <tableColumn id="10" xr3:uid="{CCF79339-A95D-4E0A-BE41-C52CA7785308}" name="temp"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59F912-3EF6-4ACF-8ADF-A3457A88BBFF}" name="Table2" displayName="Table2" ref="A1:G611" totalsRowShown="0" headerRowDxfId="24" dataDxfId="22" headerRowBorderDxfId="23" tableBorderDxfId="21" totalsRowBorderDxfId="20">
  <autoFilter ref="A1:G611" xr:uid="{C659F912-3EF6-4ACF-8ADF-A3457A88BBFF}"/>
  <tableColumns count="7">
    <tableColumn id="2" xr3:uid="{E6206F91-515F-4942-B714-561E250C9D7D}" name="instant" dataDxfId="19"/>
    <tableColumn id="3" xr3:uid="{BEC48A0A-34A1-4897-9696-09F43CFE568B}" name="atemp" dataDxfId="18"/>
    <tableColumn id="4" xr3:uid="{C9464701-B1B5-49EA-913B-AB18AF019DF1}" name="hum" dataDxfId="17"/>
    <tableColumn id="5" xr3:uid="{269D5DEF-C63E-40BD-85EA-81128DA8ACF7}" name="windspeed" dataDxfId="16"/>
    <tableColumn id="6" xr3:uid="{24162181-6B04-49DC-89AE-ABB3B9C5C29A}" name="casual" dataDxfId="15"/>
    <tableColumn id="7" xr3:uid="{10F2F837-624A-4C09-B7BF-06174BD2F003}" name="registered" dataDxfId="14"/>
    <tableColumn id="8" xr3:uid="{97FD4080-08A4-47F1-8DD7-1983C274D774}" name="cnt"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3D7F8F-B075-466F-B079-C08F4960F0AD}" name="Merge24" displayName="Merge24" ref="A1:P611" tableType="queryTable" totalsRowShown="0">
  <autoFilter ref="A1:P611" xr:uid="{9425C552-24E3-4F05-B1FB-A9D9FBFB5D66}"/>
  <tableColumns count="16">
    <tableColumn id="1" xr3:uid="{4B57D569-2E7C-4F52-AB14-566CEBB59868}" uniqueName="1" name="instant" queryTableFieldId="1"/>
    <tableColumn id="2" xr3:uid="{400F9B2D-01E0-4DDD-8B2E-5112BF6E21E7}" uniqueName="2" name="dteday" queryTableFieldId="2" dataDxfId="12"/>
    <tableColumn id="3" xr3:uid="{A7925508-5E7B-4581-B02E-F50E23BA1E46}" uniqueName="3" name="season" queryTableFieldId="3"/>
    <tableColumn id="4" xr3:uid="{CC1FE843-72FF-4697-96CA-A3DDDE1478D1}" uniqueName="4" name="yr" queryTableFieldId="4"/>
    <tableColumn id="5" xr3:uid="{545BF54E-B880-4149-8C33-F870611243FF}" uniqueName="5" name="mnth" queryTableFieldId="5"/>
    <tableColumn id="6" xr3:uid="{17BA0252-0CDC-458C-A943-58B345A21DB6}" uniqueName="6" name="hr" queryTableFieldId="6"/>
    <tableColumn id="7" xr3:uid="{581A6CDC-14E1-4893-BEA0-99A5037D6FC6}" uniqueName="7" name="holiday" queryTableFieldId="7"/>
    <tableColumn id="8" xr3:uid="{1AC1EF17-458E-4496-A1E0-D1BD2F8077ED}" uniqueName="8" name="weekday" queryTableFieldId="8"/>
    <tableColumn id="9" xr3:uid="{04529D02-7AD2-4AA7-8A32-2F46D029E5C0}" uniqueName="9" name="weathersit" queryTableFieldId="9"/>
    <tableColumn id="10" xr3:uid="{2009304C-32A5-458E-8A84-1B18F845F2AD}" uniqueName="10" name="temp" queryTableFieldId="10"/>
    <tableColumn id="18" xr3:uid="{47143FFE-A808-4F71-BE75-82A95C59BF35}" uniqueName="18" name="atemp" queryTableFieldId="18"/>
    <tableColumn id="19" xr3:uid="{1D36308B-5C3E-4BF3-A115-95BF0C0E6C1B}" uniqueName="19" name="hum" queryTableFieldId="19"/>
    <tableColumn id="20" xr3:uid="{547AACCC-97FE-4E18-A3EC-3542079F05C9}" uniqueName="20" name="windspeed" queryTableFieldId="20"/>
    <tableColumn id="21" xr3:uid="{C882DEAF-0C5C-4C9E-B0CF-62F6B471D17A}" uniqueName="21" name="casual" queryTableFieldId="21"/>
    <tableColumn id="22" xr3:uid="{F27DEDB2-263F-47F8-9621-A1B7CF8CB969}" uniqueName="22" name="registered" queryTableFieldId="22"/>
    <tableColumn id="23" xr3:uid="{BC1DAFF9-F176-45D4-9F47-21606E3BC8F8}" uniqueName="23" name="cnt"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25C552-24E3-4F05-B1FB-A9D9FBFB5D66}" name="Merge2" displayName="Merge2" ref="A1:P611" tableType="queryTable" totalsRowShown="0">
  <autoFilter ref="A1:P611" xr:uid="{9425C552-24E3-4F05-B1FB-A9D9FBFB5D66}"/>
  <tableColumns count="16">
    <tableColumn id="1" xr3:uid="{B191CC77-9476-41F3-95F2-440A0C4864C0}" uniqueName="1" name="instant" queryTableFieldId="1"/>
    <tableColumn id="2" xr3:uid="{9FDA2582-74F7-412D-B097-46033FDBDCE6}" uniqueName="2" name="dteday" queryTableFieldId="2" dataDxfId="11"/>
    <tableColumn id="3" xr3:uid="{80E56E50-5430-483C-90CE-5C55D9A3239C}" uniqueName="3" name="season" queryTableFieldId="3"/>
    <tableColumn id="4" xr3:uid="{BC38AAEF-A05A-403D-840D-DBB81ABA32C3}" uniqueName="4" name="yr" queryTableFieldId="4"/>
    <tableColumn id="5" xr3:uid="{A21CCA5A-A5DD-48EC-BE6A-BF1C7DB9C8C4}" uniqueName="5" name="mnth" queryTableFieldId="5"/>
    <tableColumn id="6" xr3:uid="{962FDCA1-508E-4F1D-A872-A9325565CDC2}" uniqueName="6" name="hr" queryTableFieldId="6"/>
    <tableColumn id="7" xr3:uid="{AD802392-03E0-4C2C-93ED-16D331D643A0}" uniqueName="7" name="holiday" queryTableFieldId="7"/>
    <tableColumn id="8" xr3:uid="{F676E1AF-6C75-47F5-90F2-C1C2AD78399A}" uniqueName="8" name="weekday" queryTableFieldId="8"/>
    <tableColumn id="9" xr3:uid="{A65F3388-C450-4329-9143-8BB38A56883F}" uniqueName="9" name="weathersit" queryTableFieldId="9"/>
    <tableColumn id="10" xr3:uid="{F5F283F6-3151-437B-937C-10A11029D9E0}" uniqueName="10" name="temp" queryTableFieldId="10"/>
    <tableColumn id="18" xr3:uid="{8A58831A-2D9A-4B31-8F12-4D35AEE5E0DA}" uniqueName="18" name="atemp" queryTableFieldId="18"/>
    <tableColumn id="19" xr3:uid="{D6BB7445-AD10-4EDA-821D-BD11CBCAE55C}" uniqueName="19" name="hum" queryTableFieldId="19"/>
    <tableColumn id="20" xr3:uid="{24FBB484-6EAF-4545-BF72-60D0E79A295C}" uniqueName="20" name="windspeed" queryTableFieldId="20"/>
    <tableColumn id="21" xr3:uid="{DBC8FADC-F496-4AF4-BE69-0F351A292E00}" uniqueName="21" name="casual" queryTableFieldId="21"/>
    <tableColumn id="22" xr3:uid="{F5EE4AEF-FAC3-4AB2-B27D-1A849744D590}" uniqueName="22" name="registered" queryTableFieldId="22"/>
    <tableColumn id="23" xr3:uid="{F5B6FDA2-6F74-4BD6-BF93-392F35E4A7B2}" uniqueName="23" name="cnt" queryTableField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0CD70D0-0B04-4D9A-93D0-FBBECF2CFC3C}" name="Table20" displayName="Table20" ref="A3:P167" totalsRowShown="0">
  <autoFilter ref="A3:P167" xr:uid="{E0CD70D0-0B04-4D9A-93D0-FBBECF2CFC3C}"/>
  <sortState xmlns:xlrd2="http://schemas.microsoft.com/office/spreadsheetml/2017/richdata2" ref="A4:P167">
    <sortCondition ref="A3:A167"/>
  </sortState>
  <tableColumns count="16">
    <tableColumn id="1" xr3:uid="{51CC6FEC-1D5E-433E-AF80-02476C5A49F9}" name="instant"/>
    <tableColumn id="2" xr3:uid="{A4A359AF-8FD0-4DA8-8478-41CD41DCC64D}" name="dteday" dataDxfId="10"/>
    <tableColumn id="3" xr3:uid="{A6006CBE-548C-45BF-8946-B142C91BC57F}" name="season"/>
    <tableColumn id="4" xr3:uid="{498155EF-EDD6-4A98-9AE7-89B53D455ED4}" name="mnth"/>
    <tableColumn id="5" xr3:uid="{850B94A1-15BF-4CAD-9FD5-FFFF19CFDCA9}" name="hr"/>
    <tableColumn id="6" xr3:uid="{80B7A98D-348C-41AC-B5E2-3A86808B8735}" name="holiday"/>
    <tableColumn id="7" xr3:uid="{F6FA3755-40C8-444F-9522-BA338129058F}" name="weekday"/>
    <tableColumn id="8" xr3:uid="{37E89897-D7F1-492E-B445-E473CF27DA7F}" name="Column1"/>
    <tableColumn id="9" xr3:uid="{CEFBD6D0-71AB-49F3-94B9-A0F64C84A6A8}" name="TEMPERATURE"/>
    <tableColumn id="10" xr3:uid="{224218CA-8151-4AA2-9CAC-476505D29EA0}" name="temp"/>
    <tableColumn id="11" xr3:uid="{8B0EBEED-1234-4788-A015-3CDDCB79A965}" name="atemp"/>
    <tableColumn id="12" xr3:uid="{FD03C24F-D2EF-482F-B7A5-0135A1BF0119}" name="hum"/>
    <tableColumn id="13" xr3:uid="{427F0C41-3903-4842-9A53-58C87F667F74}" name="windspeed"/>
    <tableColumn id="14" xr3:uid="{300DF4E8-43A8-464C-B5A8-DB9A02954E0F}" name="casual"/>
    <tableColumn id="15" xr3:uid="{7EC1A309-D010-4F54-8721-484FC803B7F6}" name="registered"/>
    <tableColumn id="16" xr3:uid="{42C52C83-90C7-45DA-B11C-E0F6C9769354}" name="c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A3EF2D-2901-418C-B5FE-303A8BEAD749}" name="Append1" displayName="Append1" ref="A1:N1002" tableType="queryTable" totalsRowCount="1">
  <autoFilter ref="A1:N1001" xr:uid="{12A3EF2D-2901-418C-B5FE-303A8BEAD749}"/>
  <sortState xmlns:xlrd2="http://schemas.microsoft.com/office/spreadsheetml/2017/richdata2" ref="A2:N1001">
    <sortCondition ref="A1:A1001"/>
  </sortState>
  <tableColumns count="14">
    <tableColumn id="1" xr3:uid="{52544637-797C-4268-BC96-8C3A99EF8320}" uniqueName="1" name="instant" totalsRowLabel="Total" queryTableFieldId="1"/>
    <tableColumn id="2" xr3:uid="{8410100F-9189-4807-AF6B-4B74EB46347F}" uniqueName="2" name="dteday" queryTableFieldId="2" dataDxfId="0"/>
    <tableColumn id="3" xr3:uid="{110AAC86-15C1-4D63-8FE7-8C80A579DC68}" uniqueName="3" name="season" queryTableFieldId="3" dataDxfId="2" totalsRowDxfId="1"/>
    <tableColumn id="17" xr3:uid="{EDC0502D-C323-4AC0-9DBA-A5C73ABCE5DA}" uniqueName="17" name="mnth" queryTableFieldId="17" dataDxfId="4" totalsRowDxfId="3">
      <calculatedColumnFormula array="1">_xlfn.SWITCH(Sheet5!A2,1,"JANUARY",2,"FEBRUARY")</calculatedColumnFormula>
    </tableColumn>
    <tableColumn id="6" xr3:uid="{ACBA2CA8-32FF-4009-8BED-A0AF997E95F5}" uniqueName="6" name="hr" queryTableFieldId="6"/>
    <tableColumn id="20" xr3:uid="{727FE1B6-0A75-4CE5-8408-DB0AFFDB3A7E}" uniqueName="20" name="holiday" queryTableFieldId="20" dataDxfId="5">
      <calculatedColumnFormula array="1">_xlfn.SWITCH(Sheet5!C2,FALSE,"NO",TRUE,"YES")</calculatedColumnFormula>
    </tableColumn>
    <tableColumn id="18" xr3:uid="{A0A02F9E-7879-477E-AA39-63CF4DD81DDE}" uniqueName="18" name="weekday" queryTableFieldId="18" dataDxfId="6">
      <calculatedColumnFormula array="1">_xlfn.SWITCH(Sheet5!B2,0,"Sunday",1,"Monday",2,"Tuesday",3,"Wednesday",4,"Thursday",5,"Friday",6,"Saturday")</calculatedColumnFormula>
    </tableColumn>
    <tableColumn id="21" xr3:uid="{8BFEC0B1-05AB-4551-8262-3472678D6165}" uniqueName="21" name="Weather" queryTableFieldId="21" dataDxfId="7">
      <calculatedColumnFormula array="1">_xlfn.SWITCH(Sheet5!D2, 1, "Clear Sky", 2, "Mist", 3, "Dark Cloud",4,"Heavy Rainfall")</calculatedColumnFormula>
    </tableColumn>
    <tableColumn id="22" xr3:uid="{DBEA715E-ABC3-47B0-9CEB-53C7FF33CC8B}" uniqueName="22" name="TEMPERATURE" queryTableFieldId="22" dataDxfId="8">
      <calculatedColumnFormula>Sheet5!E2*41</calculatedColumnFormula>
    </tableColumn>
    <tableColumn id="12" xr3:uid="{047A4E9E-2FA5-49E6-8293-7F0358559244}" uniqueName="12" name="hum" queryTableFieldId="12" dataCellStyle="Percent"/>
    <tableColumn id="13" xr3:uid="{DAB75F2F-1A7D-44AA-B678-B15F253CD873}" uniqueName="13" name="windspeed" queryTableFieldId="13"/>
    <tableColumn id="14" xr3:uid="{EB87EDBD-E215-403E-9408-42742A300316}" uniqueName="14" name="casual" queryTableFieldId="14"/>
    <tableColumn id="15" xr3:uid="{F6DBA5A9-51A5-4A80-B324-4A93F66780A9}" uniqueName="15" name="registered" queryTableFieldId="15"/>
    <tableColumn id="16" xr3:uid="{78C72D98-87C6-4267-AC74-9D9E6AF60506}" uniqueName="16" name="cnt" totalsRowFunction="sum"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3FA0C0-B205-4C4F-933A-D1D45A37F212}">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7.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BDF1-0430-4A03-A75C-45A29EB34D8F}">
  <sheetPr codeName="Sheet1">
    <outlinePr summaryBelow="0" summaryRight="0"/>
  </sheetPr>
  <dimension ref="A1:P391"/>
  <sheetViews>
    <sheetView workbookViewId="0">
      <selection sqref="A1:P391"/>
    </sheetView>
  </sheetViews>
  <sheetFormatPr defaultColWidth="12.6640625" defaultRowHeight="15.75" customHeight="1" x14ac:dyDescent="0.3"/>
  <cols>
    <col min="1" max="16384" width="12.6640625" style="22"/>
  </cols>
  <sheetData>
    <row r="1" spans="1:16" ht="15.75" customHeight="1" x14ac:dyDescent="0.3">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row>
    <row r="2" spans="1:16" ht="15.75" customHeight="1" x14ac:dyDescent="0.3">
      <c r="A2" s="23">
        <v>611</v>
      </c>
      <c r="B2" s="24">
        <v>40571</v>
      </c>
      <c r="C2" s="23">
        <v>1</v>
      </c>
      <c r="D2" s="23">
        <v>0</v>
      </c>
      <c r="E2" s="23">
        <v>1</v>
      </c>
      <c r="F2" s="23">
        <v>16</v>
      </c>
      <c r="G2" s="23" t="b">
        <v>0</v>
      </c>
      <c r="H2" s="23">
        <v>5</v>
      </c>
      <c r="I2" s="23">
        <v>1</v>
      </c>
      <c r="J2" s="23">
        <v>0.22</v>
      </c>
      <c r="K2" s="23">
        <v>0.2727</v>
      </c>
      <c r="L2" s="23">
        <v>0.8</v>
      </c>
      <c r="M2" s="23">
        <v>0</v>
      </c>
      <c r="N2" s="23">
        <v>10</v>
      </c>
      <c r="O2" s="23">
        <v>70</v>
      </c>
      <c r="P2" s="23">
        <v>80</v>
      </c>
    </row>
    <row r="3" spans="1:16" ht="15.75" customHeight="1" x14ac:dyDescent="0.3">
      <c r="A3" s="23">
        <v>612</v>
      </c>
      <c r="B3" s="24">
        <v>40571</v>
      </c>
      <c r="C3" s="23">
        <v>1</v>
      </c>
      <c r="D3" s="23">
        <v>0</v>
      </c>
      <c r="E3" s="23">
        <v>1</v>
      </c>
      <c r="F3" s="23">
        <v>17</v>
      </c>
      <c r="G3" s="23" t="b">
        <v>0</v>
      </c>
      <c r="H3" s="23">
        <v>5</v>
      </c>
      <c r="I3" s="23">
        <v>1</v>
      </c>
      <c r="J3" s="23">
        <v>0.24</v>
      </c>
      <c r="K3" s="23">
        <v>0.2424</v>
      </c>
      <c r="L3" s="23">
        <v>0.75</v>
      </c>
      <c r="M3" s="23">
        <v>0.1343</v>
      </c>
      <c r="N3" s="23">
        <v>2</v>
      </c>
      <c r="O3" s="23">
        <v>147</v>
      </c>
      <c r="P3" s="23">
        <v>149</v>
      </c>
    </row>
    <row r="4" spans="1:16" ht="15.75" customHeight="1" x14ac:dyDescent="0.3">
      <c r="A4" s="23">
        <v>613</v>
      </c>
      <c r="B4" s="24">
        <v>40571</v>
      </c>
      <c r="C4" s="23">
        <v>1</v>
      </c>
      <c r="D4" s="23">
        <v>0</v>
      </c>
      <c r="E4" s="23">
        <v>1</v>
      </c>
      <c r="F4" s="23">
        <v>18</v>
      </c>
      <c r="G4" s="23" t="b">
        <v>0</v>
      </c>
      <c r="H4" s="23">
        <v>5</v>
      </c>
      <c r="I4" s="23">
        <v>1</v>
      </c>
      <c r="J4" s="23">
        <v>0.24</v>
      </c>
      <c r="K4" s="23">
        <v>0.2273</v>
      </c>
      <c r="L4" s="23">
        <v>0.75</v>
      </c>
      <c r="M4" s="23">
        <v>0.19400000000000001</v>
      </c>
      <c r="N4" s="23">
        <v>2</v>
      </c>
      <c r="O4" s="23">
        <v>107</v>
      </c>
      <c r="P4" s="23">
        <v>109</v>
      </c>
    </row>
    <row r="5" spans="1:16" ht="15.75" customHeight="1" x14ac:dyDescent="0.3">
      <c r="A5" s="23">
        <v>614</v>
      </c>
      <c r="B5" s="24">
        <v>40571</v>
      </c>
      <c r="C5" s="23">
        <v>1</v>
      </c>
      <c r="D5" s="23">
        <v>0</v>
      </c>
      <c r="E5" s="23">
        <v>1</v>
      </c>
      <c r="F5" s="23">
        <v>19</v>
      </c>
      <c r="G5" s="23" t="b">
        <v>0</v>
      </c>
      <c r="H5" s="23">
        <v>5</v>
      </c>
      <c r="I5" s="23">
        <v>2</v>
      </c>
      <c r="J5" s="23">
        <v>0.24</v>
      </c>
      <c r="K5" s="23">
        <v>0.2424</v>
      </c>
      <c r="L5" s="23">
        <v>0.75</v>
      </c>
      <c r="M5" s="23">
        <v>0.1343</v>
      </c>
      <c r="N5" s="23">
        <v>5</v>
      </c>
      <c r="O5" s="23">
        <v>84</v>
      </c>
      <c r="P5" s="23">
        <v>89</v>
      </c>
    </row>
    <row r="6" spans="1:16" ht="15.75" customHeight="1" x14ac:dyDescent="0.3">
      <c r="A6" s="23">
        <v>615</v>
      </c>
      <c r="B6" s="24">
        <v>40571</v>
      </c>
      <c r="C6" s="23">
        <v>1</v>
      </c>
      <c r="D6" s="23">
        <v>0</v>
      </c>
      <c r="E6" s="23">
        <v>1</v>
      </c>
      <c r="F6" s="23">
        <v>20</v>
      </c>
      <c r="G6" s="23" t="b">
        <v>0</v>
      </c>
      <c r="H6" s="23">
        <v>5</v>
      </c>
      <c r="I6" s="23">
        <v>2</v>
      </c>
      <c r="J6" s="23">
        <v>0.24</v>
      </c>
      <c r="K6" s="23">
        <v>0.2273</v>
      </c>
      <c r="L6" s="23">
        <v>0.7</v>
      </c>
      <c r="M6" s="23">
        <v>0.19400000000000001</v>
      </c>
      <c r="N6" s="23">
        <v>1</v>
      </c>
      <c r="O6" s="23">
        <v>61</v>
      </c>
      <c r="P6" s="23">
        <v>62</v>
      </c>
    </row>
    <row r="7" spans="1:16" ht="15.75" customHeight="1" x14ac:dyDescent="0.3">
      <c r="A7" s="23">
        <v>616</v>
      </c>
      <c r="B7" s="24">
        <v>40571</v>
      </c>
      <c r="C7" s="23">
        <v>1</v>
      </c>
      <c r="D7" s="23">
        <v>0</v>
      </c>
      <c r="E7" s="23">
        <v>1</v>
      </c>
      <c r="F7" s="23">
        <v>21</v>
      </c>
      <c r="G7" s="23" t="b">
        <v>0</v>
      </c>
      <c r="H7" s="23">
        <v>5</v>
      </c>
      <c r="I7" s="23">
        <v>2</v>
      </c>
      <c r="J7" s="23">
        <v>0.22</v>
      </c>
      <c r="K7" s="23">
        <v>0.2273</v>
      </c>
      <c r="L7" s="23">
        <v>0.75</v>
      </c>
      <c r="M7" s="23">
        <v>0.1343</v>
      </c>
      <c r="N7" s="23">
        <v>1</v>
      </c>
      <c r="O7" s="23">
        <v>57</v>
      </c>
      <c r="P7" s="23">
        <v>58</v>
      </c>
    </row>
    <row r="8" spans="1:16" ht="15.75" customHeight="1" x14ac:dyDescent="0.3">
      <c r="A8" s="23">
        <v>617</v>
      </c>
      <c r="B8" s="24">
        <v>40571</v>
      </c>
      <c r="C8" s="23">
        <v>1</v>
      </c>
      <c r="D8" s="23">
        <v>0</v>
      </c>
      <c r="E8" s="23">
        <v>1</v>
      </c>
      <c r="F8" s="23">
        <v>22</v>
      </c>
      <c r="G8" s="23" t="b">
        <v>0</v>
      </c>
      <c r="H8" s="23">
        <v>5</v>
      </c>
      <c r="I8" s="23">
        <v>1</v>
      </c>
      <c r="J8" s="23">
        <v>0.24</v>
      </c>
      <c r="K8" s="23">
        <v>0.21210000000000001</v>
      </c>
      <c r="L8" s="23">
        <v>0.65</v>
      </c>
      <c r="M8" s="23">
        <v>0.35820000000000002</v>
      </c>
      <c r="N8" s="23">
        <v>0</v>
      </c>
      <c r="O8" s="23">
        <v>26</v>
      </c>
      <c r="P8" s="23">
        <v>26</v>
      </c>
    </row>
    <row r="9" spans="1:16" ht="15.75" customHeight="1" x14ac:dyDescent="0.3">
      <c r="A9" s="23">
        <v>618</v>
      </c>
      <c r="B9" s="24">
        <v>40571</v>
      </c>
      <c r="C9" s="23">
        <v>1</v>
      </c>
      <c r="D9" s="23">
        <v>0</v>
      </c>
      <c r="E9" s="23">
        <v>1</v>
      </c>
      <c r="F9" s="23">
        <v>23</v>
      </c>
      <c r="G9" s="23" t="b">
        <v>0</v>
      </c>
      <c r="H9" s="23">
        <v>5</v>
      </c>
      <c r="I9" s="23">
        <v>1</v>
      </c>
      <c r="J9" s="23">
        <v>0.24</v>
      </c>
      <c r="K9" s="23">
        <v>0.2273</v>
      </c>
      <c r="L9" s="23">
        <v>0.6</v>
      </c>
      <c r="M9" s="23">
        <v>0.22389999999999999</v>
      </c>
      <c r="N9" s="23">
        <v>1</v>
      </c>
      <c r="O9" s="23">
        <v>22</v>
      </c>
      <c r="P9" s="23">
        <v>23</v>
      </c>
    </row>
    <row r="10" spans="1:16" ht="15.75" customHeight="1" x14ac:dyDescent="0.3">
      <c r="A10" s="23">
        <v>619</v>
      </c>
      <c r="B10" s="24">
        <v>40572</v>
      </c>
      <c r="C10" s="23">
        <v>1</v>
      </c>
      <c r="D10" s="23">
        <v>0</v>
      </c>
      <c r="E10" s="23">
        <v>1</v>
      </c>
      <c r="F10" s="23">
        <v>0</v>
      </c>
      <c r="G10" s="23" t="b">
        <v>0</v>
      </c>
      <c r="H10" s="23">
        <v>6</v>
      </c>
      <c r="I10" s="23">
        <v>1</v>
      </c>
      <c r="J10" s="23">
        <v>0.22</v>
      </c>
      <c r="K10" s="23">
        <v>0.19700000000000001</v>
      </c>
      <c r="L10" s="23">
        <v>0.64</v>
      </c>
      <c r="M10" s="23">
        <v>0.35820000000000002</v>
      </c>
      <c r="N10" s="23">
        <v>2</v>
      </c>
      <c r="O10" s="23">
        <v>26</v>
      </c>
      <c r="P10" s="23">
        <v>28</v>
      </c>
    </row>
    <row r="11" spans="1:16" ht="15.75" customHeight="1" x14ac:dyDescent="0.3">
      <c r="A11" s="23">
        <v>620</v>
      </c>
      <c r="B11" s="24">
        <v>40572</v>
      </c>
      <c r="C11" s="23">
        <v>1</v>
      </c>
      <c r="D11" s="23">
        <v>0</v>
      </c>
      <c r="E11" s="23">
        <v>1</v>
      </c>
      <c r="F11" s="23">
        <v>1</v>
      </c>
      <c r="G11" s="23" t="b">
        <v>0</v>
      </c>
      <c r="H11" s="23">
        <v>6</v>
      </c>
      <c r="I11" s="23">
        <v>1</v>
      </c>
      <c r="J11" s="23">
        <v>0.22</v>
      </c>
      <c r="K11" s="23">
        <v>0.2273</v>
      </c>
      <c r="L11" s="23">
        <v>0.64</v>
      </c>
      <c r="M11" s="23">
        <v>0.19400000000000001</v>
      </c>
      <c r="N11" s="23">
        <v>0</v>
      </c>
      <c r="O11" s="23">
        <v>20</v>
      </c>
      <c r="P11" s="23">
        <v>20</v>
      </c>
    </row>
    <row r="12" spans="1:16" ht="15.75" customHeight="1" x14ac:dyDescent="0.3">
      <c r="A12" s="23">
        <v>621</v>
      </c>
      <c r="B12" s="24">
        <v>40572</v>
      </c>
      <c r="C12" s="23">
        <v>1</v>
      </c>
      <c r="D12" s="23">
        <v>0</v>
      </c>
      <c r="E12" s="23">
        <v>1</v>
      </c>
      <c r="F12" s="23">
        <v>2</v>
      </c>
      <c r="G12" s="23" t="b">
        <v>0</v>
      </c>
      <c r="H12" s="23">
        <v>6</v>
      </c>
      <c r="I12" s="23">
        <v>1</v>
      </c>
      <c r="J12" s="23">
        <v>0.22</v>
      </c>
      <c r="K12" s="23">
        <v>0.2273</v>
      </c>
      <c r="L12" s="23">
        <v>0.64</v>
      </c>
      <c r="M12" s="23">
        <v>0.16420000000000001</v>
      </c>
      <c r="N12" s="23">
        <v>0</v>
      </c>
      <c r="O12" s="23">
        <v>15</v>
      </c>
      <c r="P12" s="23">
        <v>15</v>
      </c>
    </row>
    <row r="13" spans="1:16" ht="15.75" customHeight="1" x14ac:dyDescent="0.3">
      <c r="A13" s="23">
        <v>622</v>
      </c>
      <c r="B13" s="24">
        <v>40572</v>
      </c>
      <c r="C13" s="23">
        <v>1</v>
      </c>
      <c r="D13" s="23">
        <v>0</v>
      </c>
      <c r="E13" s="23">
        <v>1</v>
      </c>
      <c r="F13" s="23">
        <v>3</v>
      </c>
      <c r="G13" s="23" t="b">
        <v>0</v>
      </c>
      <c r="H13" s="23">
        <v>6</v>
      </c>
      <c r="I13" s="23">
        <v>1</v>
      </c>
      <c r="J13" s="23">
        <v>0.2</v>
      </c>
      <c r="K13" s="23">
        <v>0.21210000000000001</v>
      </c>
      <c r="L13" s="23">
        <v>0.64</v>
      </c>
      <c r="M13" s="23">
        <v>0.1343</v>
      </c>
      <c r="N13" s="23">
        <v>3</v>
      </c>
      <c r="O13" s="23">
        <v>5</v>
      </c>
      <c r="P13" s="23">
        <v>8</v>
      </c>
    </row>
    <row r="14" spans="1:16" ht="15.75" customHeight="1" x14ac:dyDescent="0.3">
      <c r="A14" s="23">
        <v>623</v>
      </c>
      <c r="B14" s="24">
        <v>40572</v>
      </c>
      <c r="C14" s="23">
        <v>1</v>
      </c>
      <c r="D14" s="23">
        <v>0</v>
      </c>
      <c r="E14" s="23">
        <v>1</v>
      </c>
      <c r="F14" s="23">
        <v>4</v>
      </c>
      <c r="G14" s="23" t="b">
        <v>0</v>
      </c>
      <c r="H14" s="23">
        <v>6</v>
      </c>
      <c r="I14" s="23">
        <v>1</v>
      </c>
      <c r="J14" s="23">
        <v>0.16</v>
      </c>
      <c r="K14" s="23">
        <v>0.18179999999999999</v>
      </c>
      <c r="L14" s="23">
        <v>0.69</v>
      </c>
      <c r="M14" s="23">
        <v>0.1045</v>
      </c>
      <c r="N14" s="23">
        <v>1</v>
      </c>
      <c r="O14" s="23">
        <v>2</v>
      </c>
      <c r="P14" s="23">
        <v>3</v>
      </c>
    </row>
    <row r="15" spans="1:16" ht="15.75" customHeight="1" x14ac:dyDescent="0.3">
      <c r="A15" s="23">
        <v>624</v>
      </c>
      <c r="B15" s="24">
        <v>40572</v>
      </c>
      <c r="C15" s="23">
        <v>1</v>
      </c>
      <c r="D15" s="23">
        <v>0</v>
      </c>
      <c r="E15" s="23">
        <v>1</v>
      </c>
      <c r="F15" s="23">
        <v>6</v>
      </c>
      <c r="G15" s="23" t="b">
        <v>0</v>
      </c>
      <c r="H15" s="23">
        <v>6</v>
      </c>
      <c r="I15" s="23">
        <v>1</v>
      </c>
      <c r="J15" s="23">
        <v>0.16</v>
      </c>
      <c r="K15" s="23">
        <v>0.18179999999999999</v>
      </c>
      <c r="L15" s="23">
        <v>0.64</v>
      </c>
      <c r="M15" s="23">
        <v>0.1343</v>
      </c>
      <c r="N15" s="23">
        <v>0</v>
      </c>
      <c r="O15" s="23">
        <v>2</v>
      </c>
      <c r="P15" s="23">
        <v>2</v>
      </c>
    </row>
    <row r="16" spans="1:16" ht="15.75" customHeight="1" x14ac:dyDescent="0.3">
      <c r="A16" s="23">
        <v>625</v>
      </c>
      <c r="B16" s="24">
        <v>40572</v>
      </c>
      <c r="C16" s="23">
        <v>1</v>
      </c>
      <c r="D16" s="23">
        <v>0</v>
      </c>
      <c r="E16" s="23">
        <v>1</v>
      </c>
      <c r="F16" s="23">
        <v>7</v>
      </c>
      <c r="G16" s="23" t="b">
        <v>0</v>
      </c>
      <c r="H16" s="23">
        <v>6</v>
      </c>
      <c r="I16" s="23">
        <v>1</v>
      </c>
      <c r="J16" s="23">
        <v>0.16</v>
      </c>
      <c r="K16" s="23">
        <v>0.18179999999999999</v>
      </c>
      <c r="L16" s="23">
        <v>0.59</v>
      </c>
      <c r="M16" s="23">
        <v>0.1045</v>
      </c>
      <c r="N16" s="23">
        <v>1</v>
      </c>
      <c r="O16" s="23">
        <v>4</v>
      </c>
      <c r="P16" s="23">
        <v>5</v>
      </c>
    </row>
    <row r="17" spans="1:16" ht="15.75" customHeight="1" x14ac:dyDescent="0.3">
      <c r="A17" s="23">
        <v>626</v>
      </c>
      <c r="B17" s="24">
        <v>40572</v>
      </c>
      <c r="C17" s="23">
        <v>1</v>
      </c>
      <c r="D17" s="23">
        <v>0</v>
      </c>
      <c r="E17" s="23">
        <v>1</v>
      </c>
      <c r="F17" s="23">
        <v>8</v>
      </c>
      <c r="G17" s="23" t="b">
        <v>0</v>
      </c>
      <c r="H17" s="23">
        <v>6</v>
      </c>
      <c r="I17" s="23">
        <v>1</v>
      </c>
      <c r="J17" s="23">
        <v>0.18</v>
      </c>
      <c r="K17" s="23">
        <v>0.19700000000000001</v>
      </c>
      <c r="L17" s="23">
        <v>0.55000000000000004</v>
      </c>
      <c r="M17" s="23">
        <v>0.16420000000000001</v>
      </c>
      <c r="N17" s="23">
        <v>3</v>
      </c>
      <c r="O17" s="23">
        <v>31</v>
      </c>
      <c r="P17" s="23">
        <v>34</v>
      </c>
    </row>
    <row r="18" spans="1:16" ht="15.75" customHeight="1" x14ac:dyDescent="0.3">
      <c r="A18" s="23">
        <v>627</v>
      </c>
      <c r="B18" s="24">
        <v>40572</v>
      </c>
      <c r="C18" s="23">
        <v>1</v>
      </c>
      <c r="D18" s="23">
        <v>0</v>
      </c>
      <c r="E18" s="23">
        <v>1</v>
      </c>
      <c r="F18" s="23">
        <v>9</v>
      </c>
      <c r="G18" s="23" t="b">
        <v>0</v>
      </c>
      <c r="H18" s="23">
        <v>6</v>
      </c>
      <c r="I18" s="23">
        <v>1</v>
      </c>
      <c r="J18" s="23">
        <v>0.18</v>
      </c>
      <c r="K18" s="23">
        <v>0.21210000000000001</v>
      </c>
      <c r="L18" s="23">
        <v>0.59</v>
      </c>
      <c r="M18" s="23">
        <v>8.9599999999999999E-2</v>
      </c>
      <c r="N18" s="23">
        <v>0</v>
      </c>
      <c r="O18" s="23">
        <v>34</v>
      </c>
      <c r="P18" s="23">
        <v>34</v>
      </c>
    </row>
    <row r="19" spans="1:16" ht="15.75" customHeight="1" x14ac:dyDescent="0.3">
      <c r="A19" s="23">
        <v>628</v>
      </c>
      <c r="B19" s="24">
        <v>40572</v>
      </c>
      <c r="C19" s="23">
        <v>1</v>
      </c>
      <c r="D19" s="23">
        <v>0</v>
      </c>
      <c r="E19" s="23">
        <v>1</v>
      </c>
      <c r="F19" s="23">
        <v>10</v>
      </c>
      <c r="G19" s="23" t="b">
        <v>0</v>
      </c>
      <c r="H19" s="23">
        <v>6</v>
      </c>
      <c r="I19" s="23">
        <v>2</v>
      </c>
      <c r="J19" s="23">
        <v>0.18</v>
      </c>
      <c r="K19" s="23">
        <v>0.21210000000000001</v>
      </c>
      <c r="L19" s="23">
        <v>0.64</v>
      </c>
      <c r="M19" s="23">
        <v>0.1045</v>
      </c>
      <c r="N19" s="23">
        <v>4</v>
      </c>
      <c r="O19" s="23">
        <v>51</v>
      </c>
      <c r="P19" s="23">
        <v>55</v>
      </c>
    </row>
    <row r="20" spans="1:16" ht="15.75" customHeight="1" x14ac:dyDescent="0.3">
      <c r="A20" s="23">
        <v>629</v>
      </c>
      <c r="B20" s="24">
        <v>40572</v>
      </c>
      <c r="C20" s="23">
        <v>1</v>
      </c>
      <c r="D20" s="23">
        <v>0</v>
      </c>
      <c r="E20" s="23">
        <v>1</v>
      </c>
      <c r="F20" s="23">
        <v>11</v>
      </c>
      <c r="G20" s="23" t="b">
        <v>0</v>
      </c>
      <c r="H20" s="23">
        <v>6</v>
      </c>
      <c r="I20" s="23">
        <v>2</v>
      </c>
      <c r="J20" s="23">
        <v>0.18</v>
      </c>
      <c r="K20" s="23">
        <v>0.19700000000000001</v>
      </c>
      <c r="L20" s="23">
        <v>0.64</v>
      </c>
      <c r="M20" s="23">
        <v>0.1343</v>
      </c>
      <c r="N20" s="23">
        <v>4</v>
      </c>
      <c r="O20" s="23">
        <v>60</v>
      </c>
      <c r="P20" s="23">
        <v>64</v>
      </c>
    </row>
    <row r="21" spans="1:16" ht="15.75" customHeight="1" x14ac:dyDescent="0.3">
      <c r="A21" s="23">
        <v>630</v>
      </c>
      <c r="B21" s="24">
        <v>40572</v>
      </c>
      <c r="C21" s="23">
        <v>1</v>
      </c>
      <c r="D21" s="23">
        <v>0</v>
      </c>
      <c r="E21" s="23">
        <v>1</v>
      </c>
      <c r="F21" s="23">
        <v>12</v>
      </c>
      <c r="G21" s="23" t="b">
        <v>0</v>
      </c>
      <c r="H21" s="23">
        <v>6</v>
      </c>
      <c r="I21" s="23">
        <v>2</v>
      </c>
      <c r="J21" s="23">
        <v>0.2</v>
      </c>
      <c r="K21" s="23">
        <v>0.19700000000000001</v>
      </c>
      <c r="L21" s="23">
        <v>0.59</v>
      </c>
      <c r="M21" s="23">
        <v>0.19400000000000001</v>
      </c>
      <c r="N21" s="23">
        <v>12</v>
      </c>
      <c r="O21" s="23">
        <v>66</v>
      </c>
      <c r="P21" s="23">
        <v>78</v>
      </c>
    </row>
    <row r="22" spans="1:16" ht="15.75" customHeight="1" x14ac:dyDescent="0.3">
      <c r="A22" s="23">
        <v>631</v>
      </c>
      <c r="B22" s="24">
        <v>40572</v>
      </c>
      <c r="C22" s="23">
        <v>1</v>
      </c>
      <c r="D22" s="23">
        <v>0</v>
      </c>
      <c r="E22" s="23">
        <v>1</v>
      </c>
      <c r="F22" s="23">
        <v>13</v>
      </c>
      <c r="G22" s="23" t="b">
        <v>0</v>
      </c>
      <c r="H22" s="23">
        <v>6</v>
      </c>
      <c r="I22" s="23">
        <v>2</v>
      </c>
      <c r="J22" s="23">
        <v>0.22</v>
      </c>
      <c r="K22" s="23">
        <v>0.2273</v>
      </c>
      <c r="L22" s="23">
        <v>0.55000000000000004</v>
      </c>
      <c r="M22" s="23">
        <v>0.16420000000000001</v>
      </c>
      <c r="N22" s="23">
        <v>9</v>
      </c>
      <c r="O22" s="23">
        <v>56</v>
      </c>
      <c r="P22" s="23">
        <v>65</v>
      </c>
    </row>
    <row r="23" spans="1:16" ht="15.75" customHeight="1" x14ac:dyDescent="0.3">
      <c r="A23" s="23">
        <v>632</v>
      </c>
      <c r="B23" s="24">
        <v>40572</v>
      </c>
      <c r="C23" s="23">
        <v>1</v>
      </c>
      <c r="D23" s="23">
        <v>0</v>
      </c>
      <c r="E23" s="23">
        <v>1</v>
      </c>
      <c r="F23" s="23">
        <v>14</v>
      </c>
      <c r="G23" s="23" t="b">
        <v>0</v>
      </c>
      <c r="H23" s="23">
        <v>6</v>
      </c>
      <c r="I23" s="23">
        <v>2</v>
      </c>
      <c r="J23" s="23">
        <v>0.22</v>
      </c>
      <c r="K23" s="23">
        <v>0.2273</v>
      </c>
      <c r="L23" s="23">
        <v>0.6</v>
      </c>
      <c r="M23" s="23">
        <v>0.1343</v>
      </c>
      <c r="N23" s="23">
        <v>10</v>
      </c>
      <c r="O23" s="23">
        <v>89</v>
      </c>
      <c r="P23" s="23">
        <v>99</v>
      </c>
    </row>
    <row r="24" spans="1:16" ht="15.75" customHeight="1" x14ac:dyDescent="0.3">
      <c r="A24" s="23">
        <v>633</v>
      </c>
      <c r="B24" s="24">
        <v>40572</v>
      </c>
      <c r="C24" s="23">
        <v>1</v>
      </c>
      <c r="D24" s="23">
        <v>0</v>
      </c>
      <c r="E24" s="23">
        <v>1</v>
      </c>
      <c r="F24" s="23">
        <v>15</v>
      </c>
      <c r="G24" s="23" t="b">
        <v>0</v>
      </c>
      <c r="H24" s="23">
        <v>6</v>
      </c>
      <c r="I24" s="23">
        <v>1</v>
      </c>
      <c r="J24" s="23">
        <v>0.22</v>
      </c>
      <c r="K24" s="23">
        <v>0.21210000000000001</v>
      </c>
      <c r="L24" s="23">
        <v>0.69</v>
      </c>
      <c r="M24" s="23">
        <v>0.25369999999999998</v>
      </c>
      <c r="N24" s="23">
        <v>22</v>
      </c>
      <c r="O24" s="23">
        <v>98</v>
      </c>
      <c r="P24" s="23">
        <v>120</v>
      </c>
    </row>
    <row r="25" spans="1:16" ht="15.75" customHeight="1" x14ac:dyDescent="0.3">
      <c r="A25" s="23">
        <v>634</v>
      </c>
      <c r="B25" s="24">
        <v>40572</v>
      </c>
      <c r="C25" s="23">
        <v>1</v>
      </c>
      <c r="D25" s="23">
        <v>0</v>
      </c>
      <c r="E25" s="23">
        <v>1</v>
      </c>
      <c r="F25" s="23">
        <v>16</v>
      </c>
      <c r="G25" s="23" t="b">
        <v>0</v>
      </c>
      <c r="H25" s="23">
        <v>6</v>
      </c>
      <c r="I25" s="23">
        <v>1</v>
      </c>
      <c r="J25" s="23">
        <v>0.24</v>
      </c>
      <c r="K25" s="23">
        <v>0.2424</v>
      </c>
      <c r="L25" s="23">
        <v>0.6</v>
      </c>
      <c r="M25" s="23">
        <v>0.16420000000000001</v>
      </c>
      <c r="N25" s="23">
        <v>19</v>
      </c>
      <c r="O25" s="23">
        <v>88</v>
      </c>
      <c r="P25" s="23">
        <v>107</v>
      </c>
    </row>
    <row r="26" spans="1:16" ht="15.75" customHeight="1" x14ac:dyDescent="0.3">
      <c r="A26" s="23">
        <v>635</v>
      </c>
      <c r="B26" s="24">
        <v>40572</v>
      </c>
      <c r="C26" s="23">
        <v>1</v>
      </c>
      <c r="D26" s="23">
        <v>0</v>
      </c>
      <c r="E26" s="23">
        <v>1</v>
      </c>
      <c r="F26" s="23">
        <v>17</v>
      </c>
      <c r="G26" s="23" t="b">
        <v>0</v>
      </c>
      <c r="H26" s="23">
        <v>6</v>
      </c>
      <c r="I26" s="23">
        <v>1</v>
      </c>
      <c r="J26" s="23">
        <v>0.24</v>
      </c>
      <c r="K26" s="23">
        <v>0.28789999999999999</v>
      </c>
      <c r="L26" s="23">
        <v>0.6</v>
      </c>
      <c r="M26" s="23">
        <v>0</v>
      </c>
      <c r="N26" s="23">
        <v>9</v>
      </c>
      <c r="O26" s="23">
        <v>82</v>
      </c>
      <c r="P26" s="23">
        <v>91</v>
      </c>
    </row>
    <row r="27" spans="1:16" ht="15.75" customHeight="1" x14ac:dyDescent="0.3">
      <c r="A27" s="23">
        <v>636</v>
      </c>
      <c r="B27" s="24">
        <v>40572</v>
      </c>
      <c r="C27" s="23">
        <v>1</v>
      </c>
      <c r="D27" s="23">
        <v>0</v>
      </c>
      <c r="E27" s="23">
        <v>1</v>
      </c>
      <c r="F27" s="23">
        <v>18</v>
      </c>
      <c r="G27" s="23" t="b">
        <v>0</v>
      </c>
      <c r="H27" s="23">
        <v>6</v>
      </c>
      <c r="I27" s="23">
        <v>1</v>
      </c>
      <c r="J27" s="23">
        <v>0.22</v>
      </c>
      <c r="K27" s="23">
        <v>0.2273</v>
      </c>
      <c r="L27" s="23">
        <v>0.69</v>
      </c>
      <c r="M27" s="23">
        <v>0.1343</v>
      </c>
      <c r="N27" s="23">
        <v>9</v>
      </c>
      <c r="O27" s="23">
        <v>59</v>
      </c>
      <c r="P27" s="23">
        <v>68</v>
      </c>
    </row>
    <row r="28" spans="1:16" ht="15.75" customHeight="1" x14ac:dyDescent="0.3">
      <c r="A28" s="23">
        <v>637</v>
      </c>
      <c r="B28" s="24">
        <v>40572</v>
      </c>
      <c r="C28" s="23">
        <v>1</v>
      </c>
      <c r="D28" s="23">
        <v>0</v>
      </c>
      <c r="E28" s="23">
        <v>1</v>
      </c>
      <c r="F28" s="23">
        <v>19</v>
      </c>
      <c r="G28" s="23" t="b">
        <v>0</v>
      </c>
      <c r="H28" s="23">
        <v>6</v>
      </c>
      <c r="I28" s="23">
        <v>2</v>
      </c>
      <c r="J28" s="23">
        <v>0.22</v>
      </c>
      <c r="K28" s="23">
        <v>0.21210000000000001</v>
      </c>
      <c r="L28" s="23">
        <v>0.69</v>
      </c>
      <c r="M28" s="23">
        <v>0.25369999999999998</v>
      </c>
      <c r="N28" s="23">
        <v>6</v>
      </c>
      <c r="O28" s="23">
        <v>52</v>
      </c>
      <c r="P28" s="23">
        <v>58</v>
      </c>
    </row>
    <row r="29" spans="1:16" ht="15.75" customHeight="1" x14ac:dyDescent="0.3">
      <c r="A29" s="23">
        <v>638</v>
      </c>
      <c r="B29" s="24">
        <v>40572</v>
      </c>
      <c r="C29" s="23">
        <v>1</v>
      </c>
      <c r="D29" s="23">
        <v>0</v>
      </c>
      <c r="E29" s="23">
        <v>1</v>
      </c>
      <c r="F29" s="23">
        <v>20</v>
      </c>
      <c r="G29" s="23" t="b">
        <v>0</v>
      </c>
      <c r="H29" s="23">
        <v>6</v>
      </c>
      <c r="I29" s="23">
        <v>1</v>
      </c>
      <c r="J29" s="23">
        <v>0.18</v>
      </c>
      <c r="K29" s="23">
        <v>0.21210000000000001</v>
      </c>
      <c r="L29" s="23">
        <v>0.74</v>
      </c>
      <c r="M29" s="23">
        <v>8.9599999999999999E-2</v>
      </c>
      <c r="N29" s="23">
        <v>1</v>
      </c>
      <c r="O29" s="23">
        <v>42</v>
      </c>
      <c r="P29" s="23">
        <v>43</v>
      </c>
    </row>
    <row r="30" spans="1:16" ht="15.75" customHeight="1" x14ac:dyDescent="0.3">
      <c r="A30" s="23">
        <v>639</v>
      </c>
      <c r="B30" s="24">
        <v>40572</v>
      </c>
      <c r="C30" s="23">
        <v>1</v>
      </c>
      <c r="D30" s="23">
        <v>0</v>
      </c>
      <c r="E30" s="23">
        <v>1</v>
      </c>
      <c r="F30" s="23">
        <v>21</v>
      </c>
      <c r="G30" s="23" t="b">
        <v>0</v>
      </c>
      <c r="H30" s="23">
        <v>6</v>
      </c>
      <c r="I30" s="23">
        <v>1</v>
      </c>
      <c r="J30" s="23">
        <v>0.18</v>
      </c>
      <c r="K30" s="23">
        <v>0.21210000000000001</v>
      </c>
      <c r="L30" s="23">
        <v>0.74</v>
      </c>
      <c r="M30" s="23">
        <v>8.9599999999999999E-2</v>
      </c>
      <c r="N30" s="23">
        <v>1</v>
      </c>
      <c r="O30" s="23">
        <v>35</v>
      </c>
      <c r="P30" s="23">
        <v>36</v>
      </c>
    </row>
    <row r="31" spans="1:16" ht="15.75" customHeight="1" x14ac:dyDescent="0.3">
      <c r="A31" s="23">
        <v>640</v>
      </c>
      <c r="B31" s="24">
        <v>40572</v>
      </c>
      <c r="C31" s="23">
        <v>1</v>
      </c>
      <c r="D31" s="23">
        <v>0</v>
      </c>
      <c r="E31" s="23">
        <v>1</v>
      </c>
      <c r="F31" s="23">
        <v>22</v>
      </c>
      <c r="G31" s="23" t="b">
        <v>0</v>
      </c>
      <c r="H31" s="23">
        <v>6</v>
      </c>
      <c r="I31" s="23">
        <v>1</v>
      </c>
      <c r="J31" s="23">
        <v>0.16</v>
      </c>
      <c r="K31" s="23">
        <v>0.19700000000000001</v>
      </c>
      <c r="L31" s="23">
        <v>0.8</v>
      </c>
      <c r="M31" s="23">
        <v>8.9599999999999999E-2</v>
      </c>
      <c r="N31" s="23">
        <v>4</v>
      </c>
      <c r="O31" s="23">
        <v>28</v>
      </c>
      <c r="P31" s="23">
        <v>32</v>
      </c>
    </row>
    <row r="32" spans="1:16" ht="15.75" customHeight="1" x14ac:dyDescent="0.3">
      <c r="A32" s="23">
        <v>641</v>
      </c>
      <c r="B32" s="24">
        <v>40572</v>
      </c>
      <c r="C32" s="23">
        <v>1</v>
      </c>
      <c r="D32" s="23">
        <v>0</v>
      </c>
      <c r="E32" s="23">
        <v>1</v>
      </c>
      <c r="F32" s="23">
        <v>23</v>
      </c>
      <c r="G32" s="23" t="b">
        <v>0</v>
      </c>
      <c r="H32" s="23">
        <v>6</v>
      </c>
      <c r="I32" s="23">
        <v>1</v>
      </c>
      <c r="J32" s="23">
        <v>0.16</v>
      </c>
      <c r="K32" s="23">
        <v>0.19700000000000001</v>
      </c>
      <c r="L32" s="23">
        <v>0.8</v>
      </c>
      <c r="M32" s="23">
        <v>8.9599999999999999E-2</v>
      </c>
      <c r="N32" s="23">
        <v>3</v>
      </c>
      <c r="O32" s="23">
        <v>30</v>
      </c>
      <c r="P32" s="23">
        <v>33</v>
      </c>
    </row>
    <row r="33" spans="1:16" ht="15.75" customHeight="1" x14ac:dyDescent="0.3">
      <c r="A33" s="23">
        <v>642</v>
      </c>
      <c r="B33" s="24">
        <v>40573</v>
      </c>
      <c r="C33" s="23">
        <v>1</v>
      </c>
      <c r="D33" s="23">
        <v>0</v>
      </c>
      <c r="E33" s="23">
        <v>1</v>
      </c>
      <c r="F33" s="23">
        <v>0</v>
      </c>
      <c r="G33" s="23" t="b">
        <v>0</v>
      </c>
      <c r="H33" s="23">
        <v>0</v>
      </c>
      <c r="I33" s="23">
        <v>1</v>
      </c>
      <c r="J33" s="23">
        <v>0.16</v>
      </c>
      <c r="K33" s="23">
        <v>0.18179999999999999</v>
      </c>
      <c r="L33" s="23">
        <v>0.8</v>
      </c>
      <c r="M33" s="23">
        <v>0.1045</v>
      </c>
      <c r="N33" s="23">
        <v>0</v>
      </c>
      <c r="O33" s="23">
        <v>33</v>
      </c>
      <c r="P33" s="23">
        <v>33</v>
      </c>
    </row>
    <row r="34" spans="1:16" ht="15.75" customHeight="1" x14ac:dyDescent="0.3">
      <c r="A34" s="23">
        <v>643</v>
      </c>
      <c r="B34" s="24">
        <v>40573</v>
      </c>
      <c r="C34" s="23">
        <v>1</v>
      </c>
      <c r="D34" s="23">
        <v>0</v>
      </c>
      <c r="E34" s="23">
        <v>1</v>
      </c>
      <c r="F34" s="23">
        <v>1</v>
      </c>
      <c r="G34" s="23" t="b">
        <v>0</v>
      </c>
      <c r="H34" s="23">
        <v>0</v>
      </c>
      <c r="I34" s="23">
        <v>1</v>
      </c>
      <c r="J34" s="23">
        <v>0.14000000000000001</v>
      </c>
      <c r="K34" s="23">
        <v>0.21210000000000001</v>
      </c>
      <c r="L34" s="23">
        <v>0.8</v>
      </c>
      <c r="M34" s="23">
        <v>0</v>
      </c>
      <c r="N34" s="23">
        <v>7</v>
      </c>
      <c r="O34" s="23">
        <v>22</v>
      </c>
      <c r="P34" s="23">
        <v>29</v>
      </c>
    </row>
    <row r="35" spans="1:16" ht="15.75" customHeight="1" x14ac:dyDescent="0.3">
      <c r="A35" s="23">
        <v>644</v>
      </c>
      <c r="B35" s="24">
        <v>40573</v>
      </c>
      <c r="C35" s="23">
        <v>1</v>
      </c>
      <c r="D35" s="23">
        <v>0</v>
      </c>
      <c r="E35" s="23">
        <v>1</v>
      </c>
      <c r="F35" s="23">
        <v>2</v>
      </c>
      <c r="G35" s="23" t="b">
        <v>0</v>
      </c>
      <c r="H35" s="23">
        <v>0</v>
      </c>
      <c r="I35" s="23">
        <v>1</v>
      </c>
      <c r="J35" s="23">
        <v>0.16</v>
      </c>
      <c r="K35" s="23">
        <v>0.2273</v>
      </c>
      <c r="L35" s="23">
        <v>0.8</v>
      </c>
      <c r="M35" s="23">
        <v>0</v>
      </c>
      <c r="N35" s="23">
        <v>1</v>
      </c>
      <c r="O35" s="23">
        <v>10</v>
      </c>
      <c r="P35" s="23">
        <v>11</v>
      </c>
    </row>
    <row r="36" spans="1:16" ht="15.75" customHeight="1" x14ac:dyDescent="0.3">
      <c r="A36" s="23">
        <v>645</v>
      </c>
      <c r="B36" s="24">
        <v>40573</v>
      </c>
      <c r="C36" s="23">
        <v>1</v>
      </c>
      <c r="D36" s="23">
        <v>0</v>
      </c>
      <c r="E36" s="23">
        <v>1</v>
      </c>
      <c r="F36" s="23">
        <v>3</v>
      </c>
      <c r="G36" s="23" t="b">
        <v>0</v>
      </c>
      <c r="H36" s="23">
        <v>0</v>
      </c>
      <c r="I36" s="23">
        <v>1</v>
      </c>
      <c r="J36" s="23">
        <v>0.14000000000000001</v>
      </c>
      <c r="K36" s="23">
        <v>0.21210000000000001</v>
      </c>
      <c r="L36" s="23">
        <v>0.93</v>
      </c>
      <c r="M36" s="23">
        <v>0</v>
      </c>
      <c r="N36" s="23">
        <v>1</v>
      </c>
      <c r="O36" s="23">
        <v>7</v>
      </c>
      <c r="P36" s="23">
        <v>8</v>
      </c>
    </row>
    <row r="37" spans="1:16" ht="15.75" customHeight="1" x14ac:dyDescent="0.3">
      <c r="A37" s="23">
        <v>646</v>
      </c>
      <c r="B37" s="24">
        <v>40573</v>
      </c>
      <c r="C37" s="23">
        <v>1</v>
      </c>
      <c r="D37" s="23">
        <v>0</v>
      </c>
      <c r="E37" s="23">
        <v>1</v>
      </c>
      <c r="F37" s="23">
        <v>4</v>
      </c>
      <c r="G37" s="23" t="b">
        <v>0</v>
      </c>
      <c r="H37" s="23">
        <v>0</v>
      </c>
      <c r="I37" s="23">
        <v>1</v>
      </c>
      <c r="J37" s="23">
        <v>0.14000000000000001</v>
      </c>
      <c r="K37" s="23">
        <v>0.21210000000000001</v>
      </c>
      <c r="L37" s="23">
        <v>0.93</v>
      </c>
      <c r="M37" s="23">
        <v>0</v>
      </c>
      <c r="N37" s="23">
        <v>0</v>
      </c>
      <c r="O37" s="23">
        <v>1</v>
      </c>
      <c r="P37" s="23">
        <v>1</v>
      </c>
    </row>
    <row r="38" spans="1:16" ht="15.75" customHeight="1" x14ac:dyDescent="0.3">
      <c r="A38" s="23">
        <v>647</v>
      </c>
      <c r="B38" s="24">
        <v>40573</v>
      </c>
      <c r="C38" s="23">
        <v>1</v>
      </c>
      <c r="D38" s="23">
        <v>0</v>
      </c>
      <c r="E38" s="23">
        <v>1</v>
      </c>
      <c r="F38" s="23">
        <v>5</v>
      </c>
      <c r="G38" s="23" t="b">
        <v>0</v>
      </c>
      <c r="H38" s="23">
        <v>0</v>
      </c>
      <c r="I38" s="23">
        <v>1</v>
      </c>
      <c r="J38" s="23">
        <v>0.14000000000000001</v>
      </c>
      <c r="K38" s="23">
        <v>0.21210000000000001</v>
      </c>
      <c r="L38" s="23">
        <v>0.86</v>
      </c>
      <c r="M38" s="23">
        <v>0</v>
      </c>
      <c r="N38" s="23">
        <v>0</v>
      </c>
      <c r="O38" s="23">
        <v>3</v>
      </c>
      <c r="P38" s="23">
        <v>3</v>
      </c>
    </row>
    <row r="39" spans="1:16" ht="15.75" customHeight="1" x14ac:dyDescent="0.3">
      <c r="A39" s="23">
        <v>648</v>
      </c>
      <c r="B39" s="24">
        <v>40573</v>
      </c>
      <c r="C39" s="23">
        <v>1</v>
      </c>
      <c r="D39" s="23">
        <v>0</v>
      </c>
      <c r="E39" s="23">
        <v>1</v>
      </c>
      <c r="F39" s="23">
        <v>7</v>
      </c>
      <c r="G39" s="23" t="b">
        <v>0</v>
      </c>
      <c r="H39" s="23">
        <v>0</v>
      </c>
      <c r="I39" s="23">
        <v>1</v>
      </c>
      <c r="J39" s="23">
        <v>0.14000000000000001</v>
      </c>
      <c r="K39" s="23">
        <v>0.21210000000000001</v>
      </c>
      <c r="L39" s="23">
        <v>0.86</v>
      </c>
      <c r="M39" s="23">
        <v>0</v>
      </c>
      <c r="N39" s="23">
        <v>0</v>
      </c>
      <c r="O39" s="23">
        <v>3</v>
      </c>
      <c r="P39" s="23">
        <v>3</v>
      </c>
    </row>
    <row r="40" spans="1:16" ht="15.75" customHeight="1" x14ac:dyDescent="0.3">
      <c r="A40" s="23">
        <v>649</v>
      </c>
      <c r="B40" s="24">
        <v>40573</v>
      </c>
      <c r="C40" s="23">
        <v>1</v>
      </c>
      <c r="D40" s="23">
        <v>0</v>
      </c>
      <c r="E40" s="23">
        <v>1</v>
      </c>
      <c r="F40" s="23">
        <v>8</v>
      </c>
      <c r="G40" s="23" t="b">
        <v>0</v>
      </c>
      <c r="H40" s="23">
        <v>0</v>
      </c>
      <c r="I40" s="23">
        <v>2</v>
      </c>
      <c r="J40" s="23">
        <v>0.14000000000000001</v>
      </c>
      <c r="K40" s="23">
        <v>0.21210000000000001</v>
      </c>
      <c r="L40" s="23">
        <v>0.86</v>
      </c>
      <c r="M40" s="23">
        <v>0</v>
      </c>
      <c r="N40" s="23">
        <v>1</v>
      </c>
      <c r="O40" s="23">
        <v>11</v>
      </c>
      <c r="P40" s="23">
        <v>12</v>
      </c>
    </row>
    <row r="41" spans="1:16" ht="15.75" customHeight="1" x14ac:dyDescent="0.3">
      <c r="A41" s="23">
        <v>650</v>
      </c>
      <c r="B41" s="24">
        <v>40573</v>
      </c>
      <c r="C41" s="23">
        <v>1</v>
      </c>
      <c r="D41" s="23">
        <v>0</v>
      </c>
      <c r="E41" s="23">
        <v>1</v>
      </c>
      <c r="F41" s="23">
        <v>9</v>
      </c>
      <c r="G41" s="23" t="b">
        <v>0</v>
      </c>
      <c r="H41" s="23">
        <v>0</v>
      </c>
      <c r="I41" s="23">
        <v>2</v>
      </c>
      <c r="J41" s="23">
        <v>0.16</v>
      </c>
      <c r="K41" s="23">
        <v>0.2273</v>
      </c>
      <c r="L41" s="23">
        <v>0.8</v>
      </c>
      <c r="M41" s="23">
        <v>0</v>
      </c>
      <c r="N41" s="23">
        <v>4</v>
      </c>
      <c r="O41" s="23">
        <v>34</v>
      </c>
      <c r="P41" s="23">
        <v>38</v>
      </c>
    </row>
    <row r="42" spans="1:16" ht="15.75" customHeight="1" x14ac:dyDescent="0.3">
      <c r="A42" s="23">
        <v>651</v>
      </c>
      <c r="B42" s="24">
        <v>40573</v>
      </c>
      <c r="C42" s="23">
        <v>1</v>
      </c>
      <c r="D42" s="23">
        <v>0</v>
      </c>
      <c r="E42" s="23">
        <v>1</v>
      </c>
      <c r="F42" s="23">
        <v>10</v>
      </c>
      <c r="G42" s="23" t="b">
        <v>0</v>
      </c>
      <c r="H42" s="23">
        <v>0</v>
      </c>
      <c r="I42" s="23">
        <v>2</v>
      </c>
      <c r="J42" s="23">
        <v>0.18</v>
      </c>
      <c r="K42" s="23">
        <v>0.2424</v>
      </c>
      <c r="L42" s="23">
        <v>0.8</v>
      </c>
      <c r="M42" s="23">
        <v>0</v>
      </c>
      <c r="N42" s="23">
        <v>7</v>
      </c>
      <c r="O42" s="23">
        <v>57</v>
      </c>
      <c r="P42" s="23">
        <v>64</v>
      </c>
    </row>
    <row r="43" spans="1:16" ht="15.75" customHeight="1" x14ac:dyDescent="0.3">
      <c r="A43" s="23">
        <v>652</v>
      </c>
      <c r="B43" s="24">
        <v>40573</v>
      </c>
      <c r="C43" s="23">
        <v>1</v>
      </c>
      <c r="D43" s="23">
        <v>0</v>
      </c>
      <c r="E43" s="23">
        <v>1</v>
      </c>
      <c r="F43" s="23">
        <v>11</v>
      </c>
      <c r="G43" s="23" t="b">
        <v>0</v>
      </c>
      <c r="H43" s="23">
        <v>0</v>
      </c>
      <c r="I43" s="23">
        <v>1</v>
      </c>
      <c r="J43" s="23">
        <v>0.22</v>
      </c>
      <c r="K43" s="23">
        <v>0.2727</v>
      </c>
      <c r="L43" s="23">
        <v>0.75</v>
      </c>
      <c r="M43" s="23">
        <v>0</v>
      </c>
      <c r="N43" s="23">
        <v>9</v>
      </c>
      <c r="O43" s="23">
        <v>50</v>
      </c>
      <c r="P43" s="23">
        <v>59</v>
      </c>
    </row>
    <row r="44" spans="1:16" ht="15.75" customHeight="1" x14ac:dyDescent="0.3">
      <c r="A44" s="23">
        <v>653</v>
      </c>
      <c r="B44" s="24">
        <v>40573</v>
      </c>
      <c r="C44" s="23">
        <v>1</v>
      </c>
      <c r="D44" s="23">
        <v>0</v>
      </c>
      <c r="E44" s="23">
        <v>1</v>
      </c>
      <c r="F44" s="23">
        <v>12</v>
      </c>
      <c r="G44" s="23" t="b">
        <v>0</v>
      </c>
      <c r="H44" s="23">
        <v>0</v>
      </c>
      <c r="I44" s="23">
        <v>1</v>
      </c>
      <c r="J44" s="23">
        <v>0.3</v>
      </c>
      <c r="K44" s="23">
        <v>0.31819999999999998</v>
      </c>
      <c r="L44" s="23">
        <v>0.52</v>
      </c>
      <c r="M44" s="23">
        <v>0.1045</v>
      </c>
      <c r="N44" s="23">
        <v>10</v>
      </c>
      <c r="O44" s="23">
        <v>87</v>
      </c>
      <c r="P44" s="23">
        <v>97</v>
      </c>
    </row>
    <row r="45" spans="1:16" ht="15.75" customHeight="1" x14ac:dyDescent="0.3">
      <c r="A45" s="23">
        <v>654</v>
      </c>
      <c r="B45" s="24">
        <v>40573</v>
      </c>
      <c r="C45" s="23">
        <v>1</v>
      </c>
      <c r="D45" s="23">
        <v>0</v>
      </c>
      <c r="E45" s="23">
        <v>1</v>
      </c>
      <c r="F45" s="23">
        <v>13</v>
      </c>
      <c r="G45" s="23" t="b">
        <v>0</v>
      </c>
      <c r="H45" s="23">
        <v>0</v>
      </c>
      <c r="I45" s="23">
        <v>1</v>
      </c>
      <c r="J45" s="23">
        <v>0.28000000000000003</v>
      </c>
      <c r="K45" s="23">
        <v>0.28789999999999999</v>
      </c>
      <c r="L45" s="23">
        <v>0.61</v>
      </c>
      <c r="M45" s="23">
        <v>0.1045</v>
      </c>
      <c r="N45" s="23">
        <v>13</v>
      </c>
      <c r="O45" s="23">
        <v>71</v>
      </c>
      <c r="P45" s="23">
        <v>84</v>
      </c>
    </row>
    <row r="46" spans="1:16" ht="15.75" customHeight="1" x14ac:dyDescent="0.3">
      <c r="A46" s="23">
        <v>655</v>
      </c>
      <c r="B46" s="24">
        <v>40573</v>
      </c>
      <c r="C46" s="23">
        <v>1</v>
      </c>
      <c r="D46" s="23">
        <v>0</v>
      </c>
      <c r="E46" s="23">
        <v>1</v>
      </c>
      <c r="F46" s="23">
        <v>14</v>
      </c>
      <c r="G46" s="23" t="b">
        <v>0</v>
      </c>
      <c r="H46" s="23">
        <v>0</v>
      </c>
      <c r="I46" s="23">
        <v>1</v>
      </c>
      <c r="J46" s="23">
        <v>0.28000000000000003</v>
      </c>
      <c r="K46" s="23">
        <v>0.30299999999999999</v>
      </c>
      <c r="L46" s="23">
        <v>0.61</v>
      </c>
      <c r="M46" s="23">
        <v>8.9599999999999999E-2</v>
      </c>
      <c r="N46" s="23">
        <v>18</v>
      </c>
      <c r="O46" s="23">
        <v>104</v>
      </c>
      <c r="P46" s="23">
        <v>122</v>
      </c>
    </row>
    <row r="47" spans="1:16" ht="15.75" customHeight="1" x14ac:dyDescent="0.3">
      <c r="A47" s="23">
        <v>656</v>
      </c>
      <c r="B47" s="24">
        <v>40573</v>
      </c>
      <c r="C47" s="23">
        <v>1</v>
      </c>
      <c r="D47" s="23">
        <v>0</v>
      </c>
      <c r="E47" s="23">
        <v>1</v>
      </c>
      <c r="F47" s="23">
        <v>15</v>
      </c>
      <c r="G47" s="23" t="b">
        <v>0</v>
      </c>
      <c r="H47" s="23">
        <v>0</v>
      </c>
      <c r="I47" s="23">
        <v>1</v>
      </c>
      <c r="J47" s="23">
        <v>0.3</v>
      </c>
      <c r="K47" s="23">
        <v>0.33329999999999999</v>
      </c>
      <c r="L47" s="23">
        <v>0.56000000000000005</v>
      </c>
      <c r="M47" s="23">
        <v>0</v>
      </c>
      <c r="N47" s="23">
        <v>14</v>
      </c>
      <c r="O47" s="23">
        <v>95</v>
      </c>
      <c r="P47" s="23">
        <v>109</v>
      </c>
    </row>
    <row r="48" spans="1:16" ht="15.75" customHeight="1" x14ac:dyDescent="0.3">
      <c r="A48" s="23">
        <v>657</v>
      </c>
      <c r="B48" s="24">
        <v>40573</v>
      </c>
      <c r="C48" s="23">
        <v>1</v>
      </c>
      <c r="D48" s="23">
        <v>0</v>
      </c>
      <c r="E48" s="23">
        <v>1</v>
      </c>
      <c r="F48" s="23">
        <v>16</v>
      </c>
      <c r="G48" s="23" t="b">
        <v>0</v>
      </c>
      <c r="H48" s="23">
        <v>0</v>
      </c>
      <c r="I48" s="23">
        <v>1</v>
      </c>
      <c r="J48" s="23">
        <v>0.3</v>
      </c>
      <c r="K48" s="23">
        <v>0.33329999999999999</v>
      </c>
      <c r="L48" s="23">
        <v>0.56000000000000005</v>
      </c>
      <c r="M48" s="23">
        <v>0</v>
      </c>
      <c r="N48" s="23">
        <v>19</v>
      </c>
      <c r="O48" s="23">
        <v>104</v>
      </c>
      <c r="P48" s="23">
        <v>123</v>
      </c>
    </row>
    <row r="49" spans="1:16" ht="15.75" customHeight="1" x14ac:dyDescent="0.3">
      <c r="A49" s="23">
        <v>658</v>
      </c>
      <c r="B49" s="24">
        <v>40573</v>
      </c>
      <c r="C49" s="23">
        <v>1</v>
      </c>
      <c r="D49" s="23">
        <v>0</v>
      </c>
      <c r="E49" s="23">
        <v>1</v>
      </c>
      <c r="F49" s="23">
        <v>17</v>
      </c>
      <c r="G49" s="23" t="b">
        <v>0</v>
      </c>
      <c r="H49" s="23">
        <v>0</v>
      </c>
      <c r="I49" s="23">
        <v>1</v>
      </c>
      <c r="J49" s="23">
        <v>0.3</v>
      </c>
      <c r="K49" s="23">
        <v>0.28789999999999999</v>
      </c>
      <c r="L49" s="23">
        <v>0.56000000000000005</v>
      </c>
      <c r="M49" s="23">
        <v>0.19400000000000001</v>
      </c>
      <c r="N49" s="23">
        <v>6</v>
      </c>
      <c r="O49" s="23">
        <v>71</v>
      </c>
      <c r="P49" s="23">
        <v>77</v>
      </c>
    </row>
    <row r="50" spans="1:16" ht="15.75" customHeight="1" x14ac:dyDescent="0.3">
      <c r="A50" s="23">
        <v>659</v>
      </c>
      <c r="B50" s="24">
        <v>40573</v>
      </c>
      <c r="C50" s="23">
        <v>1</v>
      </c>
      <c r="D50" s="23">
        <v>0</v>
      </c>
      <c r="E50" s="23">
        <v>1</v>
      </c>
      <c r="F50" s="23">
        <v>18</v>
      </c>
      <c r="G50" s="23" t="b">
        <v>0</v>
      </c>
      <c r="H50" s="23">
        <v>0</v>
      </c>
      <c r="I50" s="23">
        <v>1</v>
      </c>
      <c r="J50" s="23">
        <v>0.26</v>
      </c>
      <c r="K50" s="23">
        <v>0.2576</v>
      </c>
      <c r="L50" s="23">
        <v>0.65</v>
      </c>
      <c r="M50" s="23">
        <v>0.16420000000000001</v>
      </c>
      <c r="N50" s="23">
        <v>8</v>
      </c>
      <c r="O50" s="23">
        <v>57</v>
      </c>
      <c r="P50" s="23">
        <v>65</v>
      </c>
    </row>
    <row r="51" spans="1:16" ht="15.75" customHeight="1" x14ac:dyDescent="0.3">
      <c r="A51" s="23">
        <v>660</v>
      </c>
      <c r="B51" s="24">
        <v>40573</v>
      </c>
      <c r="C51" s="23">
        <v>1</v>
      </c>
      <c r="D51" s="23">
        <v>0</v>
      </c>
      <c r="E51" s="23">
        <v>1</v>
      </c>
      <c r="F51" s="23">
        <v>19</v>
      </c>
      <c r="G51" s="23" t="b">
        <v>0</v>
      </c>
      <c r="H51" s="23">
        <v>0</v>
      </c>
      <c r="I51" s="23">
        <v>1</v>
      </c>
      <c r="J51" s="23">
        <v>0.26</v>
      </c>
      <c r="K51" s="23">
        <v>0.2576</v>
      </c>
      <c r="L51" s="23">
        <v>0.65</v>
      </c>
      <c r="M51" s="23">
        <v>0.19400000000000001</v>
      </c>
      <c r="N51" s="23">
        <v>9</v>
      </c>
      <c r="O51" s="23">
        <v>46</v>
      </c>
      <c r="P51" s="23">
        <v>55</v>
      </c>
    </row>
    <row r="52" spans="1:16" ht="15.75" customHeight="1" x14ac:dyDescent="0.3">
      <c r="A52" s="23">
        <v>661</v>
      </c>
      <c r="B52" s="24">
        <v>40573</v>
      </c>
      <c r="C52" s="23">
        <v>1</v>
      </c>
      <c r="D52" s="23">
        <v>0</v>
      </c>
      <c r="E52" s="23">
        <v>1</v>
      </c>
      <c r="F52" s="23">
        <v>20</v>
      </c>
      <c r="G52" s="23" t="b">
        <v>0</v>
      </c>
      <c r="H52" s="23">
        <v>0</v>
      </c>
      <c r="I52" s="23">
        <v>2</v>
      </c>
      <c r="J52" s="23">
        <v>0.26</v>
      </c>
      <c r="K52" s="23">
        <v>0.2727</v>
      </c>
      <c r="L52" s="23">
        <v>0.65</v>
      </c>
      <c r="M52" s="23">
        <v>0.1045</v>
      </c>
      <c r="N52" s="23">
        <v>3</v>
      </c>
      <c r="O52" s="23">
        <v>30</v>
      </c>
      <c r="P52" s="23">
        <v>33</v>
      </c>
    </row>
    <row r="53" spans="1:16" ht="15.75" customHeight="1" x14ac:dyDescent="0.3">
      <c r="A53" s="23">
        <v>662</v>
      </c>
      <c r="B53" s="24">
        <v>40573</v>
      </c>
      <c r="C53" s="23">
        <v>1</v>
      </c>
      <c r="D53" s="23">
        <v>0</v>
      </c>
      <c r="E53" s="23">
        <v>1</v>
      </c>
      <c r="F53" s="23">
        <v>21</v>
      </c>
      <c r="G53" s="23" t="b">
        <v>0</v>
      </c>
      <c r="H53" s="23">
        <v>0</v>
      </c>
      <c r="I53" s="23">
        <v>2</v>
      </c>
      <c r="J53" s="23">
        <v>0.24</v>
      </c>
      <c r="K53" s="23">
        <v>0.2424</v>
      </c>
      <c r="L53" s="23">
        <v>0.7</v>
      </c>
      <c r="M53" s="23">
        <v>0.16420000000000001</v>
      </c>
      <c r="N53" s="23">
        <v>3</v>
      </c>
      <c r="O53" s="23">
        <v>25</v>
      </c>
      <c r="P53" s="23">
        <v>28</v>
      </c>
    </row>
    <row r="54" spans="1:16" ht="15.75" customHeight="1" x14ac:dyDescent="0.3">
      <c r="A54" s="23">
        <v>663</v>
      </c>
      <c r="B54" s="24">
        <v>40573</v>
      </c>
      <c r="C54" s="23">
        <v>1</v>
      </c>
      <c r="D54" s="23">
        <v>0</v>
      </c>
      <c r="E54" s="23">
        <v>1</v>
      </c>
      <c r="F54" s="23">
        <v>22</v>
      </c>
      <c r="G54" s="23" t="b">
        <v>0</v>
      </c>
      <c r="H54" s="23">
        <v>0</v>
      </c>
      <c r="I54" s="23">
        <v>2</v>
      </c>
      <c r="J54" s="23">
        <v>0.24</v>
      </c>
      <c r="K54" s="23">
        <v>0.2273</v>
      </c>
      <c r="L54" s="23">
        <v>0.7</v>
      </c>
      <c r="M54" s="23">
        <v>0.19400000000000001</v>
      </c>
      <c r="N54" s="23">
        <v>2</v>
      </c>
      <c r="O54" s="23">
        <v>19</v>
      </c>
      <c r="P54" s="23">
        <v>21</v>
      </c>
    </row>
    <row r="55" spans="1:16" ht="15.75" customHeight="1" x14ac:dyDescent="0.3">
      <c r="A55" s="23">
        <v>664</v>
      </c>
      <c r="B55" s="24">
        <v>40573</v>
      </c>
      <c r="C55" s="23">
        <v>1</v>
      </c>
      <c r="D55" s="23">
        <v>0</v>
      </c>
      <c r="E55" s="23">
        <v>1</v>
      </c>
      <c r="F55" s="23">
        <v>23</v>
      </c>
      <c r="G55" s="23" t="b">
        <v>0</v>
      </c>
      <c r="H55" s="23">
        <v>0</v>
      </c>
      <c r="I55" s="23">
        <v>2</v>
      </c>
      <c r="J55" s="23">
        <v>0.24</v>
      </c>
      <c r="K55" s="23">
        <v>0.21210000000000001</v>
      </c>
      <c r="L55" s="23">
        <v>0.65</v>
      </c>
      <c r="M55" s="23">
        <v>0.28360000000000002</v>
      </c>
      <c r="N55" s="23">
        <v>5</v>
      </c>
      <c r="O55" s="23">
        <v>16</v>
      </c>
      <c r="P55" s="23">
        <v>21</v>
      </c>
    </row>
    <row r="56" spans="1:16" ht="15.75" customHeight="1" x14ac:dyDescent="0.3">
      <c r="A56" s="23">
        <v>665</v>
      </c>
      <c r="B56" s="24">
        <v>40574</v>
      </c>
      <c r="C56" s="23">
        <v>1</v>
      </c>
      <c r="D56" s="23">
        <v>0</v>
      </c>
      <c r="E56" s="23">
        <v>1</v>
      </c>
      <c r="F56" s="23">
        <v>0</v>
      </c>
      <c r="G56" s="23" t="b">
        <v>0</v>
      </c>
      <c r="H56" s="23">
        <v>1</v>
      </c>
      <c r="I56" s="23">
        <v>2</v>
      </c>
      <c r="J56" s="23">
        <v>0.24</v>
      </c>
      <c r="K56" s="23">
        <v>0.2273</v>
      </c>
      <c r="L56" s="23">
        <v>0.65</v>
      </c>
      <c r="M56" s="23">
        <v>0.22389999999999999</v>
      </c>
      <c r="N56" s="23">
        <v>1</v>
      </c>
      <c r="O56" s="23">
        <v>6</v>
      </c>
      <c r="P56" s="23">
        <v>7</v>
      </c>
    </row>
    <row r="57" spans="1:16" ht="15.75" customHeight="1" x14ac:dyDescent="0.3">
      <c r="A57" s="23">
        <v>666</v>
      </c>
      <c r="B57" s="24">
        <v>40574</v>
      </c>
      <c r="C57" s="23">
        <v>1</v>
      </c>
      <c r="D57" s="23">
        <v>0</v>
      </c>
      <c r="E57" s="23">
        <v>1</v>
      </c>
      <c r="F57" s="23">
        <v>1</v>
      </c>
      <c r="G57" s="23" t="b">
        <v>0</v>
      </c>
      <c r="H57" s="23">
        <v>1</v>
      </c>
      <c r="I57" s="23">
        <v>1</v>
      </c>
      <c r="J57" s="23">
        <v>0.22</v>
      </c>
      <c r="K57" s="23">
        <v>0.21210000000000001</v>
      </c>
      <c r="L57" s="23">
        <v>0.64</v>
      </c>
      <c r="M57" s="23">
        <v>0.25369999999999998</v>
      </c>
      <c r="N57" s="23">
        <v>2</v>
      </c>
      <c r="O57" s="23">
        <v>5</v>
      </c>
      <c r="P57" s="23">
        <v>7</v>
      </c>
    </row>
    <row r="58" spans="1:16" ht="15.75" customHeight="1" x14ac:dyDescent="0.3">
      <c r="A58" s="23">
        <v>667</v>
      </c>
      <c r="B58" s="24">
        <v>40574</v>
      </c>
      <c r="C58" s="23">
        <v>1</v>
      </c>
      <c r="D58" s="23">
        <v>0</v>
      </c>
      <c r="E58" s="23">
        <v>1</v>
      </c>
      <c r="F58" s="23">
        <v>2</v>
      </c>
      <c r="G58" s="23" t="b">
        <v>0</v>
      </c>
      <c r="H58" s="23">
        <v>1</v>
      </c>
      <c r="I58" s="23">
        <v>1</v>
      </c>
      <c r="J58" s="23">
        <v>0.22</v>
      </c>
      <c r="K58" s="23">
        <v>0.2273</v>
      </c>
      <c r="L58" s="23">
        <v>0.64</v>
      </c>
      <c r="M58" s="23">
        <v>0.19400000000000001</v>
      </c>
      <c r="N58" s="23">
        <v>0</v>
      </c>
      <c r="O58" s="23">
        <v>1</v>
      </c>
      <c r="P58" s="23">
        <v>1</v>
      </c>
    </row>
    <row r="59" spans="1:16" ht="15.75" customHeight="1" x14ac:dyDescent="0.3">
      <c r="A59" s="23">
        <v>668</v>
      </c>
      <c r="B59" s="24">
        <v>40574</v>
      </c>
      <c r="C59" s="23">
        <v>1</v>
      </c>
      <c r="D59" s="23">
        <v>0</v>
      </c>
      <c r="E59" s="23">
        <v>1</v>
      </c>
      <c r="F59" s="23">
        <v>3</v>
      </c>
      <c r="G59" s="23" t="b">
        <v>0</v>
      </c>
      <c r="H59" s="23">
        <v>1</v>
      </c>
      <c r="I59" s="23">
        <v>1</v>
      </c>
      <c r="J59" s="23">
        <v>0.22</v>
      </c>
      <c r="K59" s="23">
        <v>0.2273</v>
      </c>
      <c r="L59" s="23">
        <v>0.64</v>
      </c>
      <c r="M59" s="23">
        <v>0.19400000000000001</v>
      </c>
      <c r="N59" s="23">
        <v>0</v>
      </c>
      <c r="O59" s="23">
        <v>2</v>
      </c>
      <c r="P59" s="23">
        <v>2</v>
      </c>
    </row>
    <row r="60" spans="1:16" ht="15.75" customHeight="1" x14ac:dyDescent="0.3">
      <c r="A60" s="23">
        <v>669</v>
      </c>
      <c r="B60" s="24">
        <v>40574</v>
      </c>
      <c r="C60" s="23">
        <v>1</v>
      </c>
      <c r="D60" s="23">
        <v>0</v>
      </c>
      <c r="E60" s="23">
        <v>1</v>
      </c>
      <c r="F60" s="23">
        <v>4</v>
      </c>
      <c r="G60" s="23" t="b">
        <v>0</v>
      </c>
      <c r="H60" s="23">
        <v>1</v>
      </c>
      <c r="I60" s="23">
        <v>1</v>
      </c>
      <c r="J60" s="23">
        <v>0.2</v>
      </c>
      <c r="K60" s="23">
        <v>0.19700000000000001</v>
      </c>
      <c r="L60" s="23">
        <v>0.59</v>
      </c>
      <c r="M60" s="23">
        <v>0.22389999999999999</v>
      </c>
      <c r="N60" s="23">
        <v>0</v>
      </c>
      <c r="O60" s="23">
        <v>2</v>
      </c>
      <c r="P60" s="23">
        <v>2</v>
      </c>
    </row>
    <row r="61" spans="1:16" ht="15.75" customHeight="1" x14ac:dyDescent="0.3">
      <c r="A61" s="23">
        <v>670</v>
      </c>
      <c r="B61" s="24">
        <v>40574</v>
      </c>
      <c r="C61" s="23">
        <v>1</v>
      </c>
      <c r="D61" s="23">
        <v>0</v>
      </c>
      <c r="E61" s="23">
        <v>1</v>
      </c>
      <c r="F61" s="23">
        <v>5</v>
      </c>
      <c r="G61" s="23" t="b">
        <v>0</v>
      </c>
      <c r="H61" s="23">
        <v>1</v>
      </c>
      <c r="I61" s="23">
        <v>1</v>
      </c>
      <c r="J61" s="23">
        <v>0.18</v>
      </c>
      <c r="K61" s="23">
        <v>0.16669999999999999</v>
      </c>
      <c r="L61" s="23">
        <v>0.64</v>
      </c>
      <c r="M61" s="23">
        <v>0.28360000000000002</v>
      </c>
      <c r="N61" s="23">
        <v>0</v>
      </c>
      <c r="O61" s="23">
        <v>8</v>
      </c>
      <c r="P61" s="23">
        <v>8</v>
      </c>
    </row>
    <row r="62" spans="1:16" ht="15.75" customHeight="1" x14ac:dyDescent="0.3">
      <c r="A62" s="23">
        <v>671</v>
      </c>
      <c r="B62" s="24">
        <v>40574</v>
      </c>
      <c r="C62" s="23">
        <v>1</v>
      </c>
      <c r="D62" s="23">
        <v>0</v>
      </c>
      <c r="E62" s="23">
        <v>1</v>
      </c>
      <c r="F62" s="23">
        <v>6</v>
      </c>
      <c r="G62" s="23" t="b">
        <v>0</v>
      </c>
      <c r="H62" s="23">
        <v>1</v>
      </c>
      <c r="I62" s="23">
        <v>1</v>
      </c>
      <c r="J62" s="23">
        <v>0.16</v>
      </c>
      <c r="K62" s="23">
        <v>0.13639999999999999</v>
      </c>
      <c r="L62" s="23">
        <v>0.69</v>
      </c>
      <c r="M62" s="23">
        <v>0.32840000000000003</v>
      </c>
      <c r="N62" s="23">
        <v>0</v>
      </c>
      <c r="O62" s="23">
        <v>37</v>
      </c>
      <c r="P62" s="23">
        <v>37</v>
      </c>
    </row>
    <row r="63" spans="1:16" ht="15.75" customHeight="1" x14ac:dyDescent="0.3">
      <c r="A63" s="23">
        <v>672</v>
      </c>
      <c r="B63" s="24">
        <v>40574</v>
      </c>
      <c r="C63" s="23">
        <v>1</v>
      </c>
      <c r="D63" s="23">
        <v>0</v>
      </c>
      <c r="E63" s="23">
        <v>1</v>
      </c>
      <c r="F63" s="23">
        <v>7</v>
      </c>
      <c r="G63" s="23" t="b">
        <v>0</v>
      </c>
      <c r="H63" s="23">
        <v>1</v>
      </c>
      <c r="I63" s="23">
        <v>2</v>
      </c>
      <c r="J63" s="23">
        <v>0.16</v>
      </c>
      <c r="K63" s="23">
        <v>0.13639999999999999</v>
      </c>
      <c r="L63" s="23">
        <v>0.64</v>
      </c>
      <c r="M63" s="23">
        <v>0.28360000000000002</v>
      </c>
      <c r="N63" s="23">
        <v>1</v>
      </c>
      <c r="O63" s="23">
        <v>71</v>
      </c>
      <c r="P63" s="23">
        <v>72</v>
      </c>
    </row>
    <row r="64" spans="1:16" ht="15.75" customHeight="1" x14ac:dyDescent="0.3">
      <c r="A64" s="23">
        <v>673</v>
      </c>
      <c r="B64" s="24">
        <v>40574</v>
      </c>
      <c r="C64" s="23">
        <v>1</v>
      </c>
      <c r="D64" s="23">
        <v>0</v>
      </c>
      <c r="E64" s="23">
        <v>1</v>
      </c>
      <c r="F64" s="23">
        <v>8</v>
      </c>
      <c r="G64" s="23" t="b">
        <v>0</v>
      </c>
      <c r="H64" s="23">
        <v>1</v>
      </c>
      <c r="I64" s="23">
        <v>2</v>
      </c>
      <c r="J64" s="23">
        <v>0.16</v>
      </c>
      <c r="K64" s="23">
        <v>0.13639999999999999</v>
      </c>
      <c r="L64" s="23">
        <v>0.59</v>
      </c>
      <c r="M64" s="23">
        <v>0.28360000000000002</v>
      </c>
      <c r="N64" s="23">
        <v>3</v>
      </c>
      <c r="O64" s="23">
        <v>182</v>
      </c>
      <c r="P64" s="23">
        <v>185</v>
      </c>
    </row>
    <row r="65" spans="1:16" ht="15.75" customHeight="1" x14ac:dyDescent="0.3">
      <c r="A65" s="23">
        <v>674</v>
      </c>
      <c r="B65" s="24">
        <v>40574</v>
      </c>
      <c r="C65" s="23">
        <v>1</v>
      </c>
      <c r="D65" s="23">
        <v>0</v>
      </c>
      <c r="E65" s="23">
        <v>1</v>
      </c>
      <c r="F65" s="23">
        <v>9</v>
      </c>
      <c r="G65" s="23" t="b">
        <v>0</v>
      </c>
      <c r="H65" s="23">
        <v>1</v>
      </c>
      <c r="I65" s="23">
        <v>2</v>
      </c>
      <c r="J65" s="23">
        <v>0.16</v>
      </c>
      <c r="K65" s="23">
        <v>0.13639999999999999</v>
      </c>
      <c r="L65" s="23">
        <v>0.59</v>
      </c>
      <c r="M65" s="23">
        <v>0.29849999999999999</v>
      </c>
      <c r="N65" s="23">
        <v>0</v>
      </c>
      <c r="O65" s="23">
        <v>112</v>
      </c>
      <c r="P65" s="23">
        <v>112</v>
      </c>
    </row>
    <row r="66" spans="1:16" ht="15.75" customHeight="1" x14ac:dyDescent="0.3">
      <c r="A66" s="23">
        <v>675</v>
      </c>
      <c r="B66" s="24">
        <v>40574</v>
      </c>
      <c r="C66" s="23">
        <v>1</v>
      </c>
      <c r="D66" s="23">
        <v>0</v>
      </c>
      <c r="E66" s="23">
        <v>1</v>
      </c>
      <c r="F66" s="23">
        <v>10</v>
      </c>
      <c r="G66" s="23" t="b">
        <v>0</v>
      </c>
      <c r="H66" s="23">
        <v>1</v>
      </c>
      <c r="I66" s="23">
        <v>2</v>
      </c>
      <c r="J66" s="23">
        <v>0.16</v>
      </c>
      <c r="K66" s="23">
        <v>0.1515</v>
      </c>
      <c r="L66" s="23">
        <v>0.59</v>
      </c>
      <c r="M66" s="23">
        <v>0.19400000000000001</v>
      </c>
      <c r="N66" s="23">
        <v>1</v>
      </c>
      <c r="O66" s="23">
        <v>68</v>
      </c>
      <c r="P66" s="23">
        <v>69</v>
      </c>
    </row>
    <row r="67" spans="1:16" ht="15.75" customHeight="1" x14ac:dyDescent="0.3">
      <c r="A67" s="23">
        <v>676</v>
      </c>
      <c r="B67" s="24">
        <v>40574</v>
      </c>
      <c r="C67" s="23">
        <v>1</v>
      </c>
      <c r="D67" s="23">
        <v>0</v>
      </c>
      <c r="E67" s="23">
        <v>1</v>
      </c>
      <c r="F67" s="23">
        <v>11</v>
      </c>
      <c r="G67" s="23" t="b">
        <v>0</v>
      </c>
      <c r="H67" s="23">
        <v>1</v>
      </c>
      <c r="I67" s="23">
        <v>2</v>
      </c>
      <c r="J67" s="23">
        <v>0.16</v>
      </c>
      <c r="K67" s="23">
        <v>0.1515</v>
      </c>
      <c r="L67" s="23">
        <v>0.59</v>
      </c>
      <c r="M67" s="23">
        <v>0.19400000000000001</v>
      </c>
      <c r="N67" s="23">
        <v>2</v>
      </c>
      <c r="O67" s="23">
        <v>46</v>
      </c>
      <c r="P67" s="23">
        <v>48</v>
      </c>
    </row>
    <row r="68" spans="1:16" ht="15.75" customHeight="1" x14ac:dyDescent="0.3">
      <c r="A68" s="23">
        <v>677</v>
      </c>
      <c r="B68" s="24">
        <v>40574</v>
      </c>
      <c r="C68" s="23">
        <v>1</v>
      </c>
      <c r="D68" s="23">
        <v>0</v>
      </c>
      <c r="E68" s="23">
        <v>1</v>
      </c>
      <c r="F68" s="23">
        <v>12</v>
      </c>
      <c r="G68" s="23" t="b">
        <v>0</v>
      </c>
      <c r="H68" s="23">
        <v>1</v>
      </c>
      <c r="I68" s="23">
        <v>2</v>
      </c>
      <c r="J68" s="23">
        <v>0.18</v>
      </c>
      <c r="K68" s="23">
        <v>0.21210000000000001</v>
      </c>
      <c r="L68" s="23">
        <v>0.55000000000000004</v>
      </c>
      <c r="M68" s="23">
        <v>0.1045</v>
      </c>
      <c r="N68" s="23">
        <v>6</v>
      </c>
      <c r="O68" s="23">
        <v>62</v>
      </c>
      <c r="P68" s="23">
        <v>68</v>
      </c>
    </row>
    <row r="69" spans="1:16" ht="15.75" customHeight="1" x14ac:dyDescent="0.3">
      <c r="A69" s="23">
        <v>678</v>
      </c>
      <c r="B69" s="24">
        <v>40574</v>
      </c>
      <c r="C69" s="23">
        <v>1</v>
      </c>
      <c r="D69" s="23">
        <v>0</v>
      </c>
      <c r="E69" s="23">
        <v>1</v>
      </c>
      <c r="F69" s="23">
        <v>13</v>
      </c>
      <c r="G69" s="23" t="b">
        <v>0</v>
      </c>
      <c r="H69" s="23">
        <v>1</v>
      </c>
      <c r="I69" s="23">
        <v>2</v>
      </c>
      <c r="J69" s="23">
        <v>0.16</v>
      </c>
      <c r="K69" s="23">
        <v>0.2273</v>
      </c>
      <c r="L69" s="23">
        <v>0.59</v>
      </c>
      <c r="M69" s="23">
        <v>0</v>
      </c>
      <c r="N69" s="23">
        <v>2</v>
      </c>
      <c r="O69" s="23">
        <v>52</v>
      </c>
      <c r="P69" s="23">
        <v>54</v>
      </c>
    </row>
    <row r="70" spans="1:16" ht="15.75" customHeight="1" x14ac:dyDescent="0.3">
      <c r="A70" s="23">
        <v>679</v>
      </c>
      <c r="B70" s="24">
        <v>40574</v>
      </c>
      <c r="C70" s="23">
        <v>1</v>
      </c>
      <c r="D70" s="23">
        <v>0</v>
      </c>
      <c r="E70" s="23">
        <v>1</v>
      </c>
      <c r="F70" s="23">
        <v>14</v>
      </c>
      <c r="G70" s="23" t="b">
        <v>0</v>
      </c>
      <c r="H70" s="23">
        <v>1</v>
      </c>
      <c r="I70" s="23">
        <v>2</v>
      </c>
      <c r="J70" s="23">
        <v>0.18</v>
      </c>
      <c r="K70" s="23">
        <v>0.19700000000000001</v>
      </c>
      <c r="L70" s="23">
        <v>0.55000000000000004</v>
      </c>
      <c r="M70" s="23">
        <v>0.1343</v>
      </c>
      <c r="N70" s="23">
        <v>1</v>
      </c>
      <c r="O70" s="23">
        <v>85</v>
      </c>
      <c r="P70" s="23">
        <v>86</v>
      </c>
    </row>
    <row r="71" spans="1:16" ht="15.75" customHeight="1" x14ac:dyDescent="0.3">
      <c r="A71" s="23">
        <v>680</v>
      </c>
      <c r="B71" s="24">
        <v>40574</v>
      </c>
      <c r="C71" s="23">
        <v>1</v>
      </c>
      <c r="D71" s="23">
        <v>0</v>
      </c>
      <c r="E71" s="23">
        <v>1</v>
      </c>
      <c r="F71" s="23">
        <v>15</v>
      </c>
      <c r="G71" s="23" t="b">
        <v>0</v>
      </c>
      <c r="H71" s="23">
        <v>1</v>
      </c>
      <c r="I71" s="23">
        <v>2</v>
      </c>
      <c r="J71" s="23">
        <v>0.16</v>
      </c>
      <c r="K71" s="23">
        <v>0.18179999999999999</v>
      </c>
      <c r="L71" s="23">
        <v>0.59</v>
      </c>
      <c r="M71" s="23">
        <v>0.1343</v>
      </c>
      <c r="N71" s="23">
        <v>3</v>
      </c>
      <c r="O71" s="23">
        <v>41</v>
      </c>
      <c r="P71" s="23">
        <v>44</v>
      </c>
    </row>
    <row r="72" spans="1:16" ht="15.75" customHeight="1" x14ac:dyDescent="0.3">
      <c r="A72" s="23">
        <v>681</v>
      </c>
      <c r="B72" s="24">
        <v>40574</v>
      </c>
      <c r="C72" s="23">
        <v>1</v>
      </c>
      <c r="D72" s="23">
        <v>0</v>
      </c>
      <c r="E72" s="23">
        <v>1</v>
      </c>
      <c r="F72" s="23">
        <v>16</v>
      </c>
      <c r="G72" s="23" t="b">
        <v>0</v>
      </c>
      <c r="H72" s="23">
        <v>1</v>
      </c>
      <c r="I72" s="23">
        <v>2</v>
      </c>
      <c r="J72" s="23">
        <v>0.16</v>
      </c>
      <c r="K72" s="23">
        <v>0.18179999999999999</v>
      </c>
      <c r="L72" s="23">
        <v>0.56000000000000005</v>
      </c>
      <c r="M72" s="23">
        <v>0.19400000000000001</v>
      </c>
      <c r="N72" s="23">
        <v>3</v>
      </c>
      <c r="O72" s="23">
        <v>83</v>
      </c>
      <c r="P72" s="23">
        <v>86</v>
      </c>
    </row>
    <row r="73" spans="1:16" ht="15.75" customHeight="1" x14ac:dyDescent="0.3">
      <c r="A73" s="23">
        <v>682</v>
      </c>
      <c r="B73" s="24">
        <v>40574</v>
      </c>
      <c r="C73" s="23">
        <v>1</v>
      </c>
      <c r="D73" s="23">
        <v>0</v>
      </c>
      <c r="E73" s="23">
        <v>1</v>
      </c>
      <c r="F73" s="23">
        <v>17</v>
      </c>
      <c r="G73" s="23" t="b">
        <v>0</v>
      </c>
      <c r="H73" s="23">
        <v>1</v>
      </c>
      <c r="I73" s="23">
        <v>2</v>
      </c>
      <c r="J73" s="23">
        <v>0.16</v>
      </c>
      <c r="K73" s="23">
        <v>0.1515</v>
      </c>
      <c r="L73" s="23">
        <v>0.59</v>
      </c>
      <c r="M73" s="23">
        <v>0.19400000000000001</v>
      </c>
      <c r="N73" s="23">
        <v>6</v>
      </c>
      <c r="O73" s="23">
        <v>155</v>
      </c>
      <c r="P73" s="23">
        <v>161</v>
      </c>
    </row>
    <row r="74" spans="1:16" ht="15.75" customHeight="1" x14ac:dyDescent="0.3">
      <c r="A74" s="23">
        <v>683</v>
      </c>
      <c r="B74" s="24">
        <v>40574</v>
      </c>
      <c r="C74" s="23">
        <v>1</v>
      </c>
      <c r="D74" s="23">
        <v>0</v>
      </c>
      <c r="E74" s="23">
        <v>1</v>
      </c>
      <c r="F74" s="23">
        <v>18</v>
      </c>
      <c r="G74" s="23" t="b">
        <v>0</v>
      </c>
      <c r="H74" s="23">
        <v>1</v>
      </c>
      <c r="I74" s="23">
        <v>2</v>
      </c>
      <c r="J74" s="23">
        <v>0.16</v>
      </c>
      <c r="K74" s="23">
        <v>0.1515</v>
      </c>
      <c r="L74" s="23">
        <v>0.55000000000000004</v>
      </c>
      <c r="M74" s="23">
        <v>0.22389999999999999</v>
      </c>
      <c r="N74" s="23">
        <v>3</v>
      </c>
      <c r="O74" s="23">
        <v>153</v>
      </c>
      <c r="P74" s="23">
        <v>156</v>
      </c>
    </row>
    <row r="75" spans="1:16" ht="15.75" customHeight="1" x14ac:dyDescent="0.3">
      <c r="A75" s="23">
        <v>684</v>
      </c>
      <c r="B75" s="24">
        <v>40574</v>
      </c>
      <c r="C75" s="23">
        <v>1</v>
      </c>
      <c r="D75" s="23">
        <v>0</v>
      </c>
      <c r="E75" s="23">
        <v>1</v>
      </c>
      <c r="F75" s="23">
        <v>19</v>
      </c>
      <c r="G75" s="23" t="b">
        <v>0</v>
      </c>
      <c r="H75" s="23">
        <v>1</v>
      </c>
      <c r="I75" s="23">
        <v>1</v>
      </c>
      <c r="J75" s="23">
        <v>0.3</v>
      </c>
      <c r="K75" s="23">
        <v>0.31819999999999998</v>
      </c>
      <c r="L75" s="23">
        <v>0.61</v>
      </c>
      <c r="M75" s="23">
        <v>0.1045</v>
      </c>
      <c r="N75" s="23">
        <v>3</v>
      </c>
      <c r="O75" s="23">
        <v>108</v>
      </c>
      <c r="P75" s="23">
        <v>111</v>
      </c>
    </row>
    <row r="76" spans="1:16" ht="15.75" customHeight="1" x14ac:dyDescent="0.3">
      <c r="A76" s="23">
        <v>685</v>
      </c>
      <c r="B76" s="24">
        <v>40574</v>
      </c>
      <c r="C76" s="23">
        <v>1</v>
      </c>
      <c r="D76" s="23">
        <v>0</v>
      </c>
      <c r="E76" s="23">
        <v>1</v>
      </c>
      <c r="F76" s="23">
        <v>20</v>
      </c>
      <c r="G76" s="23" t="b">
        <v>0</v>
      </c>
      <c r="H76" s="23">
        <v>1</v>
      </c>
      <c r="I76" s="23">
        <v>3</v>
      </c>
      <c r="J76" s="23">
        <v>0.16</v>
      </c>
      <c r="K76" s="23">
        <v>0.16669999999999999</v>
      </c>
      <c r="L76" s="23">
        <v>0.59</v>
      </c>
      <c r="M76" s="23">
        <v>0.16420000000000001</v>
      </c>
      <c r="N76" s="23">
        <v>0</v>
      </c>
      <c r="O76" s="23">
        <v>78</v>
      </c>
      <c r="P76" s="23">
        <v>78</v>
      </c>
    </row>
    <row r="77" spans="1:16" ht="15.75" customHeight="1" x14ac:dyDescent="0.3">
      <c r="A77" s="23">
        <v>686</v>
      </c>
      <c r="B77" s="24">
        <v>40574</v>
      </c>
      <c r="C77" s="23">
        <v>1</v>
      </c>
      <c r="D77" s="23">
        <v>0</v>
      </c>
      <c r="E77" s="23">
        <v>1</v>
      </c>
      <c r="F77" s="23">
        <v>21</v>
      </c>
      <c r="G77" s="23" t="b">
        <v>0</v>
      </c>
      <c r="H77" s="23">
        <v>1</v>
      </c>
      <c r="I77" s="23">
        <v>3</v>
      </c>
      <c r="J77" s="23">
        <v>0.16</v>
      </c>
      <c r="K77" s="23">
        <v>0.19700000000000001</v>
      </c>
      <c r="L77" s="23">
        <v>0.59</v>
      </c>
      <c r="M77" s="23">
        <v>8.9599999999999999E-2</v>
      </c>
      <c r="N77" s="23">
        <v>3</v>
      </c>
      <c r="O77" s="23">
        <v>53</v>
      </c>
      <c r="P77" s="23">
        <v>56</v>
      </c>
    </row>
    <row r="78" spans="1:16" ht="15.75" customHeight="1" x14ac:dyDescent="0.3">
      <c r="A78" s="23">
        <v>687</v>
      </c>
      <c r="B78" s="24">
        <v>40574</v>
      </c>
      <c r="C78" s="23">
        <v>1</v>
      </c>
      <c r="D78" s="23">
        <v>0</v>
      </c>
      <c r="E78" s="23">
        <v>1</v>
      </c>
      <c r="F78" s="23">
        <v>22</v>
      </c>
      <c r="G78" s="23" t="b">
        <v>0</v>
      </c>
      <c r="H78" s="23">
        <v>1</v>
      </c>
      <c r="I78" s="23">
        <v>2</v>
      </c>
      <c r="J78" s="23">
        <v>0.16</v>
      </c>
      <c r="K78" s="23">
        <v>0.18179999999999999</v>
      </c>
      <c r="L78" s="23">
        <v>0.59</v>
      </c>
      <c r="M78" s="23">
        <v>0.1045</v>
      </c>
      <c r="N78" s="23">
        <v>0</v>
      </c>
      <c r="O78" s="23">
        <v>34</v>
      </c>
      <c r="P78" s="23">
        <v>34</v>
      </c>
    </row>
    <row r="79" spans="1:16" ht="15.75" customHeight="1" x14ac:dyDescent="0.3">
      <c r="A79" s="23">
        <v>688</v>
      </c>
      <c r="B79" s="24">
        <v>40574</v>
      </c>
      <c r="C79" s="23">
        <v>1</v>
      </c>
      <c r="D79" s="23">
        <v>0</v>
      </c>
      <c r="E79" s="23">
        <v>1</v>
      </c>
      <c r="F79" s="23">
        <v>23</v>
      </c>
      <c r="G79" s="23" t="b">
        <v>0</v>
      </c>
      <c r="H79" s="23">
        <v>1</v>
      </c>
      <c r="I79" s="23">
        <v>2</v>
      </c>
      <c r="J79" s="23">
        <v>0.16</v>
      </c>
      <c r="K79" s="23">
        <v>0.19700000000000001</v>
      </c>
      <c r="L79" s="23">
        <v>0.64</v>
      </c>
      <c r="M79" s="23">
        <v>8.9599999999999999E-2</v>
      </c>
      <c r="N79" s="23">
        <v>2</v>
      </c>
      <c r="O79" s="23">
        <v>15</v>
      </c>
      <c r="P79" s="23">
        <v>17</v>
      </c>
    </row>
    <row r="80" spans="1:16" ht="15.75" customHeight="1" x14ac:dyDescent="0.3">
      <c r="A80" s="23">
        <v>689</v>
      </c>
      <c r="B80" s="24">
        <v>40575</v>
      </c>
      <c r="C80" s="23">
        <v>1</v>
      </c>
      <c r="D80" s="23">
        <v>0</v>
      </c>
      <c r="E80" s="23">
        <v>2</v>
      </c>
      <c r="F80" s="23">
        <v>0</v>
      </c>
      <c r="G80" s="23" t="b">
        <v>0</v>
      </c>
      <c r="H80" s="23">
        <v>2</v>
      </c>
      <c r="I80" s="23">
        <v>2</v>
      </c>
      <c r="J80" s="23">
        <v>0.16</v>
      </c>
      <c r="K80" s="23">
        <v>0.18179999999999999</v>
      </c>
      <c r="L80" s="23">
        <v>0.64</v>
      </c>
      <c r="M80" s="23">
        <v>0.1045</v>
      </c>
      <c r="N80" s="23">
        <v>2</v>
      </c>
      <c r="O80" s="23">
        <v>6</v>
      </c>
      <c r="P80" s="23">
        <v>8</v>
      </c>
    </row>
    <row r="81" spans="1:16" ht="15.75" customHeight="1" x14ac:dyDescent="0.3">
      <c r="A81" s="23">
        <v>690</v>
      </c>
      <c r="B81" s="24">
        <v>40575</v>
      </c>
      <c r="C81" s="23">
        <v>1</v>
      </c>
      <c r="D81" s="23">
        <v>0</v>
      </c>
      <c r="E81" s="23">
        <v>2</v>
      </c>
      <c r="F81" s="23">
        <v>1</v>
      </c>
      <c r="G81" s="23" t="b">
        <v>0</v>
      </c>
      <c r="H81" s="23">
        <v>2</v>
      </c>
      <c r="I81" s="23">
        <v>2</v>
      </c>
      <c r="J81" s="23">
        <v>0.16</v>
      </c>
      <c r="K81" s="23">
        <v>0.18179999999999999</v>
      </c>
      <c r="L81" s="23">
        <v>0.69</v>
      </c>
      <c r="M81" s="23">
        <v>0.1045</v>
      </c>
      <c r="N81" s="23">
        <v>0</v>
      </c>
      <c r="O81" s="23">
        <v>3</v>
      </c>
      <c r="P81" s="23">
        <v>3</v>
      </c>
    </row>
    <row r="82" spans="1:16" ht="15.75" customHeight="1" x14ac:dyDescent="0.3">
      <c r="A82" s="23">
        <v>691</v>
      </c>
      <c r="B82" s="24">
        <v>40575</v>
      </c>
      <c r="C82" s="23">
        <v>1</v>
      </c>
      <c r="D82" s="23">
        <v>0</v>
      </c>
      <c r="E82" s="23">
        <v>2</v>
      </c>
      <c r="F82" s="23">
        <v>2</v>
      </c>
      <c r="G82" s="23" t="b">
        <v>0</v>
      </c>
      <c r="H82" s="23">
        <v>2</v>
      </c>
      <c r="I82" s="23">
        <v>2</v>
      </c>
      <c r="J82" s="23">
        <v>0.16</v>
      </c>
      <c r="K82" s="23">
        <v>0.2273</v>
      </c>
      <c r="L82" s="23">
        <v>0.69</v>
      </c>
      <c r="M82" s="23">
        <v>0</v>
      </c>
      <c r="N82" s="23">
        <v>0</v>
      </c>
      <c r="O82" s="23">
        <v>2</v>
      </c>
      <c r="P82" s="23">
        <v>2</v>
      </c>
    </row>
    <row r="83" spans="1:16" ht="15.75" customHeight="1" x14ac:dyDescent="0.3">
      <c r="A83" s="23">
        <v>692</v>
      </c>
      <c r="B83" s="24">
        <v>40575</v>
      </c>
      <c r="C83" s="23">
        <v>1</v>
      </c>
      <c r="D83" s="23">
        <v>0</v>
      </c>
      <c r="E83" s="23">
        <v>2</v>
      </c>
      <c r="F83" s="23">
        <v>3</v>
      </c>
      <c r="G83" s="23" t="b">
        <v>0</v>
      </c>
      <c r="H83" s="23">
        <v>2</v>
      </c>
      <c r="I83" s="23">
        <v>2</v>
      </c>
      <c r="J83" s="23">
        <v>0.16</v>
      </c>
      <c r="K83" s="23">
        <v>0.2273</v>
      </c>
      <c r="L83" s="23">
        <v>0.69</v>
      </c>
      <c r="M83" s="23">
        <v>0</v>
      </c>
      <c r="N83" s="23">
        <v>0</v>
      </c>
      <c r="O83" s="23">
        <v>2</v>
      </c>
      <c r="P83" s="23">
        <v>2</v>
      </c>
    </row>
    <row r="84" spans="1:16" ht="15.75" customHeight="1" x14ac:dyDescent="0.3">
      <c r="A84" s="23">
        <v>693</v>
      </c>
      <c r="B84" s="24">
        <v>40575</v>
      </c>
      <c r="C84" s="23">
        <v>1</v>
      </c>
      <c r="D84" s="23">
        <v>0</v>
      </c>
      <c r="E84" s="23">
        <v>2</v>
      </c>
      <c r="F84" s="23">
        <v>5</v>
      </c>
      <c r="G84" s="23" t="b">
        <v>0</v>
      </c>
      <c r="H84" s="23">
        <v>2</v>
      </c>
      <c r="I84" s="23">
        <v>3</v>
      </c>
      <c r="J84" s="23">
        <v>0.14000000000000001</v>
      </c>
      <c r="K84" s="23">
        <v>0.21210000000000001</v>
      </c>
      <c r="L84" s="23">
        <v>0.93</v>
      </c>
      <c r="M84" s="23">
        <v>0</v>
      </c>
      <c r="N84" s="23">
        <v>0</v>
      </c>
      <c r="O84" s="23">
        <v>3</v>
      </c>
      <c r="P84" s="23">
        <v>3</v>
      </c>
    </row>
    <row r="85" spans="1:16" ht="15.75" customHeight="1" x14ac:dyDescent="0.3">
      <c r="A85" s="23">
        <v>694</v>
      </c>
      <c r="B85" s="24">
        <v>40575</v>
      </c>
      <c r="C85" s="23">
        <v>1</v>
      </c>
      <c r="D85" s="23">
        <v>0</v>
      </c>
      <c r="E85" s="23">
        <v>2</v>
      </c>
      <c r="F85" s="23">
        <v>6</v>
      </c>
      <c r="G85" s="23" t="b">
        <v>0</v>
      </c>
      <c r="H85" s="23">
        <v>2</v>
      </c>
      <c r="I85" s="23">
        <v>3</v>
      </c>
      <c r="J85" s="23">
        <v>0.14000000000000001</v>
      </c>
      <c r="K85" s="23">
        <v>0.21210000000000001</v>
      </c>
      <c r="L85" s="23">
        <v>0.93</v>
      </c>
      <c r="M85" s="23">
        <v>0</v>
      </c>
      <c r="N85" s="23">
        <v>0</v>
      </c>
      <c r="O85" s="23">
        <v>22</v>
      </c>
      <c r="P85" s="23">
        <v>22</v>
      </c>
    </row>
    <row r="86" spans="1:16" ht="15.75" customHeight="1" x14ac:dyDescent="0.3">
      <c r="A86" s="23">
        <v>695</v>
      </c>
      <c r="B86" s="24">
        <v>40575</v>
      </c>
      <c r="C86" s="23">
        <v>1</v>
      </c>
      <c r="D86" s="23">
        <v>0</v>
      </c>
      <c r="E86" s="23">
        <v>2</v>
      </c>
      <c r="F86" s="23">
        <v>7</v>
      </c>
      <c r="G86" s="23" t="b">
        <v>0</v>
      </c>
      <c r="H86" s="23">
        <v>2</v>
      </c>
      <c r="I86" s="23">
        <v>3</v>
      </c>
      <c r="J86" s="23">
        <v>0.16</v>
      </c>
      <c r="K86" s="23">
        <v>0.2273</v>
      </c>
      <c r="L86" s="23">
        <v>0.93</v>
      </c>
      <c r="M86" s="23">
        <v>0</v>
      </c>
      <c r="N86" s="23">
        <v>0</v>
      </c>
      <c r="O86" s="23">
        <v>52</v>
      </c>
      <c r="P86" s="23">
        <v>52</v>
      </c>
    </row>
    <row r="87" spans="1:16" ht="15.75" customHeight="1" x14ac:dyDescent="0.3">
      <c r="A87" s="23">
        <v>696</v>
      </c>
      <c r="B87" s="24">
        <v>40575</v>
      </c>
      <c r="C87" s="23">
        <v>1</v>
      </c>
      <c r="D87" s="23">
        <v>0</v>
      </c>
      <c r="E87" s="23">
        <v>2</v>
      </c>
      <c r="F87" s="23">
        <v>8</v>
      </c>
      <c r="G87" s="23" t="b">
        <v>0</v>
      </c>
      <c r="H87" s="23">
        <v>2</v>
      </c>
      <c r="I87" s="23">
        <v>3</v>
      </c>
      <c r="J87" s="23">
        <v>0.16</v>
      </c>
      <c r="K87" s="23">
        <v>0.2273</v>
      </c>
      <c r="L87" s="23">
        <v>0.93</v>
      </c>
      <c r="M87" s="23">
        <v>0</v>
      </c>
      <c r="N87" s="23">
        <v>3</v>
      </c>
      <c r="O87" s="23">
        <v>132</v>
      </c>
      <c r="P87" s="23">
        <v>135</v>
      </c>
    </row>
    <row r="88" spans="1:16" ht="15.75" customHeight="1" x14ac:dyDescent="0.3">
      <c r="A88" s="23">
        <v>697</v>
      </c>
      <c r="B88" s="24">
        <v>40575</v>
      </c>
      <c r="C88" s="23">
        <v>1</v>
      </c>
      <c r="D88" s="23">
        <v>0</v>
      </c>
      <c r="E88" s="23">
        <v>2</v>
      </c>
      <c r="F88" s="23">
        <v>9</v>
      </c>
      <c r="G88" s="23" t="b">
        <v>0</v>
      </c>
      <c r="H88" s="23">
        <v>2</v>
      </c>
      <c r="I88" s="23">
        <v>2</v>
      </c>
      <c r="J88" s="23">
        <v>0.16</v>
      </c>
      <c r="K88" s="23">
        <v>0.2273</v>
      </c>
      <c r="L88" s="23">
        <v>0.93</v>
      </c>
      <c r="M88" s="23">
        <v>0</v>
      </c>
      <c r="N88" s="23">
        <v>2</v>
      </c>
      <c r="O88" s="23">
        <v>114</v>
      </c>
      <c r="P88" s="23">
        <v>116</v>
      </c>
    </row>
    <row r="89" spans="1:16" ht="15.75" customHeight="1" x14ac:dyDescent="0.3">
      <c r="A89" s="23">
        <v>698</v>
      </c>
      <c r="B89" s="24">
        <v>40575</v>
      </c>
      <c r="C89" s="23">
        <v>1</v>
      </c>
      <c r="D89" s="23">
        <v>0</v>
      </c>
      <c r="E89" s="23">
        <v>2</v>
      </c>
      <c r="F89" s="23">
        <v>10</v>
      </c>
      <c r="G89" s="23" t="b">
        <v>0</v>
      </c>
      <c r="H89" s="23">
        <v>2</v>
      </c>
      <c r="I89" s="23">
        <v>2</v>
      </c>
      <c r="J89" s="23">
        <v>0.16</v>
      </c>
      <c r="K89" s="23">
        <v>0.2273</v>
      </c>
      <c r="L89" s="23">
        <v>0.93</v>
      </c>
      <c r="M89" s="23">
        <v>0</v>
      </c>
      <c r="N89" s="23">
        <v>0</v>
      </c>
      <c r="O89" s="23">
        <v>47</v>
      </c>
      <c r="P89" s="23">
        <v>47</v>
      </c>
    </row>
    <row r="90" spans="1:16" ht="15.75" customHeight="1" x14ac:dyDescent="0.3">
      <c r="A90" s="23">
        <v>699</v>
      </c>
      <c r="B90" s="24">
        <v>40575</v>
      </c>
      <c r="C90" s="23">
        <v>1</v>
      </c>
      <c r="D90" s="23">
        <v>0</v>
      </c>
      <c r="E90" s="23">
        <v>2</v>
      </c>
      <c r="F90" s="23">
        <v>11</v>
      </c>
      <c r="G90" s="23" t="b">
        <v>0</v>
      </c>
      <c r="H90" s="23">
        <v>2</v>
      </c>
      <c r="I90" s="23">
        <v>2</v>
      </c>
      <c r="J90" s="23">
        <v>0.18</v>
      </c>
      <c r="K90" s="23">
        <v>0.2424</v>
      </c>
      <c r="L90" s="23">
        <v>0.86</v>
      </c>
      <c r="M90" s="23">
        <v>0</v>
      </c>
      <c r="N90" s="23">
        <v>2</v>
      </c>
      <c r="O90" s="23">
        <v>49</v>
      </c>
      <c r="P90" s="23">
        <v>51</v>
      </c>
    </row>
    <row r="91" spans="1:16" ht="15.75" customHeight="1" x14ac:dyDescent="0.3">
      <c r="A91" s="23">
        <v>700</v>
      </c>
      <c r="B91" s="24">
        <v>40575</v>
      </c>
      <c r="C91" s="23">
        <v>1</v>
      </c>
      <c r="D91" s="23">
        <v>0</v>
      </c>
      <c r="E91" s="23">
        <v>2</v>
      </c>
      <c r="F91" s="23">
        <v>12</v>
      </c>
      <c r="G91" s="23" t="b">
        <v>0</v>
      </c>
      <c r="H91" s="23">
        <v>2</v>
      </c>
      <c r="I91" s="23">
        <v>2</v>
      </c>
      <c r="J91" s="23">
        <v>0.2</v>
      </c>
      <c r="K91" s="23">
        <v>0.2576</v>
      </c>
      <c r="L91" s="23">
        <v>0.86</v>
      </c>
      <c r="M91" s="23">
        <v>0</v>
      </c>
      <c r="N91" s="23">
        <v>2</v>
      </c>
      <c r="O91" s="23">
        <v>53</v>
      </c>
      <c r="P91" s="23">
        <v>55</v>
      </c>
    </row>
    <row r="92" spans="1:16" ht="15.75" customHeight="1" x14ac:dyDescent="0.3">
      <c r="A92" s="23">
        <v>701</v>
      </c>
      <c r="B92" s="24">
        <v>40575</v>
      </c>
      <c r="C92" s="23">
        <v>1</v>
      </c>
      <c r="D92" s="23">
        <v>0</v>
      </c>
      <c r="E92" s="23">
        <v>2</v>
      </c>
      <c r="F92" s="23">
        <v>13</v>
      </c>
      <c r="G92" s="23" t="b">
        <v>0</v>
      </c>
      <c r="H92" s="23">
        <v>2</v>
      </c>
      <c r="I92" s="23">
        <v>2</v>
      </c>
      <c r="J92" s="23">
        <v>0.2</v>
      </c>
      <c r="K92" s="23">
        <v>0.2576</v>
      </c>
      <c r="L92" s="23">
        <v>0.86</v>
      </c>
      <c r="M92" s="23">
        <v>0</v>
      </c>
      <c r="N92" s="23">
        <v>3</v>
      </c>
      <c r="O92" s="23">
        <v>49</v>
      </c>
      <c r="P92" s="23">
        <v>52</v>
      </c>
    </row>
    <row r="93" spans="1:16" ht="15.75" customHeight="1" x14ac:dyDescent="0.3">
      <c r="A93" s="23">
        <v>702</v>
      </c>
      <c r="B93" s="24">
        <v>40575</v>
      </c>
      <c r="C93" s="23">
        <v>1</v>
      </c>
      <c r="D93" s="23">
        <v>0</v>
      </c>
      <c r="E93" s="23">
        <v>2</v>
      </c>
      <c r="F93" s="23">
        <v>14</v>
      </c>
      <c r="G93" s="23" t="b">
        <v>0</v>
      </c>
      <c r="H93" s="23">
        <v>2</v>
      </c>
      <c r="I93" s="23">
        <v>2</v>
      </c>
      <c r="J93" s="23">
        <v>0.22</v>
      </c>
      <c r="K93" s="23">
        <v>0.2576</v>
      </c>
      <c r="L93" s="23">
        <v>0.8</v>
      </c>
      <c r="M93" s="23">
        <v>8.9599999999999999E-2</v>
      </c>
      <c r="N93" s="23">
        <v>5</v>
      </c>
      <c r="O93" s="23">
        <v>49</v>
      </c>
      <c r="P93" s="23">
        <v>54</v>
      </c>
    </row>
    <row r="94" spans="1:16" ht="15.75" customHeight="1" x14ac:dyDescent="0.3">
      <c r="A94" s="23">
        <v>703</v>
      </c>
      <c r="B94" s="24">
        <v>40575</v>
      </c>
      <c r="C94" s="23">
        <v>1</v>
      </c>
      <c r="D94" s="23">
        <v>0</v>
      </c>
      <c r="E94" s="23">
        <v>2</v>
      </c>
      <c r="F94" s="23">
        <v>15</v>
      </c>
      <c r="G94" s="23" t="b">
        <v>0</v>
      </c>
      <c r="H94" s="23">
        <v>2</v>
      </c>
      <c r="I94" s="23">
        <v>2</v>
      </c>
      <c r="J94" s="23">
        <v>0.24</v>
      </c>
      <c r="K94" s="23">
        <v>0.28789999999999999</v>
      </c>
      <c r="L94" s="23">
        <v>0.75</v>
      </c>
      <c r="M94" s="23">
        <v>0</v>
      </c>
      <c r="N94" s="23">
        <v>7</v>
      </c>
      <c r="O94" s="23">
        <v>45</v>
      </c>
      <c r="P94" s="23">
        <v>52</v>
      </c>
    </row>
    <row r="95" spans="1:16" ht="15.75" customHeight="1" x14ac:dyDescent="0.3">
      <c r="A95" s="23">
        <v>704</v>
      </c>
      <c r="B95" s="24">
        <v>40575</v>
      </c>
      <c r="C95" s="23">
        <v>1</v>
      </c>
      <c r="D95" s="23">
        <v>0</v>
      </c>
      <c r="E95" s="23">
        <v>2</v>
      </c>
      <c r="F95" s="23">
        <v>16</v>
      </c>
      <c r="G95" s="23" t="b">
        <v>0</v>
      </c>
      <c r="H95" s="23">
        <v>2</v>
      </c>
      <c r="I95" s="23">
        <v>2</v>
      </c>
      <c r="J95" s="23">
        <v>0.24</v>
      </c>
      <c r="K95" s="23">
        <v>0.2424</v>
      </c>
      <c r="L95" s="23">
        <v>0.75</v>
      </c>
      <c r="M95" s="23">
        <v>0.1343</v>
      </c>
      <c r="N95" s="23">
        <v>3</v>
      </c>
      <c r="O95" s="23">
        <v>61</v>
      </c>
      <c r="P95" s="23">
        <v>64</v>
      </c>
    </row>
    <row r="96" spans="1:16" ht="15.75" customHeight="1" x14ac:dyDescent="0.3">
      <c r="A96" s="23">
        <v>705</v>
      </c>
      <c r="B96" s="24">
        <v>40575</v>
      </c>
      <c r="C96" s="23">
        <v>1</v>
      </c>
      <c r="D96" s="23">
        <v>0</v>
      </c>
      <c r="E96" s="23">
        <v>2</v>
      </c>
      <c r="F96" s="23">
        <v>17</v>
      </c>
      <c r="G96" s="23" t="b">
        <v>0</v>
      </c>
      <c r="H96" s="23">
        <v>2</v>
      </c>
      <c r="I96" s="23">
        <v>2</v>
      </c>
      <c r="J96" s="23">
        <v>0.24</v>
      </c>
      <c r="K96" s="23">
        <v>0.28789999999999999</v>
      </c>
      <c r="L96" s="23">
        <v>0.75</v>
      </c>
      <c r="M96" s="23">
        <v>0</v>
      </c>
      <c r="N96" s="23">
        <v>4</v>
      </c>
      <c r="O96" s="23">
        <v>172</v>
      </c>
      <c r="P96" s="23">
        <v>176</v>
      </c>
    </row>
    <row r="97" spans="1:16" ht="15.75" customHeight="1" x14ac:dyDescent="0.3">
      <c r="A97" s="23">
        <v>706</v>
      </c>
      <c r="B97" s="24">
        <v>40575</v>
      </c>
      <c r="C97" s="23">
        <v>1</v>
      </c>
      <c r="D97" s="23">
        <v>0</v>
      </c>
      <c r="E97" s="23">
        <v>2</v>
      </c>
      <c r="F97" s="23">
        <v>18</v>
      </c>
      <c r="G97" s="23" t="b">
        <v>0</v>
      </c>
      <c r="H97" s="23">
        <v>2</v>
      </c>
      <c r="I97" s="23">
        <v>2</v>
      </c>
      <c r="J97" s="23">
        <v>0.24</v>
      </c>
      <c r="K97" s="23">
        <v>0.2576</v>
      </c>
      <c r="L97" s="23">
        <v>0.81</v>
      </c>
      <c r="M97" s="23">
        <v>0.1045</v>
      </c>
      <c r="N97" s="23">
        <v>3</v>
      </c>
      <c r="O97" s="23">
        <v>165</v>
      </c>
      <c r="P97" s="23">
        <v>168</v>
      </c>
    </row>
    <row r="98" spans="1:16" ht="15.75" customHeight="1" x14ac:dyDescent="0.3">
      <c r="A98" s="23">
        <v>707</v>
      </c>
      <c r="B98" s="24">
        <v>40575</v>
      </c>
      <c r="C98" s="23">
        <v>1</v>
      </c>
      <c r="D98" s="23">
        <v>0</v>
      </c>
      <c r="E98" s="23">
        <v>2</v>
      </c>
      <c r="F98" s="23">
        <v>19</v>
      </c>
      <c r="G98" s="23" t="b">
        <v>0</v>
      </c>
      <c r="H98" s="23">
        <v>2</v>
      </c>
      <c r="I98" s="23">
        <v>2</v>
      </c>
      <c r="J98" s="23">
        <v>0.24</v>
      </c>
      <c r="K98" s="23">
        <v>0.2424</v>
      </c>
      <c r="L98" s="23">
        <v>0.81</v>
      </c>
      <c r="M98" s="23">
        <v>0.1343</v>
      </c>
      <c r="N98" s="23">
        <v>3</v>
      </c>
      <c r="O98" s="23">
        <v>105</v>
      </c>
      <c r="P98" s="23">
        <v>108</v>
      </c>
    </row>
    <row r="99" spans="1:16" ht="15.75" customHeight="1" x14ac:dyDescent="0.3">
      <c r="A99" s="23">
        <v>708</v>
      </c>
      <c r="B99" s="24">
        <v>40575</v>
      </c>
      <c r="C99" s="23">
        <v>1</v>
      </c>
      <c r="D99" s="23">
        <v>0</v>
      </c>
      <c r="E99" s="23">
        <v>2</v>
      </c>
      <c r="F99" s="23">
        <v>20</v>
      </c>
      <c r="G99" s="23" t="b">
        <v>0</v>
      </c>
      <c r="H99" s="23">
        <v>2</v>
      </c>
      <c r="I99" s="23">
        <v>2</v>
      </c>
      <c r="J99" s="23">
        <v>0.22</v>
      </c>
      <c r="K99" s="23">
        <v>0.2273</v>
      </c>
      <c r="L99" s="23">
        <v>0.87</v>
      </c>
      <c r="M99" s="23">
        <v>0.1343</v>
      </c>
      <c r="N99" s="23">
        <v>5</v>
      </c>
      <c r="O99" s="23">
        <v>69</v>
      </c>
      <c r="P99" s="23">
        <v>74</v>
      </c>
    </row>
    <row r="100" spans="1:16" ht="15.75" customHeight="1" x14ac:dyDescent="0.3">
      <c r="A100" s="23">
        <v>709</v>
      </c>
      <c r="B100" s="24">
        <v>40575</v>
      </c>
      <c r="C100" s="23">
        <v>1</v>
      </c>
      <c r="D100" s="23">
        <v>0</v>
      </c>
      <c r="E100" s="23">
        <v>2</v>
      </c>
      <c r="F100" s="23">
        <v>21</v>
      </c>
      <c r="G100" s="23" t="b">
        <v>0</v>
      </c>
      <c r="H100" s="23">
        <v>2</v>
      </c>
      <c r="I100" s="23">
        <v>2</v>
      </c>
      <c r="J100" s="23">
        <v>0.22</v>
      </c>
      <c r="K100" s="23">
        <v>0.2273</v>
      </c>
      <c r="L100" s="23">
        <v>0.87</v>
      </c>
      <c r="M100" s="23">
        <v>0.1343</v>
      </c>
      <c r="N100" s="23">
        <v>0</v>
      </c>
      <c r="O100" s="23">
        <v>64</v>
      </c>
      <c r="P100" s="23">
        <v>64</v>
      </c>
    </row>
    <row r="101" spans="1:16" ht="15.75" customHeight="1" x14ac:dyDescent="0.3">
      <c r="A101" s="23">
        <v>710</v>
      </c>
      <c r="B101" s="24">
        <v>40575</v>
      </c>
      <c r="C101" s="23">
        <v>1</v>
      </c>
      <c r="D101" s="23">
        <v>0</v>
      </c>
      <c r="E101" s="23">
        <v>2</v>
      </c>
      <c r="F101" s="23">
        <v>22</v>
      </c>
      <c r="G101" s="23" t="b">
        <v>0</v>
      </c>
      <c r="H101" s="23">
        <v>2</v>
      </c>
      <c r="I101" s="23">
        <v>2</v>
      </c>
      <c r="J101" s="23">
        <v>0.22</v>
      </c>
      <c r="K101" s="23">
        <v>0.2576</v>
      </c>
      <c r="L101" s="23">
        <v>0.87</v>
      </c>
      <c r="M101" s="23">
        <v>8.9599999999999999E-2</v>
      </c>
      <c r="N101" s="23">
        <v>2</v>
      </c>
      <c r="O101" s="23">
        <v>34</v>
      </c>
      <c r="P101" s="23">
        <v>36</v>
      </c>
    </row>
    <row r="102" spans="1:16" ht="15.75" customHeight="1" x14ac:dyDescent="0.3">
      <c r="A102" s="23">
        <v>711</v>
      </c>
      <c r="B102" s="24">
        <v>40575</v>
      </c>
      <c r="C102" s="23">
        <v>1</v>
      </c>
      <c r="D102" s="23">
        <v>0</v>
      </c>
      <c r="E102" s="23">
        <v>2</v>
      </c>
      <c r="F102" s="23">
        <v>23</v>
      </c>
      <c r="G102" s="23" t="b">
        <v>0</v>
      </c>
      <c r="H102" s="23">
        <v>2</v>
      </c>
      <c r="I102" s="23">
        <v>3</v>
      </c>
      <c r="J102" s="23">
        <v>0.2</v>
      </c>
      <c r="K102" s="23">
        <v>0.19700000000000001</v>
      </c>
      <c r="L102" s="23">
        <v>0.93</v>
      </c>
      <c r="M102" s="23">
        <v>0.19400000000000001</v>
      </c>
      <c r="N102" s="23">
        <v>1</v>
      </c>
      <c r="O102" s="23">
        <v>15</v>
      </c>
      <c r="P102" s="23">
        <v>16</v>
      </c>
    </row>
    <row r="103" spans="1:16" ht="15.75" customHeight="1" x14ac:dyDescent="0.3">
      <c r="A103" s="23">
        <v>712</v>
      </c>
      <c r="B103" s="24">
        <v>40576</v>
      </c>
      <c r="C103" s="23">
        <v>1</v>
      </c>
      <c r="D103" s="23">
        <v>0</v>
      </c>
      <c r="E103" s="23">
        <v>2</v>
      </c>
      <c r="F103" s="23">
        <v>0</v>
      </c>
      <c r="G103" s="23" t="b">
        <v>0</v>
      </c>
      <c r="H103" s="23">
        <v>3</v>
      </c>
      <c r="I103" s="23">
        <v>3</v>
      </c>
      <c r="J103" s="23">
        <v>0.22</v>
      </c>
      <c r="K103" s="23">
        <v>0.2424</v>
      </c>
      <c r="L103" s="23">
        <v>0.93</v>
      </c>
      <c r="M103" s="23">
        <v>0.1045</v>
      </c>
      <c r="N103" s="23">
        <v>0</v>
      </c>
      <c r="O103" s="23">
        <v>2</v>
      </c>
      <c r="P103" s="23">
        <v>2</v>
      </c>
    </row>
    <row r="104" spans="1:16" ht="15.75" customHeight="1" x14ac:dyDescent="0.3">
      <c r="A104" s="23">
        <v>713</v>
      </c>
      <c r="B104" s="24">
        <v>40576</v>
      </c>
      <c r="C104" s="23">
        <v>1</v>
      </c>
      <c r="D104" s="23">
        <v>0</v>
      </c>
      <c r="E104" s="23">
        <v>2</v>
      </c>
      <c r="F104" s="23">
        <v>1</v>
      </c>
      <c r="G104" s="23" t="b">
        <v>0</v>
      </c>
      <c r="H104" s="23">
        <v>3</v>
      </c>
      <c r="I104" s="23">
        <v>3</v>
      </c>
      <c r="J104" s="23">
        <v>0.22</v>
      </c>
      <c r="K104" s="23">
        <v>0.2273</v>
      </c>
      <c r="L104" s="23">
        <v>0.93</v>
      </c>
      <c r="M104" s="23">
        <v>0.19400000000000001</v>
      </c>
      <c r="N104" s="23">
        <v>0</v>
      </c>
      <c r="O104" s="23">
        <v>3</v>
      </c>
      <c r="P104" s="23">
        <v>3</v>
      </c>
    </row>
    <row r="105" spans="1:16" ht="15.75" customHeight="1" x14ac:dyDescent="0.3">
      <c r="A105" s="23">
        <v>714</v>
      </c>
      <c r="B105" s="24">
        <v>40576</v>
      </c>
      <c r="C105" s="23">
        <v>1</v>
      </c>
      <c r="D105" s="23">
        <v>0</v>
      </c>
      <c r="E105" s="23">
        <v>2</v>
      </c>
      <c r="F105" s="23">
        <v>2</v>
      </c>
      <c r="G105" s="23" t="b">
        <v>0</v>
      </c>
      <c r="H105" s="23">
        <v>3</v>
      </c>
      <c r="I105" s="23">
        <v>3</v>
      </c>
      <c r="J105" s="23">
        <v>0.22</v>
      </c>
      <c r="K105" s="23">
        <v>0.2273</v>
      </c>
      <c r="L105" s="23">
        <v>0.93</v>
      </c>
      <c r="M105" s="23">
        <v>0.1343</v>
      </c>
      <c r="N105" s="23">
        <v>4</v>
      </c>
      <c r="O105" s="23">
        <v>0</v>
      </c>
      <c r="P105" s="23">
        <v>4</v>
      </c>
    </row>
    <row r="106" spans="1:16" ht="15.75" customHeight="1" x14ac:dyDescent="0.3">
      <c r="A106" s="23">
        <v>715</v>
      </c>
      <c r="B106" s="24">
        <v>40576</v>
      </c>
      <c r="C106" s="23">
        <v>1</v>
      </c>
      <c r="D106" s="23">
        <v>0</v>
      </c>
      <c r="E106" s="23">
        <v>2</v>
      </c>
      <c r="F106" s="23">
        <v>3</v>
      </c>
      <c r="G106" s="23" t="b">
        <v>0</v>
      </c>
      <c r="H106" s="23">
        <v>3</v>
      </c>
      <c r="I106" s="23">
        <v>3</v>
      </c>
      <c r="J106" s="23">
        <v>0.22</v>
      </c>
      <c r="K106" s="23">
        <v>0.2273</v>
      </c>
      <c r="L106" s="23">
        <v>0.93</v>
      </c>
      <c r="M106" s="23">
        <v>0.1343</v>
      </c>
      <c r="N106" s="23">
        <v>0</v>
      </c>
      <c r="O106" s="23">
        <v>1</v>
      </c>
      <c r="P106" s="23">
        <v>1</v>
      </c>
    </row>
    <row r="107" spans="1:16" ht="15.75" customHeight="1" x14ac:dyDescent="0.3">
      <c r="A107" s="23">
        <v>716</v>
      </c>
      <c r="B107" s="24">
        <v>40576</v>
      </c>
      <c r="C107" s="23">
        <v>1</v>
      </c>
      <c r="D107" s="23">
        <v>0</v>
      </c>
      <c r="E107" s="23">
        <v>2</v>
      </c>
      <c r="F107" s="23">
        <v>4</v>
      </c>
      <c r="G107" s="23" t="b">
        <v>0</v>
      </c>
      <c r="H107" s="23">
        <v>3</v>
      </c>
      <c r="I107" s="23">
        <v>3</v>
      </c>
      <c r="J107" s="23">
        <v>0.22</v>
      </c>
      <c r="K107" s="23">
        <v>0.21210000000000001</v>
      </c>
      <c r="L107" s="23">
        <v>0.93</v>
      </c>
      <c r="M107" s="23">
        <v>0.28360000000000002</v>
      </c>
      <c r="N107" s="23">
        <v>0</v>
      </c>
      <c r="O107" s="23">
        <v>1</v>
      </c>
      <c r="P107" s="23">
        <v>1</v>
      </c>
    </row>
    <row r="108" spans="1:16" ht="15.75" customHeight="1" x14ac:dyDescent="0.3">
      <c r="A108" s="23">
        <v>717</v>
      </c>
      <c r="B108" s="24">
        <v>40576</v>
      </c>
      <c r="C108" s="23">
        <v>1</v>
      </c>
      <c r="D108" s="23">
        <v>0</v>
      </c>
      <c r="E108" s="23">
        <v>2</v>
      </c>
      <c r="F108" s="23">
        <v>5</v>
      </c>
      <c r="G108" s="23" t="b">
        <v>0</v>
      </c>
      <c r="H108" s="23">
        <v>3</v>
      </c>
      <c r="I108" s="23">
        <v>3</v>
      </c>
      <c r="J108" s="23">
        <v>0.22</v>
      </c>
      <c r="K108" s="23">
        <v>0.2424</v>
      </c>
      <c r="L108" s="23">
        <v>0.93</v>
      </c>
      <c r="M108" s="23">
        <v>0.1045</v>
      </c>
      <c r="N108" s="23">
        <v>0</v>
      </c>
      <c r="O108" s="23">
        <v>3</v>
      </c>
      <c r="P108" s="23">
        <v>3</v>
      </c>
    </row>
    <row r="109" spans="1:16" ht="15.75" customHeight="1" x14ac:dyDescent="0.3">
      <c r="A109" s="23">
        <v>718</v>
      </c>
      <c r="B109" s="24">
        <v>40576</v>
      </c>
      <c r="C109" s="23">
        <v>1</v>
      </c>
      <c r="D109" s="23">
        <v>0</v>
      </c>
      <c r="E109" s="23">
        <v>2</v>
      </c>
      <c r="F109" s="23">
        <v>6</v>
      </c>
      <c r="G109" s="23" t="b">
        <v>0</v>
      </c>
      <c r="H109" s="23">
        <v>3</v>
      </c>
      <c r="I109" s="23">
        <v>3</v>
      </c>
      <c r="J109" s="23">
        <v>0.22</v>
      </c>
      <c r="K109" s="23">
        <v>0.2424</v>
      </c>
      <c r="L109" s="23">
        <v>0.93</v>
      </c>
      <c r="M109" s="23">
        <v>0.1045</v>
      </c>
      <c r="N109" s="23">
        <v>1</v>
      </c>
      <c r="O109" s="23">
        <v>17</v>
      </c>
      <c r="P109" s="23">
        <v>18</v>
      </c>
    </row>
    <row r="110" spans="1:16" ht="15.75" customHeight="1" x14ac:dyDescent="0.3">
      <c r="A110" s="23">
        <v>719</v>
      </c>
      <c r="B110" s="24">
        <v>40576</v>
      </c>
      <c r="C110" s="23">
        <v>1</v>
      </c>
      <c r="D110" s="23">
        <v>0</v>
      </c>
      <c r="E110" s="23">
        <v>2</v>
      </c>
      <c r="F110" s="23">
        <v>7</v>
      </c>
      <c r="G110" s="23" t="b">
        <v>0</v>
      </c>
      <c r="H110" s="23">
        <v>3</v>
      </c>
      <c r="I110" s="23">
        <v>3</v>
      </c>
      <c r="J110" s="23">
        <v>0.22</v>
      </c>
      <c r="K110" s="23">
        <v>0.21210000000000001</v>
      </c>
      <c r="L110" s="23">
        <v>0.93</v>
      </c>
      <c r="M110" s="23">
        <v>0.22389999999999999</v>
      </c>
      <c r="N110" s="23">
        <v>1</v>
      </c>
      <c r="O110" s="23">
        <v>48</v>
      </c>
      <c r="P110" s="23">
        <v>49</v>
      </c>
    </row>
    <row r="111" spans="1:16" ht="15.75" customHeight="1" x14ac:dyDescent="0.3">
      <c r="A111" s="23">
        <v>720</v>
      </c>
      <c r="B111" s="24">
        <v>40576</v>
      </c>
      <c r="C111" s="23">
        <v>1</v>
      </c>
      <c r="D111" s="23">
        <v>0</v>
      </c>
      <c r="E111" s="23">
        <v>2</v>
      </c>
      <c r="F111" s="23">
        <v>8</v>
      </c>
      <c r="G111" s="23" t="b">
        <v>0</v>
      </c>
      <c r="H111" s="23">
        <v>3</v>
      </c>
      <c r="I111" s="23">
        <v>3</v>
      </c>
      <c r="J111" s="23">
        <v>0.22</v>
      </c>
      <c r="K111" s="23">
        <v>0.21210000000000001</v>
      </c>
      <c r="L111" s="23">
        <v>0.93</v>
      </c>
      <c r="M111" s="23">
        <v>0.22389999999999999</v>
      </c>
      <c r="N111" s="23">
        <v>1</v>
      </c>
      <c r="O111" s="23">
        <v>154</v>
      </c>
      <c r="P111" s="23">
        <v>155</v>
      </c>
    </row>
    <row r="112" spans="1:16" ht="15.75" customHeight="1" x14ac:dyDescent="0.3">
      <c r="A112" s="23">
        <v>721</v>
      </c>
      <c r="B112" s="24">
        <v>40576</v>
      </c>
      <c r="C112" s="23">
        <v>1</v>
      </c>
      <c r="D112" s="23">
        <v>0</v>
      </c>
      <c r="E112" s="23">
        <v>2</v>
      </c>
      <c r="F112" s="23">
        <v>9</v>
      </c>
      <c r="G112" s="23" t="b">
        <v>0</v>
      </c>
      <c r="H112" s="23">
        <v>3</v>
      </c>
      <c r="I112" s="23">
        <v>2</v>
      </c>
      <c r="J112" s="23">
        <v>0.24</v>
      </c>
      <c r="K112" s="23">
        <v>0.2576</v>
      </c>
      <c r="L112" s="23">
        <v>0.93</v>
      </c>
      <c r="M112" s="23">
        <v>8.9599999999999999E-2</v>
      </c>
      <c r="N112" s="23">
        <v>4</v>
      </c>
      <c r="O112" s="23">
        <v>119</v>
      </c>
      <c r="P112" s="23">
        <v>123</v>
      </c>
    </row>
    <row r="113" spans="1:16" ht="15.75" customHeight="1" x14ac:dyDescent="0.3">
      <c r="A113" s="23">
        <v>722</v>
      </c>
      <c r="B113" s="24">
        <v>40576</v>
      </c>
      <c r="C113" s="23">
        <v>1</v>
      </c>
      <c r="D113" s="23">
        <v>0</v>
      </c>
      <c r="E113" s="23">
        <v>2</v>
      </c>
      <c r="F113" s="23">
        <v>10</v>
      </c>
      <c r="G113" s="23" t="b">
        <v>0</v>
      </c>
      <c r="H113" s="23">
        <v>3</v>
      </c>
      <c r="I113" s="23">
        <v>2</v>
      </c>
      <c r="J113" s="23">
        <v>0.22</v>
      </c>
      <c r="K113" s="23">
        <v>0.2727</v>
      </c>
      <c r="L113" s="23">
        <v>1</v>
      </c>
      <c r="M113" s="23">
        <v>0</v>
      </c>
      <c r="N113" s="23">
        <v>2</v>
      </c>
      <c r="O113" s="23">
        <v>59</v>
      </c>
      <c r="P113" s="23">
        <v>61</v>
      </c>
    </row>
    <row r="114" spans="1:16" ht="15.75" customHeight="1" x14ac:dyDescent="0.3">
      <c r="A114" s="23">
        <v>723</v>
      </c>
      <c r="B114" s="24">
        <v>40576</v>
      </c>
      <c r="C114" s="23">
        <v>1</v>
      </c>
      <c r="D114" s="23">
        <v>0</v>
      </c>
      <c r="E114" s="23">
        <v>2</v>
      </c>
      <c r="F114" s="23">
        <v>11</v>
      </c>
      <c r="G114" s="23" t="b">
        <v>0</v>
      </c>
      <c r="H114" s="23">
        <v>3</v>
      </c>
      <c r="I114" s="23">
        <v>2</v>
      </c>
      <c r="J114" s="23">
        <v>0.24</v>
      </c>
      <c r="K114" s="23">
        <v>0.2273</v>
      </c>
      <c r="L114" s="23">
        <v>0.93</v>
      </c>
      <c r="M114" s="23">
        <v>0.19400000000000001</v>
      </c>
      <c r="N114" s="23">
        <v>5</v>
      </c>
      <c r="O114" s="23">
        <v>47</v>
      </c>
      <c r="P114" s="23">
        <v>52</v>
      </c>
    </row>
    <row r="115" spans="1:16" ht="15.75" customHeight="1" x14ac:dyDescent="0.3">
      <c r="A115" s="23">
        <v>724</v>
      </c>
      <c r="B115" s="24">
        <v>40576</v>
      </c>
      <c r="C115" s="23">
        <v>1</v>
      </c>
      <c r="D115" s="23">
        <v>0</v>
      </c>
      <c r="E115" s="23">
        <v>2</v>
      </c>
      <c r="F115" s="23">
        <v>12</v>
      </c>
      <c r="G115" s="23" t="b">
        <v>0</v>
      </c>
      <c r="H115" s="23">
        <v>3</v>
      </c>
      <c r="I115" s="23">
        <v>2</v>
      </c>
      <c r="J115" s="23">
        <v>0.24</v>
      </c>
      <c r="K115" s="23">
        <v>0.2273</v>
      </c>
      <c r="L115" s="23">
        <v>0.93</v>
      </c>
      <c r="M115" s="23">
        <v>0.22389999999999999</v>
      </c>
      <c r="N115" s="23">
        <v>3</v>
      </c>
      <c r="O115" s="23">
        <v>61</v>
      </c>
      <c r="P115" s="23">
        <v>64</v>
      </c>
    </row>
    <row r="116" spans="1:16" ht="15.75" customHeight="1" x14ac:dyDescent="0.3">
      <c r="A116" s="23">
        <v>725</v>
      </c>
      <c r="B116" s="24">
        <v>40576</v>
      </c>
      <c r="C116" s="23">
        <v>1</v>
      </c>
      <c r="D116" s="23">
        <v>0</v>
      </c>
      <c r="E116" s="23">
        <v>2</v>
      </c>
      <c r="F116" s="23">
        <v>13</v>
      </c>
      <c r="G116" s="23" t="b">
        <v>0</v>
      </c>
      <c r="H116" s="23">
        <v>3</v>
      </c>
      <c r="I116" s="23">
        <v>1</v>
      </c>
      <c r="J116" s="23">
        <v>0.34</v>
      </c>
      <c r="K116" s="23">
        <v>0.33329999999999999</v>
      </c>
      <c r="L116" s="23">
        <v>0.93</v>
      </c>
      <c r="M116" s="23">
        <v>0.16420000000000001</v>
      </c>
      <c r="N116" s="23">
        <v>1</v>
      </c>
      <c r="O116" s="23">
        <v>74</v>
      </c>
      <c r="P116" s="23">
        <v>75</v>
      </c>
    </row>
    <row r="117" spans="1:16" ht="15.75" customHeight="1" x14ac:dyDescent="0.3">
      <c r="A117" s="23">
        <v>726</v>
      </c>
      <c r="B117" s="24">
        <v>40576</v>
      </c>
      <c r="C117" s="23">
        <v>1</v>
      </c>
      <c r="D117" s="23">
        <v>0</v>
      </c>
      <c r="E117" s="23">
        <v>2</v>
      </c>
      <c r="F117" s="23">
        <v>14</v>
      </c>
      <c r="G117" s="23" t="b">
        <v>0</v>
      </c>
      <c r="H117" s="23">
        <v>3</v>
      </c>
      <c r="I117" s="23">
        <v>1</v>
      </c>
      <c r="J117" s="23">
        <v>0.38</v>
      </c>
      <c r="K117" s="23">
        <v>0.39389999999999997</v>
      </c>
      <c r="L117" s="23">
        <v>0.82</v>
      </c>
      <c r="M117" s="23">
        <v>0.3881</v>
      </c>
      <c r="N117" s="23">
        <v>2</v>
      </c>
      <c r="O117" s="23">
        <v>61</v>
      </c>
      <c r="P117" s="23">
        <v>63</v>
      </c>
    </row>
    <row r="118" spans="1:16" ht="15.75" customHeight="1" x14ac:dyDescent="0.3">
      <c r="A118" s="23">
        <v>727</v>
      </c>
      <c r="B118" s="24">
        <v>40576</v>
      </c>
      <c r="C118" s="23">
        <v>1</v>
      </c>
      <c r="D118" s="23">
        <v>0</v>
      </c>
      <c r="E118" s="23">
        <v>2</v>
      </c>
      <c r="F118" s="23">
        <v>15</v>
      </c>
      <c r="G118" s="23" t="b">
        <v>0</v>
      </c>
      <c r="H118" s="23">
        <v>3</v>
      </c>
      <c r="I118" s="23">
        <v>1</v>
      </c>
      <c r="J118" s="23">
        <v>0.38</v>
      </c>
      <c r="K118" s="23">
        <v>0.39389999999999997</v>
      </c>
      <c r="L118" s="23">
        <v>0.76</v>
      </c>
      <c r="M118" s="23">
        <v>0.32840000000000003</v>
      </c>
      <c r="N118" s="23">
        <v>10</v>
      </c>
      <c r="O118" s="23">
        <v>66</v>
      </c>
      <c r="P118" s="23">
        <v>76</v>
      </c>
    </row>
    <row r="119" spans="1:16" ht="15.75" customHeight="1" x14ac:dyDescent="0.3">
      <c r="A119" s="23">
        <v>728</v>
      </c>
      <c r="B119" s="24">
        <v>40576</v>
      </c>
      <c r="C119" s="23">
        <v>1</v>
      </c>
      <c r="D119" s="23">
        <v>0</v>
      </c>
      <c r="E119" s="23">
        <v>2</v>
      </c>
      <c r="F119" s="23">
        <v>16</v>
      </c>
      <c r="G119" s="23" t="b">
        <v>0</v>
      </c>
      <c r="H119" s="23">
        <v>3</v>
      </c>
      <c r="I119" s="23">
        <v>1</v>
      </c>
      <c r="J119" s="23">
        <v>0.36</v>
      </c>
      <c r="K119" s="23">
        <v>0.33329999999999999</v>
      </c>
      <c r="L119" s="23">
        <v>0.71</v>
      </c>
      <c r="M119" s="23">
        <v>0.29849999999999999</v>
      </c>
      <c r="N119" s="23">
        <v>8</v>
      </c>
      <c r="O119" s="23">
        <v>95</v>
      </c>
      <c r="P119" s="23">
        <v>103</v>
      </c>
    </row>
    <row r="120" spans="1:16" ht="15.75" customHeight="1" x14ac:dyDescent="0.3">
      <c r="A120" s="23">
        <v>729</v>
      </c>
      <c r="B120" s="24">
        <v>40576</v>
      </c>
      <c r="C120" s="23">
        <v>1</v>
      </c>
      <c r="D120" s="23">
        <v>0</v>
      </c>
      <c r="E120" s="23">
        <v>2</v>
      </c>
      <c r="F120" s="23">
        <v>17</v>
      </c>
      <c r="G120" s="23" t="b">
        <v>0</v>
      </c>
      <c r="H120" s="23">
        <v>3</v>
      </c>
      <c r="I120" s="23">
        <v>1</v>
      </c>
      <c r="J120" s="23">
        <v>0.36</v>
      </c>
      <c r="K120" s="23">
        <v>0.31819999999999998</v>
      </c>
      <c r="L120" s="23">
        <v>0.53</v>
      </c>
      <c r="M120" s="23">
        <v>0.52239999999999998</v>
      </c>
      <c r="N120" s="23">
        <v>7</v>
      </c>
      <c r="O120" s="23">
        <v>183</v>
      </c>
      <c r="P120" s="23">
        <v>190</v>
      </c>
    </row>
    <row r="121" spans="1:16" ht="15.75" customHeight="1" x14ac:dyDescent="0.3">
      <c r="A121" s="23">
        <v>730</v>
      </c>
      <c r="B121" s="24">
        <v>40576</v>
      </c>
      <c r="C121" s="23">
        <v>1</v>
      </c>
      <c r="D121" s="23">
        <v>0</v>
      </c>
      <c r="E121" s="23">
        <v>2</v>
      </c>
      <c r="F121" s="23">
        <v>18</v>
      </c>
      <c r="G121" s="23" t="b">
        <v>0</v>
      </c>
      <c r="H121" s="23">
        <v>3</v>
      </c>
      <c r="I121" s="23">
        <v>1</v>
      </c>
      <c r="J121" s="23">
        <v>0.34</v>
      </c>
      <c r="K121" s="23">
        <v>0.28789999999999999</v>
      </c>
      <c r="L121" s="23">
        <v>0.42</v>
      </c>
      <c r="M121" s="23">
        <v>0.55220000000000002</v>
      </c>
      <c r="N121" s="23">
        <v>7</v>
      </c>
      <c r="O121" s="23">
        <v>175</v>
      </c>
      <c r="P121" s="23">
        <v>182</v>
      </c>
    </row>
    <row r="122" spans="1:16" ht="15.75" customHeight="1" x14ac:dyDescent="0.3">
      <c r="A122" s="23">
        <v>731</v>
      </c>
      <c r="B122" s="24">
        <v>40576</v>
      </c>
      <c r="C122" s="23">
        <v>1</v>
      </c>
      <c r="D122" s="23">
        <v>0</v>
      </c>
      <c r="E122" s="23">
        <v>2</v>
      </c>
      <c r="F122" s="23">
        <v>19</v>
      </c>
      <c r="G122" s="23" t="b">
        <v>0</v>
      </c>
      <c r="H122" s="23">
        <v>3</v>
      </c>
      <c r="I122" s="23">
        <v>1</v>
      </c>
      <c r="J122" s="23">
        <v>0.28000000000000003</v>
      </c>
      <c r="K122" s="23">
        <v>0.2424</v>
      </c>
      <c r="L122" s="23">
        <v>0.45</v>
      </c>
      <c r="M122" s="23">
        <v>0.49249999999999999</v>
      </c>
      <c r="N122" s="23">
        <v>3</v>
      </c>
      <c r="O122" s="23">
        <v>88</v>
      </c>
      <c r="P122" s="23">
        <v>91</v>
      </c>
    </row>
    <row r="123" spans="1:16" ht="15.75" customHeight="1" x14ac:dyDescent="0.3">
      <c r="A123" s="23">
        <v>732</v>
      </c>
      <c r="B123" s="24">
        <v>40576</v>
      </c>
      <c r="C123" s="23">
        <v>1</v>
      </c>
      <c r="D123" s="23">
        <v>0</v>
      </c>
      <c r="E123" s="23">
        <v>2</v>
      </c>
      <c r="F123" s="23">
        <v>20</v>
      </c>
      <c r="G123" s="23" t="b">
        <v>0</v>
      </c>
      <c r="H123" s="23">
        <v>3</v>
      </c>
      <c r="I123" s="23">
        <v>1</v>
      </c>
      <c r="J123" s="23">
        <v>0.24</v>
      </c>
      <c r="K123" s="23">
        <v>0.19700000000000001</v>
      </c>
      <c r="L123" s="23">
        <v>0.48</v>
      </c>
      <c r="M123" s="23">
        <v>0.55220000000000002</v>
      </c>
      <c r="N123" s="23">
        <v>4</v>
      </c>
      <c r="O123" s="23">
        <v>71</v>
      </c>
      <c r="P123" s="23">
        <v>75</v>
      </c>
    </row>
    <row r="124" spans="1:16" ht="15.75" customHeight="1" x14ac:dyDescent="0.3">
      <c r="A124" s="23">
        <v>733</v>
      </c>
      <c r="B124" s="24">
        <v>40576</v>
      </c>
      <c r="C124" s="23">
        <v>1</v>
      </c>
      <c r="D124" s="23">
        <v>0</v>
      </c>
      <c r="E124" s="23">
        <v>2</v>
      </c>
      <c r="F124" s="23">
        <v>21</v>
      </c>
      <c r="G124" s="23" t="b">
        <v>0</v>
      </c>
      <c r="H124" s="23">
        <v>3</v>
      </c>
      <c r="I124" s="23">
        <v>1</v>
      </c>
      <c r="J124" s="23">
        <v>0.22</v>
      </c>
      <c r="K124" s="23">
        <v>0.19700000000000001</v>
      </c>
      <c r="L124" s="23">
        <v>0.47</v>
      </c>
      <c r="M124" s="23">
        <v>0.32840000000000003</v>
      </c>
      <c r="N124" s="23">
        <v>1</v>
      </c>
      <c r="O124" s="23">
        <v>62</v>
      </c>
      <c r="P124" s="23">
        <v>63</v>
      </c>
    </row>
    <row r="125" spans="1:16" ht="15.75" customHeight="1" x14ac:dyDescent="0.3">
      <c r="A125" s="23">
        <v>734</v>
      </c>
      <c r="B125" s="24">
        <v>40576</v>
      </c>
      <c r="C125" s="23">
        <v>1</v>
      </c>
      <c r="D125" s="23">
        <v>0</v>
      </c>
      <c r="E125" s="23">
        <v>2</v>
      </c>
      <c r="F125" s="23">
        <v>22</v>
      </c>
      <c r="G125" s="23" t="b">
        <v>0</v>
      </c>
      <c r="H125" s="23">
        <v>3</v>
      </c>
      <c r="I125" s="23">
        <v>1</v>
      </c>
      <c r="J125" s="23">
        <v>0.22</v>
      </c>
      <c r="K125" s="23">
        <v>0.21210000000000001</v>
      </c>
      <c r="L125" s="23">
        <v>0.44</v>
      </c>
      <c r="M125" s="23">
        <v>0.25369999999999998</v>
      </c>
      <c r="N125" s="23">
        <v>5</v>
      </c>
      <c r="O125" s="23">
        <v>35</v>
      </c>
      <c r="P125" s="23">
        <v>40</v>
      </c>
    </row>
    <row r="126" spans="1:16" ht="15.75" customHeight="1" x14ac:dyDescent="0.3">
      <c r="A126" s="23">
        <v>735</v>
      </c>
      <c r="B126" s="24">
        <v>40576</v>
      </c>
      <c r="C126" s="23">
        <v>1</v>
      </c>
      <c r="D126" s="23">
        <v>0</v>
      </c>
      <c r="E126" s="23">
        <v>2</v>
      </c>
      <c r="F126" s="23">
        <v>23</v>
      </c>
      <c r="G126" s="23" t="b">
        <v>0</v>
      </c>
      <c r="H126" s="23">
        <v>3</v>
      </c>
      <c r="I126" s="23">
        <v>1</v>
      </c>
      <c r="J126" s="23">
        <v>0.2</v>
      </c>
      <c r="K126" s="23">
        <v>0.16669999999999999</v>
      </c>
      <c r="L126" s="23">
        <v>0.44</v>
      </c>
      <c r="M126" s="23">
        <v>0.44779999999999998</v>
      </c>
      <c r="N126" s="23">
        <v>3</v>
      </c>
      <c r="O126" s="23">
        <v>29</v>
      </c>
      <c r="P126" s="23">
        <v>32</v>
      </c>
    </row>
    <row r="127" spans="1:16" ht="15.75" customHeight="1" x14ac:dyDescent="0.3">
      <c r="A127" s="23">
        <v>736</v>
      </c>
      <c r="B127" s="24">
        <v>40577</v>
      </c>
      <c r="C127" s="23">
        <v>1</v>
      </c>
      <c r="D127" s="23">
        <v>0</v>
      </c>
      <c r="E127" s="23">
        <v>2</v>
      </c>
      <c r="F127" s="23">
        <v>0</v>
      </c>
      <c r="G127" s="23" t="b">
        <v>0</v>
      </c>
      <c r="H127" s="23">
        <v>4</v>
      </c>
      <c r="I127" s="23">
        <v>1</v>
      </c>
      <c r="J127" s="23">
        <v>0.2</v>
      </c>
      <c r="K127" s="23">
        <v>0.16669999999999999</v>
      </c>
      <c r="L127" s="23">
        <v>0.4</v>
      </c>
      <c r="M127" s="23">
        <v>0.44779999999999998</v>
      </c>
      <c r="N127" s="23">
        <v>1</v>
      </c>
      <c r="O127" s="23">
        <v>11</v>
      </c>
      <c r="P127" s="23">
        <v>12</v>
      </c>
    </row>
    <row r="128" spans="1:16" ht="15.75" customHeight="1" x14ac:dyDescent="0.3">
      <c r="A128" s="23">
        <v>737</v>
      </c>
      <c r="B128" s="24">
        <v>40577</v>
      </c>
      <c r="C128" s="23">
        <v>1</v>
      </c>
      <c r="D128" s="23">
        <v>0</v>
      </c>
      <c r="E128" s="23">
        <v>2</v>
      </c>
      <c r="F128" s="23">
        <v>1</v>
      </c>
      <c r="G128" s="23" t="b">
        <v>0</v>
      </c>
      <c r="H128" s="23">
        <v>4</v>
      </c>
      <c r="I128" s="23">
        <v>1</v>
      </c>
      <c r="J128" s="23">
        <v>0.2</v>
      </c>
      <c r="K128" s="23">
        <v>0.1515</v>
      </c>
      <c r="L128" s="23">
        <v>0.44</v>
      </c>
      <c r="M128" s="23">
        <v>0.52239999999999998</v>
      </c>
      <c r="N128" s="23">
        <v>0</v>
      </c>
      <c r="O128" s="23">
        <v>5</v>
      </c>
      <c r="P128" s="23">
        <v>5</v>
      </c>
    </row>
    <row r="129" spans="1:16" ht="15.75" customHeight="1" x14ac:dyDescent="0.3">
      <c r="A129" s="23">
        <v>738</v>
      </c>
      <c r="B129" s="24">
        <v>40577</v>
      </c>
      <c r="C129" s="23">
        <v>1</v>
      </c>
      <c r="D129" s="23">
        <v>0</v>
      </c>
      <c r="E129" s="23">
        <v>2</v>
      </c>
      <c r="F129" s="23">
        <v>2</v>
      </c>
      <c r="G129" s="23" t="b">
        <v>0</v>
      </c>
      <c r="H129" s="23">
        <v>4</v>
      </c>
      <c r="I129" s="23">
        <v>1</v>
      </c>
      <c r="J129" s="23">
        <v>0.18</v>
      </c>
      <c r="K129" s="23">
        <v>0.16669999999999999</v>
      </c>
      <c r="L129" s="23">
        <v>0.43</v>
      </c>
      <c r="M129" s="23">
        <v>0.25369999999999998</v>
      </c>
      <c r="N129" s="23">
        <v>0</v>
      </c>
      <c r="O129" s="23">
        <v>2</v>
      </c>
      <c r="P129" s="23">
        <v>2</v>
      </c>
    </row>
    <row r="130" spans="1:16" ht="15.75" customHeight="1" x14ac:dyDescent="0.3">
      <c r="A130" s="23">
        <v>739</v>
      </c>
      <c r="B130" s="24">
        <v>40577</v>
      </c>
      <c r="C130" s="23">
        <v>1</v>
      </c>
      <c r="D130" s="23">
        <v>0</v>
      </c>
      <c r="E130" s="23">
        <v>2</v>
      </c>
      <c r="F130" s="23">
        <v>3</v>
      </c>
      <c r="G130" s="23" t="b">
        <v>0</v>
      </c>
      <c r="H130" s="23">
        <v>4</v>
      </c>
      <c r="I130" s="23">
        <v>1</v>
      </c>
      <c r="J130" s="23">
        <v>0.18</v>
      </c>
      <c r="K130" s="23">
        <v>0.16669999999999999</v>
      </c>
      <c r="L130" s="23">
        <v>0.43</v>
      </c>
      <c r="M130" s="23">
        <v>0.25369999999999998</v>
      </c>
      <c r="N130" s="23">
        <v>0</v>
      </c>
      <c r="O130" s="23">
        <v>1</v>
      </c>
      <c r="P130" s="23">
        <v>1</v>
      </c>
    </row>
    <row r="131" spans="1:16" ht="15.75" customHeight="1" x14ac:dyDescent="0.3">
      <c r="A131" s="23">
        <v>740</v>
      </c>
      <c r="B131" s="24">
        <v>40577</v>
      </c>
      <c r="C131" s="23">
        <v>1</v>
      </c>
      <c r="D131" s="23">
        <v>0</v>
      </c>
      <c r="E131" s="23">
        <v>2</v>
      </c>
      <c r="F131" s="23">
        <v>5</v>
      </c>
      <c r="G131" s="23" t="b">
        <v>0</v>
      </c>
      <c r="H131" s="23">
        <v>4</v>
      </c>
      <c r="I131" s="23">
        <v>1</v>
      </c>
      <c r="J131" s="23">
        <v>0.16</v>
      </c>
      <c r="K131" s="23">
        <v>0.13639999999999999</v>
      </c>
      <c r="L131" s="23">
        <v>0.5</v>
      </c>
      <c r="M131" s="23">
        <v>0.29849999999999999</v>
      </c>
      <c r="N131" s="23">
        <v>0</v>
      </c>
      <c r="O131" s="23">
        <v>2</v>
      </c>
      <c r="P131" s="23">
        <v>2</v>
      </c>
    </row>
    <row r="132" spans="1:16" ht="15.75" customHeight="1" x14ac:dyDescent="0.3">
      <c r="A132" s="23">
        <v>741</v>
      </c>
      <c r="B132" s="24">
        <v>40577</v>
      </c>
      <c r="C132" s="23">
        <v>1</v>
      </c>
      <c r="D132" s="23">
        <v>0</v>
      </c>
      <c r="E132" s="23">
        <v>2</v>
      </c>
      <c r="F132" s="23">
        <v>6</v>
      </c>
      <c r="G132" s="23" t="b">
        <v>0</v>
      </c>
      <c r="H132" s="23">
        <v>4</v>
      </c>
      <c r="I132" s="23">
        <v>1</v>
      </c>
      <c r="J132" s="23">
        <v>0.16</v>
      </c>
      <c r="K132" s="23">
        <v>0.13639999999999999</v>
      </c>
      <c r="L132" s="23">
        <v>0.43</v>
      </c>
      <c r="M132" s="23">
        <v>0.35820000000000002</v>
      </c>
      <c r="N132" s="23">
        <v>0</v>
      </c>
      <c r="O132" s="23">
        <v>39</v>
      </c>
      <c r="P132" s="23">
        <v>39</v>
      </c>
    </row>
    <row r="133" spans="1:16" ht="15.75" customHeight="1" x14ac:dyDescent="0.3">
      <c r="A133" s="23">
        <v>742</v>
      </c>
      <c r="B133" s="24">
        <v>40577</v>
      </c>
      <c r="C133" s="23">
        <v>1</v>
      </c>
      <c r="D133" s="23">
        <v>0</v>
      </c>
      <c r="E133" s="23">
        <v>2</v>
      </c>
      <c r="F133" s="23">
        <v>7</v>
      </c>
      <c r="G133" s="23" t="b">
        <v>0</v>
      </c>
      <c r="H133" s="23">
        <v>4</v>
      </c>
      <c r="I133" s="23">
        <v>1</v>
      </c>
      <c r="J133" s="23">
        <v>0.14000000000000001</v>
      </c>
      <c r="K133" s="23">
        <v>0.1212</v>
      </c>
      <c r="L133" s="23">
        <v>0.5</v>
      </c>
      <c r="M133" s="23">
        <v>0.32840000000000003</v>
      </c>
      <c r="N133" s="23">
        <v>1</v>
      </c>
      <c r="O133" s="23">
        <v>86</v>
      </c>
      <c r="P133" s="23">
        <v>87</v>
      </c>
    </row>
    <row r="134" spans="1:16" ht="15.75" customHeight="1" x14ac:dyDescent="0.3">
      <c r="A134" s="23">
        <v>743</v>
      </c>
      <c r="B134" s="24">
        <v>40577</v>
      </c>
      <c r="C134" s="23">
        <v>1</v>
      </c>
      <c r="D134" s="23">
        <v>0</v>
      </c>
      <c r="E134" s="23">
        <v>2</v>
      </c>
      <c r="F134" s="23">
        <v>8</v>
      </c>
      <c r="G134" s="23" t="b">
        <v>0</v>
      </c>
      <c r="H134" s="23">
        <v>4</v>
      </c>
      <c r="I134" s="23">
        <v>1</v>
      </c>
      <c r="J134" s="23">
        <v>0.14000000000000001</v>
      </c>
      <c r="K134" s="23">
        <v>0.1212</v>
      </c>
      <c r="L134" s="23">
        <v>0.5</v>
      </c>
      <c r="M134" s="23">
        <v>0.35820000000000002</v>
      </c>
      <c r="N134" s="23">
        <v>4</v>
      </c>
      <c r="O134" s="23">
        <v>184</v>
      </c>
      <c r="P134" s="23">
        <v>188</v>
      </c>
    </row>
    <row r="135" spans="1:16" ht="15.75" customHeight="1" x14ac:dyDescent="0.3">
      <c r="A135" s="23">
        <v>744</v>
      </c>
      <c r="B135" s="24">
        <v>40577</v>
      </c>
      <c r="C135" s="23">
        <v>1</v>
      </c>
      <c r="D135" s="23">
        <v>0</v>
      </c>
      <c r="E135" s="23">
        <v>2</v>
      </c>
      <c r="F135" s="23">
        <v>9</v>
      </c>
      <c r="G135" s="23" t="b">
        <v>0</v>
      </c>
      <c r="H135" s="23">
        <v>4</v>
      </c>
      <c r="I135" s="23">
        <v>1</v>
      </c>
      <c r="J135" s="23">
        <v>0.16</v>
      </c>
      <c r="K135" s="23">
        <v>0.13639999999999999</v>
      </c>
      <c r="L135" s="23">
        <v>0.47</v>
      </c>
      <c r="M135" s="23">
        <v>0.29849999999999999</v>
      </c>
      <c r="N135" s="23">
        <v>6</v>
      </c>
      <c r="O135" s="23">
        <v>127</v>
      </c>
      <c r="P135" s="23">
        <v>133</v>
      </c>
    </row>
    <row r="136" spans="1:16" ht="15.75" customHeight="1" x14ac:dyDescent="0.3">
      <c r="A136" s="23">
        <v>745</v>
      </c>
      <c r="B136" s="24">
        <v>40577</v>
      </c>
      <c r="C136" s="23">
        <v>1</v>
      </c>
      <c r="D136" s="23">
        <v>0</v>
      </c>
      <c r="E136" s="23">
        <v>2</v>
      </c>
      <c r="F136" s="23">
        <v>10</v>
      </c>
      <c r="G136" s="23" t="b">
        <v>0</v>
      </c>
      <c r="H136" s="23">
        <v>4</v>
      </c>
      <c r="I136" s="23">
        <v>1</v>
      </c>
      <c r="J136" s="23">
        <v>0.18</v>
      </c>
      <c r="K136" s="23">
        <v>0.1515</v>
      </c>
      <c r="L136" s="23">
        <v>0.43</v>
      </c>
      <c r="M136" s="23">
        <v>0.32840000000000003</v>
      </c>
      <c r="N136" s="23">
        <v>2</v>
      </c>
      <c r="O136" s="23">
        <v>50</v>
      </c>
      <c r="P136" s="23">
        <v>52</v>
      </c>
    </row>
    <row r="137" spans="1:16" ht="15.75" customHeight="1" x14ac:dyDescent="0.3">
      <c r="A137" s="23">
        <v>746</v>
      </c>
      <c r="B137" s="24">
        <v>40577</v>
      </c>
      <c r="C137" s="23">
        <v>1</v>
      </c>
      <c r="D137" s="23">
        <v>0</v>
      </c>
      <c r="E137" s="23">
        <v>2</v>
      </c>
      <c r="F137" s="23">
        <v>11</v>
      </c>
      <c r="G137" s="23" t="b">
        <v>0</v>
      </c>
      <c r="H137" s="23">
        <v>4</v>
      </c>
      <c r="I137" s="23">
        <v>1</v>
      </c>
      <c r="J137" s="23">
        <v>0.18</v>
      </c>
      <c r="K137" s="23">
        <v>0.13639999999999999</v>
      </c>
      <c r="L137" s="23">
        <v>0.43</v>
      </c>
      <c r="M137" s="23">
        <v>0.44779999999999998</v>
      </c>
      <c r="N137" s="23">
        <v>9</v>
      </c>
      <c r="O137" s="23">
        <v>55</v>
      </c>
      <c r="P137" s="23">
        <v>64</v>
      </c>
    </row>
    <row r="138" spans="1:16" ht="15.75" customHeight="1" x14ac:dyDescent="0.3">
      <c r="A138" s="23">
        <v>747</v>
      </c>
      <c r="B138" s="24">
        <v>40577</v>
      </c>
      <c r="C138" s="23">
        <v>1</v>
      </c>
      <c r="D138" s="23">
        <v>0</v>
      </c>
      <c r="E138" s="23">
        <v>2</v>
      </c>
      <c r="F138" s="23">
        <v>12</v>
      </c>
      <c r="G138" s="23" t="b">
        <v>0</v>
      </c>
      <c r="H138" s="23">
        <v>4</v>
      </c>
      <c r="I138" s="23">
        <v>1</v>
      </c>
      <c r="J138" s="23">
        <v>0.2</v>
      </c>
      <c r="K138" s="23">
        <v>0.18179999999999999</v>
      </c>
      <c r="L138" s="23">
        <v>0.4</v>
      </c>
      <c r="M138" s="23">
        <v>0.35820000000000002</v>
      </c>
      <c r="N138" s="23">
        <v>2</v>
      </c>
      <c r="O138" s="23">
        <v>67</v>
      </c>
      <c r="P138" s="23">
        <v>69</v>
      </c>
    </row>
    <row r="139" spans="1:16" ht="15.75" customHeight="1" x14ac:dyDescent="0.3">
      <c r="A139" s="23">
        <v>748</v>
      </c>
      <c r="B139" s="24">
        <v>40577</v>
      </c>
      <c r="C139" s="23">
        <v>1</v>
      </c>
      <c r="D139" s="23">
        <v>0</v>
      </c>
      <c r="E139" s="23">
        <v>2</v>
      </c>
      <c r="F139" s="23">
        <v>13</v>
      </c>
      <c r="G139" s="23" t="b">
        <v>0</v>
      </c>
      <c r="H139" s="23">
        <v>4</v>
      </c>
      <c r="I139" s="23">
        <v>1</v>
      </c>
      <c r="J139" s="23">
        <v>0.2</v>
      </c>
      <c r="K139" s="23">
        <v>0.16669999999999999</v>
      </c>
      <c r="L139" s="23">
        <v>0.4</v>
      </c>
      <c r="M139" s="23">
        <v>0.41789999999999999</v>
      </c>
      <c r="N139" s="23">
        <v>4</v>
      </c>
      <c r="O139" s="23">
        <v>47</v>
      </c>
      <c r="P139" s="23">
        <v>51</v>
      </c>
    </row>
    <row r="140" spans="1:16" ht="15.75" customHeight="1" x14ac:dyDescent="0.3">
      <c r="A140" s="23">
        <v>749</v>
      </c>
      <c r="B140" s="24">
        <v>40577</v>
      </c>
      <c r="C140" s="23">
        <v>1</v>
      </c>
      <c r="D140" s="23">
        <v>0</v>
      </c>
      <c r="E140" s="23">
        <v>2</v>
      </c>
      <c r="F140" s="23">
        <v>14</v>
      </c>
      <c r="G140" s="23" t="b">
        <v>0</v>
      </c>
      <c r="H140" s="23">
        <v>4</v>
      </c>
      <c r="I140" s="23">
        <v>1</v>
      </c>
      <c r="J140" s="23">
        <v>0.22</v>
      </c>
      <c r="K140" s="23">
        <v>0.19700000000000001</v>
      </c>
      <c r="L140" s="23">
        <v>0.37</v>
      </c>
      <c r="M140" s="23">
        <v>0.3881</v>
      </c>
      <c r="N140" s="23">
        <v>4</v>
      </c>
      <c r="O140" s="23">
        <v>43</v>
      </c>
      <c r="P140" s="23">
        <v>47</v>
      </c>
    </row>
    <row r="141" spans="1:16" ht="15.75" customHeight="1" x14ac:dyDescent="0.3">
      <c r="A141" s="23">
        <v>750</v>
      </c>
      <c r="B141" s="24">
        <v>40577</v>
      </c>
      <c r="C141" s="23">
        <v>1</v>
      </c>
      <c r="D141" s="23">
        <v>0</v>
      </c>
      <c r="E141" s="23">
        <v>2</v>
      </c>
      <c r="F141" s="23">
        <v>15</v>
      </c>
      <c r="G141" s="23" t="b">
        <v>0</v>
      </c>
      <c r="H141" s="23">
        <v>4</v>
      </c>
      <c r="I141" s="23">
        <v>1</v>
      </c>
      <c r="J141" s="23">
        <v>0.22</v>
      </c>
      <c r="K141" s="23">
        <v>0.19700000000000001</v>
      </c>
      <c r="L141" s="23">
        <v>0.37</v>
      </c>
      <c r="M141" s="23">
        <v>0.32840000000000003</v>
      </c>
      <c r="N141" s="23">
        <v>4</v>
      </c>
      <c r="O141" s="23">
        <v>56</v>
      </c>
      <c r="P141" s="23">
        <v>60</v>
      </c>
    </row>
    <row r="142" spans="1:16" ht="15.75" customHeight="1" x14ac:dyDescent="0.3">
      <c r="A142" s="23">
        <v>751</v>
      </c>
      <c r="B142" s="24">
        <v>40577</v>
      </c>
      <c r="C142" s="23">
        <v>1</v>
      </c>
      <c r="D142" s="23">
        <v>0</v>
      </c>
      <c r="E142" s="23">
        <v>2</v>
      </c>
      <c r="F142" s="23">
        <v>16</v>
      </c>
      <c r="G142" s="23" t="b">
        <v>0</v>
      </c>
      <c r="H142" s="23">
        <v>4</v>
      </c>
      <c r="I142" s="23">
        <v>1</v>
      </c>
      <c r="J142" s="23">
        <v>0.22</v>
      </c>
      <c r="K142" s="23">
        <v>0.21210000000000001</v>
      </c>
      <c r="L142" s="23">
        <v>0.37</v>
      </c>
      <c r="M142" s="23">
        <v>0.25369999999999998</v>
      </c>
      <c r="N142" s="23">
        <v>5</v>
      </c>
      <c r="O142" s="23">
        <v>73</v>
      </c>
      <c r="P142" s="23">
        <v>78</v>
      </c>
    </row>
    <row r="143" spans="1:16" ht="15.75" customHeight="1" x14ac:dyDescent="0.3">
      <c r="A143" s="23">
        <v>752</v>
      </c>
      <c r="B143" s="24">
        <v>40577</v>
      </c>
      <c r="C143" s="23">
        <v>1</v>
      </c>
      <c r="D143" s="23">
        <v>0</v>
      </c>
      <c r="E143" s="23">
        <v>2</v>
      </c>
      <c r="F143" s="23">
        <v>17</v>
      </c>
      <c r="G143" s="23" t="b">
        <v>0</v>
      </c>
      <c r="H143" s="23">
        <v>4</v>
      </c>
      <c r="I143" s="23">
        <v>1</v>
      </c>
      <c r="J143" s="23">
        <v>0.2</v>
      </c>
      <c r="K143" s="23">
        <v>0.19700000000000001</v>
      </c>
      <c r="L143" s="23">
        <v>0.4</v>
      </c>
      <c r="M143" s="23">
        <v>0.19400000000000001</v>
      </c>
      <c r="N143" s="23">
        <v>5</v>
      </c>
      <c r="O143" s="23">
        <v>170</v>
      </c>
      <c r="P143" s="23">
        <v>175</v>
      </c>
    </row>
    <row r="144" spans="1:16" ht="15.75" customHeight="1" x14ac:dyDescent="0.3">
      <c r="A144" s="23">
        <v>753</v>
      </c>
      <c r="B144" s="24">
        <v>40577</v>
      </c>
      <c r="C144" s="23">
        <v>1</v>
      </c>
      <c r="D144" s="23">
        <v>0</v>
      </c>
      <c r="E144" s="23">
        <v>2</v>
      </c>
      <c r="F144" s="23">
        <v>18</v>
      </c>
      <c r="G144" s="23" t="b">
        <v>0</v>
      </c>
      <c r="H144" s="23">
        <v>4</v>
      </c>
      <c r="I144" s="23">
        <v>1</v>
      </c>
      <c r="J144" s="23">
        <v>0.2</v>
      </c>
      <c r="K144" s="23">
        <v>0.21210000000000001</v>
      </c>
      <c r="L144" s="23">
        <v>0.4</v>
      </c>
      <c r="M144" s="23">
        <v>0.16420000000000001</v>
      </c>
      <c r="N144" s="23">
        <v>2</v>
      </c>
      <c r="O144" s="23">
        <v>145</v>
      </c>
      <c r="P144" s="23">
        <v>147</v>
      </c>
    </row>
    <row r="145" spans="1:16" ht="15.75" customHeight="1" x14ac:dyDescent="0.3">
      <c r="A145" s="23">
        <v>754</v>
      </c>
      <c r="B145" s="24">
        <v>40577</v>
      </c>
      <c r="C145" s="23">
        <v>1</v>
      </c>
      <c r="D145" s="23">
        <v>0</v>
      </c>
      <c r="E145" s="23">
        <v>2</v>
      </c>
      <c r="F145" s="23">
        <v>19</v>
      </c>
      <c r="G145" s="23" t="b">
        <v>0</v>
      </c>
      <c r="H145" s="23">
        <v>4</v>
      </c>
      <c r="I145" s="23">
        <v>1</v>
      </c>
      <c r="J145" s="23">
        <v>0.2</v>
      </c>
      <c r="K145" s="23">
        <v>0.2576</v>
      </c>
      <c r="L145" s="23">
        <v>0.4</v>
      </c>
      <c r="M145" s="23">
        <v>0</v>
      </c>
      <c r="N145" s="23">
        <v>4</v>
      </c>
      <c r="O145" s="23">
        <v>92</v>
      </c>
      <c r="P145" s="23">
        <v>96</v>
      </c>
    </row>
    <row r="146" spans="1:16" ht="15.75" customHeight="1" x14ac:dyDescent="0.3">
      <c r="A146" s="23">
        <v>755</v>
      </c>
      <c r="B146" s="24">
        <v>40577</v>
      </c>
      <c r="C146" s="23">
        <v>1</v>
      </c>
      <c r="D146" s="23">
        <v>0</v>
      </c>
      <c r="E146" s="23">
        <v>2</v>
      </c>
      <c r="F146" s="23">
        <v>20</v>
      </c>
      <c r="G146" s="23" t="b">
        <v>0</v>
      </c>
      <c r="H146" s="23">
        <v>4</v>
      </c>
      <c r="I146" s="23">
        <v>1</v>
      </c>
      <c r="J146" s="23">
        <v>0.2</v>
      </c>
      <c r="K146" s="23">
        <v>0.2273</v>
      </c>
      <c r="L146" s="23">
        <v>0.47</v>
      </c>
      <c r="M146" s="23">
        <v>8.9599999999999999E-2</v>
      </c>
      <c r="N146" s="23">
        <v>1</v>
      </c>
      <c r="O146" s="23">
        <v>108</v>
      </c>
      <c r="P146" s="23">
        <v>109</v>
      </c>
    </row>
    <row r="147" spans="1:16" ht="15.75" customHeight="1" x14ac:dyDescent="0.3">
      <c r="A147" s="23">
        <v>756</v>
      </c>
      <c r="B147" s="24">
        <v>40577</v>
      </c>
      <c r="C147" s="23">
        <v>1</v>
      </c>
      <c r="D147" s="23">
        <v>0</v>
      </c>
      <c r="E147" s="23">
        <v>2</v>
      </c>
      <c r="F147" s="23">
        <v>21</v>
      </c>
      <c r="G147" s="23" t="b">
        <v>0</v>
      </c>
      <c r="H147" s="23">
        <v>4</v>
      </c>
      <c r="I147" s="23">
        <v>1</v>
      </c>
      <c r="J147" s="23">
        <v>0.18</v>
      </c>
      <c r="K147" s="23">
        <v>0.21210000000000001</v>
      </c>
      <c r="L147" s="23">
        <v>0.55000000000000004</v>
      </c>
      <c r="M147" s="23">
        <v>0.1045</v>
      </c>
      <c r="N147" s="23">
        <v>1</v>
      </c>
      <c r="O147" s="23">
        <v>53</v>
      </c>
      <c r="P147" s="23">
        <v>54</v>
      </c>
    </row>
    <row r="148" spans="1:16" ht="15.75" customHeight="1" x14ac:dyDescent="0.3">
      <c r="A148" s="23">
        <v>757</v>
      </c>
      <c r="B148" s="24">
        <v>40577</v>
      </c>
      <c r="C148" s="23">
        <v>1</v>
      </c>
      <c r="D148" s="23">
        <v>0</v>
      </c>
      <c r="E148" s="23">
        <v>2</v>
      </c>
      <c r="F148" s="23">
        <v>22</v>
      </c>
      <c r="G148" s="23" t="b">
        <v>0</v>
      </c>
      <c r="H148" s="23">
        <v>4</v>
      </c>
      <c r="I148" s="23">
        <v>1</v>
      </c>
      <c r="J148" s="23">
        <v>0.18</v>
      </c>
      <c r="K148" s="23">
        <v>0.21210000000000001</v>
      </c>
      <c r="L148" s="23">
        <v>0.51</v>
      </c>
      <c r="M148" s="23">
        <v>8.9599999999999999E-2</v>
      </c>
      <c r="N148" s="23">
        <v>2</v>
      </c>
      <c r="O148" s="23">
        <v>39</v>
      </c>
      <c r="P148" s="23">
        <v>41</v>
      </c>
    </row>
    <row r="149" spans="1:16" ht="15.75" customHeight="1" x14ac:dyDescent="0.3">
      <c r="A149" s="23">
        <v>758</v>
      </c>
      <c r="B149" s="24">
        <v>40577</v>
      </c>
      <c r="C149" s="23">
        <v>1</v>
      </c>
      <c r="D149" s="23">
        <v>0</v>
      </c>
      <c r="E149" s="23">
        <v>2</v>
      </c>
      <c r="F149" s="23">
        <v>23</v>
      </c>
      <c r="G149" s="23" t="b">
        <v>0</v>
      </c>
      <c r="H149" s="23">
        <v>4</v>
      </c>
      <c r="I149" s="23">
        <v>1</v>
      </c>
      <c r="J149" s="23">
        <v>0.2</v>
      </c>
      <c r="K149" s="23">
        <v>0.2273</v>
      </c>
      <c r="L149" s="23">
        <v>0.47</v>
      </c>
      <c r="M149" s="23">
        <v>0.1045</v>
      </c>
      <c r="N149" s="23">
        <v>4</v>
      </c>
      <c r="O149" s="23">
        <v>34</v>
      </c>
      <c r="P149" s="23">
        <v>38</v>
      </c>
    </row>
    <row r="150" spans="1:16" ht="15.75" customHeight="1" x14ac:dyDescent="0.3">
      <c r="A150" s="23">
        <v>759</v>
      </c>
      <c r="B150" s="24">
        <v>40578</v>
      </c>
      <c r="C150" s="23">
        <v>1</v>
      </c>
      <c r="D150" s="23">
        <v>0</v>
      </c>
      <c r="E150" s="23">
        <v>2</v>
      </c>
      <c r="F150" s="23">
        <v>0</v>
      </c>
      <c r="G150" s="23" t="b">
        <v>0</v>
      </c>
      <c r="H150" s="23">
        <v>5</v>
      </c>
      <c r="I150" s="23">
        <v>2</v>
      </c>
      <c r="J150" s="23">
        <v>0.2</v>
      </c>
      <c r="K150" s="23">
        <v>0.2576</v>
      </c>
      <c r="L150" s="23">
        <v>0.44</v>
      </c>
      <c r="M150" s="23">
        <v>0</v>
      </c>
      <c r="N150" s="23">
        <v>3</v>
      </c>
      <c r="O150" s="23">
        <v>10</v>
      </c>
      <c r="P150" s="23">
        <v>13</v>
      </c>
    </row>
    <row r="151" spans="1:16" ht="15.75" customHeight="1" x14ac:dyDescent="0.3">
      <c r="A151" s="23">
        <v>760</v>
      </c>
      <c r="B151" s="24">
        <v>40578</v>
      </c>
      <c r="C151" s="23">
        <v>1</v>
      </c>
      <c r="D151" s="23">
        <v>0</v>
      </c>
      <c r="E151" s="23">
        <v>2</v>
      </c>
      <c r="F151" s="23">
        <v>1</v>
      </c>
      <c r="G151" s="23" t="b">
        <v>0</v>
      </c>
      <c r="H151" s="23">
        <v>5</v>
      </c>
      <c r="I151" s="23">
        <v>2</v>
      </c>
      <c r="J151" s="23">
        <v>0.16</v>
      </c>
      <c r="K151" s="23">
        <v>0.2273</v>
      </c>
      <c r="L151" s="23">
        <v>0.59</v>
      </c>
      <c r="M151" s="23">
        <v>0</v>
      </c>
      <c r="N151" s="23">
        <v>0</v>
      </c>
      <c r="O151" s="23">
        <v>7</v>
      </c>
      <c r="P151" s="23">
        <v>7</v>
      </c>
    </row>
    <row r="152" spans="1:16" ht="15.75" customHeight="1" x14ac:dyDescent="0.3">
      <c r="A152" s="23">
        <v>761</v>
      </c>
      <c r="B152" s="24">
        <v>40578</v>
      </c>
      <c r="C152" s="23">
        <v>1</v>
      </c>
      <c r="D152" s="23">
        <v>0</v>
      </c>
      <c r="E152" s="23">
        <v>2</v>
      </c>
      <c r="F152" s="23">
        <v>2</v>
      </c>
      <c r="G152" s="23" t="b">
        <v>0</v>
      </c>
      <c r="H152" s="23">
        <v>5</v>
      </c>
      <c r="I152" s="23">
        <v>2</v>
      </c>
      <c r="J152" s="23">
        <v>0.14000000000000001</v>
      </c>
      <c r="K152" s="23">
        <v>0.16669999999999999</v>
      </c>
      <c r="L152" s="23">
        <v>0.63</v>
      </c>
      <c r="M152" s="23">
        <v>0.1045</v>
      </c>
      <c r="N152" s="23">
        <v>0</v>
      </c>
      <c r="O152" s="23">
        <v>1</v>
      </c>
      <c r="P152" s="23">
        <v>1</v>
      </c>
    </row>
    <row r="153" spans="1:16" ht="15.75" customHeight="1" x14ac:dyDescent="0.3">
      <c r="A153" s="23">
        <v>762</v>
      </c>
      <c r="B153" s="24">
        <v>40578</v>
      </c>
      <c r="C153" s="23">
        <v>1</v>
      </c>
      <c r="D153" s="23">
        <v>0</v>
      </c>
      <c r="E153" s="23">
        <v>2</v>
      </c>
      <c r="F153" s="23">
        <v>3</v>
      </c>
      <c r="G153" s="23" t="b">
        <v>0</v>
      </c>
      <c r="H153" s="23">
        <v>5</v>
      </c>
      <c r="I153" s="23">
        <v>2</v>
      </c>
      <c r="J153" s="23">
        <v>0.14000000000000001</v>
      </c>
      <c r="K153" s="23">
        <v>0.16669999999999999</v>
      </c>
      <c r="L153" s="23">
        <v>0.63</v>
      </c>
      <c r="M153" s="23">
        <v>0.1045</v>
      </c>
      <c r="N153" s="23">
        <v>0</v>
      </c>
      <c r="O153" s="23">
        <v>1</v>
      </c>
      <c r="P153" s="23">
        <v>1</v>
      </c>
    </row>
    <row r="154" spans="1:16" ht="15.75" customHeight="1" x14ac:dyDescent="0.3">
      <c r="A154" s="23">
        <v>763</v>
      </c>
      <c r="B154" s="24">
        <v>40578</v>
      </c>
      <c r="C154" s="23">
        <v>1</v>
      </c>
      <c r="D154" s="23">
        <v>0</v>
      </c>
      <c r="E154" s="23">
        <v>2</v>
      </c>
      <c r="F154" s="23">
        <v>5</v>
      </c>
      <c r="G154" s="23" t="b">
        <v>0</v>
      </c>
      <c r="H154" s="23">
        <v>5</v>
      </c>
      <c r="I154" s="23">
        <v>2</v>
      </c>
      <c r="J154" s="23">
        <v>0.14000000000000001</v>
      </c>
      <c r="K154" s="23">
        <v>0.1515</v>
      </c>
      <c r="L154" s="23">
        <v>0.63</v>
      </c>
      <c r="M154" s="23">
        <v>0.1343</v>
      </c>
      <c r="N154" s="23">
        <v>0</v>
      </c>
      <c r="O154" s="23">
        <v>7</v>
      </c>
      <c r="P154" s="23">
        <v>7</v>
      </c>
    </row>
    <row r="155" spans="1:16" ht="15.75" customHeight="1" x14ac:dyDescent="0.3">
      <c r="A155" s="23">
        <v>764</v>
      </c>
      <c r="B155" s="24">
        <v>40578</v>
      </c>
      <c r="C155" s="23">
        <v>1</v>
      </c>
      <c r="D155" s="23">
        <v>0</v>
      </c>
      <c r="E155" s="23">
        <v>2</v>
      </c>
      <c r="F155" s="23">
        <v>6</v>
      </c>
      <c r="G155" s="23" t="b">
        <v>0</v>
      </c>
      <c r="H155" s="23">
        <v>5</v>
      </c>
      <c r="I155" s="23">
        <v>2</v>
      </c>
      <c r="J155" s="23">
        <v>0.16</v>
      </c>
      <c r="K155" s="23">
        <v>0.2273</v>
      </c>
      <c r="L155" s="23">
        <v>0.55000000000000004</v>
      </c>
      <c r="M155" s="23">
        <v>0</v>
      </c>
      <c r="N155" s="23">
        <v>2</v>
      </c>
      <c r="O155" s="23">
        <v>26</v>
      </c>
      <c r="P155" s="23">
        <v>28</v>
      </c>
    </row>
    <row r="156" spans="1:16" ht="15.75" customHeight="1" x14ac:dyDescent="0.3">
      <c r="A156" s="23">
        <v>765</v>
      </c>
      <c r="B156" s="24">
        <v>40578</v>
      </c>
      <c r="C156" s="23">
        <v>1</v>
      </c>
      <c r="D156" s="23">
        <v>0</v>
      </c>
      <c r="E156" s="23">
        <v>2</v>
      </c>
      <c r="F156" s="23">
        <v>7</v>
      </c>
      <c r="G156" s="23" t="b">
        <v>0</v>
      </c>
      <c r="H156" s="23">
        <v>5</v>
      </c>
      <c r="I156" s="23">
        <v>1</v>
      </c>
      <c r="J156" s="23">
        <v>0.14000000000000001</v>
      </c>
      <c r="K156" s="23">
        <v>0.21210000000000001</v>
      </c>
      <c r="L156" s="23">
        <v>0.59</v>
      </c>
      <c r="M156" s="23">
        <v>0</v>
      </c>
      <c r="N156" s="23">
        <v>0</v>
      </c>
      <c r="O156" s="23">
        <v>87</v>
      </c>
      <c r="P156" s="23">
        <v>87</v>
      </c>
    </row>
    <row r="157" spans="1:16" ht="15.75" customHeight="1" x14ac:dyDescent="0.3">
      <c r="A157" s="23">
        <v>766</v>
      </c>
      <c r="B157" s="24">
        <v>40578</v>
      </c>
      <c r="C157" s="23">
        <v>1</v>
      </c>
      <c r="D157" s="23">
        <v>0</v>
      </c>
      <c r="E157" s="23">
        <v>2</v>
      </c>
      <c r="F157" s="23">
        <v>8</v>
      </c>
      <c r="G157" s="23" t="b">
        <v>0</v>
      </c>
      <c r="H157" s="23">
        <v>5</v>
      </c>
      <c r="I157" s="23">
        <v>1</v>
      </c>
      <c r="J157" s="23">
        <v>0.14000000000000001</v>
      </c>
      <c r="K157" s="23">
        <v>0.1515</v>
      </c>
      <c r="L157" s="23">
        <v>0.74</v>
      </c>
      <c r="M157" s="23">
        <v>0.1343</v>
      </c>
      <c r="N157" s="23">
        <v>3</v>
      </c>
      <c r="O157" s="23">
        <v>217</v>
      </c>
      <c r="P157" s="23">
        <v>220</v>
      </c>
    </row>
    <row r="158" spans="1:16" ht="15.75" customHeight="1" x14ac:dyDescent="0.3">
      <c r="A158" s="23">
        <v>767</v>
      </c>
      <c r="B158" s="24">
        <v>40578</v>
      </c>
      <c r="C158" s="23">
        <v>1</v>
      </c>
      <c r="D158" s="23">
        <v>0</v>
      </c>
      <c r="E158" s="23">
        <v>2</v>
      </c>
      <c r="F158" s="23">
        <v>9</v>
      </c>
      <c r="G158" s="23" t="b">
        <v>0</v>
      </c>
      <c r="H158" s="23">
        <v>5</v>
      </c>
      <c r="I158" s="23">
        <v>2</v>
      </c>
      <c r="J158" s="23">
        <v>0.16</v>
      </c>
      <c r="K158" s="23">
        <v>0.18179999999999999</v>
      </c>
      <c r="L158" s="23">
        <v>0.8</v>
      </c>
      <c r="M158" s="23">
        <v>0.1343</v>
      </c>
      <c r="N158" s="23">
        <v>3</v>
      </c>
      <c r="O158" s="23">
        <v>124</v>
      </c>
      <c r="P158" s="23">
        <v>127</v>
      </c>
    </row>
    <row r="159" spans="1:16" ht="15.75" customHeight="1" x14ac:dyDescent="0.3">
      <c r="A159" s="23">
        <v>768</v>
      </c>
      <c r="B159" s="24">
        <v>40578</v>
      </c>
      <c r="C159" s="23">
        <v>1</v>
      </c>
      <c r="D159" s="23">
        <v>0</v>
      </c>
      <c r="E159" s="23">
        <v>2</v>
      </c>
      <c r="F159" s="23">
        <v>10</v>
      </c>
      <c r="G159" s="23" t="b">
        <v>0</v>
      </c>
      <c r="H159" s="23">
        <v>5</v>
      </c>
      <c r="I159" s="23">
        <v>2</v>
      </c>
      <c r="J159" s="23">
        <v>0.2</v>
      </c>
      <c r="K159" s="23">
        <v>0.21210000000000001</v>
      </c>
      <c r="L159" s="23">
        <v>0.51</v>
      </c>
      <c r="M159" s="23">
        <v>0.1343</v>
      </c>
      <c r="N159" s="23">
        <v>5</v>
      </c>
      <c r="O159" s="23">
        <v>46</v>
      </c>
      <c r="P159" s="23">
        <v>51</v>
      </c>
    </row>
    <row r="160" spans="1:16" ht="15.75" customHeight="1" x14ac:dyDescent="0.3">
      <c r="A160" s="23">
        <v>769</v>
      </c>
      <c r="B160" s="24">
        <v>40578</v>
      </c>
      <c r="C160" s="23">
        <v>1</v>
      </c>
      <c r="D160" s="23">
        <v>0</v>
      </c>
      <c r="E160" s="23">
        <v>2</v>
      </c>
      <c r="F160" s="23">
        <v>11</v>
      </c>
      <c r="G160" s="23" t="b">
        <v>0</v>
      </c>
      <c r="H160" s="23">
        <v>5</v>
      </c>
      <c r="I160" s="23">
        <v>1</v>
      </c>
      <c r="J160" s="23">
        <v>0.22</v>
      </c>
      <c r="K160" s="23">
        <v>0.2273</v>
      </c>
      <c r="L160" s="23">
        <v>0.51</v>
      </c>
      <c r="M160" s="23">
        <v>0.16420000000000001</v>
      </c>
      <c r="N160" s="23">
        <v>3</v>
      </c>
      <c r="O160" s="23">
        <v>61</v>
      </c>
      <c r="P160" s="23">
        <v>64</v>
      </c>
    </row>
    <row r="161" spans="1:16" ht="15.75" customHeight="1" x14ac:dyDescent="0.3">
      <c r="A161" s="23">
        <v>770</v>
      </c>
      <c r="B161" s="24">
        <v>40578</v>
      </c>
      <c r="C161" s="23">
        <v>1</v>
      </c>
      <c r="D161" s="23">
        <v>0</v>
      </c>
      <c r="E161" s="23">
        <v>2</v>
      </c>
      <c r="F161" s="23">
        <v>12</v>
      </c>
      <c r="G161" s="23" t="b">
        <v>0</v>
      </c>
      <c r="H161" s="23">
        <v>5</v>
      </c>
      <c r="I161" s="23">
        <v>2</v>
      </c>
      <c r="J161" s="23">
        <v>0.24</v>
      </c>
      <c r="K161" s="23">
        <v>0.2424</v>
      </c>
      <c r="L161" s="23">
        <v>0.48</v>
      </c>
      <c r="M161" s="23">
        <v>0.16420000000000001</v>
      </c>
      <c r="N161" s="23">
        <v>8</v>
      </c>
      <c r="O161" s="23">
        <v>78</v>
      </c>
      <c r="P161" s="23">
        <v>86</v>
      </c>
    </row>
    <row r="162" spans="1:16" ht="15.75" customHeight="1" x14ac:dyDescent="0.3">
      <c r="A162" s="23">
        <v>771</v>
      </c>
      <c r="B162" s="24">
        <v>40578</v>
      </c>
      <c r="C162" s="23">
        <v>1</v>
      </c>
      <c r="D162" s="23">
        <v>0</v>
      </c>
      <c r="E162" s="23">
        <v>2</v>
      </c>
      <c r="F162" s="23">
        <v>13</v>
      </c>
      <c r="G162" s="23" t="b">
        <v>0</v>
      </c>
      <c r="H162" s="23">
        <v>5</v>
      </c>
      <c r="I162" s="23">
        <v>2</v>
      </c>
      <c r="J162" s="23">
        <v>0.26</v>
      </c>
      <c r="K162" s="23">
        <v>0.2576</v>
      </c>
      <c r="L162" s="23">
        <v>0.5</v>
      </c>
      <c r="M162" s="23">
        <v>0.22389999999999999</v>
      </c>
      <c r="N162" s="23">
        <v>9</v>
      </c>
      <c r="O162" s="23">
        <v>73</v>
      </c>
      <c r="P162" s="23">
        <v>82</v>
      </c>
    </row>
    <row r="163" spans="1:16" ht="15.75" customHeight="1" x14ac:dyDescent="0.3">
      <c r="A163" s="23">
        <v>772</v>
      </c>
      <c r="B163" s="24">
        <v>40578</v>
      </c>
      <c r="C163" s="23">
        <v>1</v>
      </c>
      <c r="D163" s="23">
        <v>0</v>
      </c>
      <c r="E163" s="23">
        <v>2</v>
      </c>
      <c r="F163" s="23">
        <v>14</v>
      </c>
      <c r="G163" s="23" t="b">
        <v>0</v>
      </c>
      <c r="H163" s="23">
        <v>5</v>
      </c>
      <c r="I163" s="23">
        <v>2</v>
      </c>
      <c r="J163" s="23">
        <v>0.28000000000000003</v>
      </c>
      <c r="K163" s="23">
        <v>0.2727</v>
      </c>
      <c r="L163" s="23">
        <v>0.45</v>
      </c>
      <c r="M163" s="23">
        <v>0.16420000000000001</v>
      </c>
      <c r="N163" s="23">
        <v>15</v>
      </c>
      <c r="O163" s="23">
        <v>76</v>
      </c>
      <c r="P163" s="23">
        <v>91</v>
      </c>
    </row>
    <row r="164" spans="1:16" ht="15.75" customHeight="1" x14ac:dyDescent="0.3">
      <c r="A164" s="23">
        <v>773</v>
      </c>
      <c r="B164" s="24">
        <v>40578</v>
      </c>
      <c r="C164" s="23">
        <v>1</v>
      </c>
      <c r="D164" s="23">
        <v>0</v>
      </c>
      <c r="E164" s="23">
        <v>2</v>
      </c>
      <c r="F164" s="23">
        <v>15</v>
      </c>
      <c r="G164" s="23" t="b">
        <v>0</v>
      </c>
      <c r="H164" s="23">
        <v>5</v>
      </c>
      <c r="I164" s="23">
        <v>2</v>
      </c>
      <c r="J164" s="23">
        <v>0.28000000000000003</v>
      </c>
      <c r="K164" s="23">
        <v>0.2727</v>
      </c>
      <c r="L164" s="23">
        <v>0.48</v>
      </c>
      <c r="M164" s="23">
        <v>0.25369999999999998</v>
      </c>
      <c r="N164" s="23">
        <v>9</v>
      </c>
      <c r="O164" s="23">
        <v>81</v>
      </c>
      <c r="P164" s="23">
        <v>90</v>
      </c>
    </row>
    <row r="165" spans="1:16" ht="15.75" customHeight="1" x14ac:dyDescent="0.3">
      <c r="A165" s="23">
        <v>774</v>
      </c>
      <c r="B165" s="24">
        <v>40578</v>
      </c>
      <c r="C165" s="23">
        <v>1</v>
      </c>
      <c r="D165" s="23">
        <v>0</v>
      </c>
      <c r="E165" s="23">
        <v>2</v>
      </c>
      <c r="F165" s="23">
        <v>16</v>
      </c>
      <c r="G165" s="23" t="b">
        <v>0</v>
      </c>
      <c r="H165" s="23">
        <v>5</v>
      </c>
      <c r="I165" s="23">
        <v>2</v>
      </c>
      <c r="J165" s="23">
        <v>0.3</v>
      </c>
      <c r="K165" s="23">
        <v>0.28789999999999999</v>
      </c>
      <c r="L165" s="23">
        <v>0.42</v>
      </c>
      <c r="M165" s="23">
        <v>0.22389999999999999</v>
      </c>
      <c r="N165" s="23">
        <v>8</v>
      </c>
      <c r="O165" s="23">
        <v>91</v>
      </c>
      <c r="P165" s="23">
        <v>99</v>
      </c>
    </row>
    <row r="166" spans="1:16" ht="15.75" customHeight="1" x14ac:dyDescent="0.3">
      <c r="A166" s="23">
        <v>775</v>
      </c>
      <c r="B166" s="24">
        <v>40578</v>
      </c>
      <c r="C166" s="23">
        <v>1</v>
      </c>
      <c r="D166" s="23">
        <v>0</v>
      </c>
      <c r="E166" s="23">
        <v>2</v>
      </c>
      <c r="F166" s="23">
        <v>17</v>
      </c>
      <c r="G166" s="23" t="b">
        <v>0</v>
      </c>
      <c r="H166" s="23">
        <v>5</v>
      </c>
      <c r="I166" s="23">
        <v>2</v>
      </c>
      <c r="J166" s="23">
        <v>0.26</v>
      </c>
      <c r="K166" s="23">
        <v>0.2727</v>
      </c>
      <c r="L166" s="23">
        <v>0.56000000000000005</v>
      </c>
      <c r="M166" s="23">
        <v>0.1343</v>
      </c>
      <c r="N166" s="23">
        <v>10</v>
      </c>
      <c r="O166" s="23">
        <v>195</v>
      </c>
      <c r="P166" s="23">
        <v>205</v>
      </c>
    </row>
    <row r="167" spans="1:16" ht="15.75" customHeight="1" x14ac:dyDescent="0.3">
      <c r="A167" s="23">
        <v>776</v>
      </c>
      <c r="B167" s="24">
        <v>40578</v>
      </c>
      <c r="C167" s="23">
        <v>1</v>
      </c>
      <c r="D167" s="23">
        <v>0</v>
      </c>
      <c r="E167" s="23">
        <v>2</v>
      </c>
      <c r="F167" s="23">
        <v>18</v>
      </c>
      <c r="G167" s="23" t="b">
        <v>0</v>
      </c>
      <c r="H167" s="23">
        <v>5</v>
      </c>
      <c r="I167" s="23">
        <v>2</v>
      </c>
      <c r="J167" s="23">
        <v>0.24</v>
      </c>
      <c r="K167" s="23">
        <v>0.2576</v>
      </c>
      <c r="L167" s="23">
        <v>0.6</v>
      </c>
      <c r="M167" s="23">
        <v>0.1045</v>
      </c>
      <c r="N167" s="23">
        <v>3</v>
      </c>
      <c r="O167" s="23">
        <v>152</v>
      </c>
      <c r="P167" s="23">
        <v>155</v>
      </c>
    </row>
    <row r="168" spans="1:16" ht="15.75" customHeight="1" x14ac:dyDescent="0.3">
      <c r="A168" s="23">
        <v>777</v>
      </c>
      <c r="B168" s="24">
        <v>40578</v>
      </c>
      <c r="C168" s="23">
        <v>1</v>
      </c>
      <c r="D168" s="23">
        <v>0</v>
      </c>
      <c r="E168" s="23">
        <v>2</v>
      </c>
      <c r="F168" s="23">
        <v>19</v>
      </c>
      <c r="G168" s="23" t="b">
        <v>0</v>
      </c>
      <c r="H168" s="23">
        <v>5</v>
      </c>
      <c r="I168" s="23">
        <v>2</v>
      </c>
      <c r="J168" s="23">
        <v>0.24</v>
      </c>
      <c r="K168" s="23">
        <v>0.2424</v>
      </c>
      <c r="L168" s="23">
        <v>0.65</v>
      </c>
      <c r="M168" s="23">
        <v>0.1343</v>
      </c>
      <c r="N168" s="23">
        <v>1</v>
      </c>
      <c r="O168" s="23">
        <v>102</v>
      </c>
      <c r="P168" s="23">
        <v>103</v>
      </c>
    </row>
    <row r="169" spans="1:16" ht="15.75" customHeight="1" x14ac:dyDescent="0.3">
      <c r="A169" s="23">
        <v>778</v>
      </c>
      <c r="B169" s="24">
        <v>40578</v>
      </c>
      <c r="C169" s="23">
        <v>1</v>
      </c>
      <c r="D169" s="23">
        <v>0</v>
      </c>
      <c r="E169" s="23">
        <v>2</v>
      </c>
      <c r="F169" s="23">
        <v>20</v>
      </c>
      <c r="G169" s="23" t="b">
        <v>0</v>
      </c>
      <c r="H169" s="23">
        <v>5</v>
      </c>
      <c r="I169" s="23">
        <v>2</v>
      </c>
      <c r="J169" s="23">
        <v>0.24</v>
      </c>
      <c r="K169" s="23">
        <v>0.2424</v>
      </c>
      <c r="L169" s="23">
        <v>0.65</v>
      </c>
      <c r="M169" s="23">
        <v>0.16420000000000001</v>
      </c>
      <c r="N169" s="23">
        <v>2</v>
      </c>
      <c r="O169" s="23">
        <v>69</v>
      </c>
      <c r="P169" s="23">
        <v>71</v>
      </c>
    </row>
    <row r="170" spans="1:16" ht="15.75" customHeight="1" x14ac:dyDescent="0.3">
      <c r="A170" s="23">
        <v>779</v>
      </c>
      <c r="B170" s="24">
        <v>40578</v>
      </c>
      <c r="C170" s="23">
        <v>1</v>
      </c>
      <c r="D170" s="23">
        <v>0</v>
      </c>
      <c r="E170" s="23">
        <v>2</v>
      </c>
      <c r="F170" s="23">
        <v>21</v>
      </c>
      <c r="G170" s="23" t="b">
        <v>0</v>
      </c>
      <c r="H170" s="23">
        <v>5</v>
      </c>
      <c r="I170" s="23">
        <v>2</v>
      </c>
      <c r="J170" s="23">
        <v>0.24</v>
      </c>
      <c r="K170" s="23">
        <v>0.2424</v>
      </c>
      <c r="L170" s="23">
        <v>0.7</v>
      </c>
      <c r="M170" s="23">
        <v>0.16420000000000001</v>
      </c>
      <c r="N170" s="23">
        <v>2</v>
      </c>
      <c r="O170" s="23">
        <v>41</v>
      </c>
      <c r="P170" s="23">
        <v>43</v>
      </c>
    </row>
    <row r="171" spans="1:16" ht="15.75" customHeight="1" x14ac:dyDescent="0.3">
      <c r="A171" s="23">
        <v>780</v>
      </c>
      <c r="B171" s="24">
        <v>40578</v>
      </c>
      <c r="C171" s="23">
        <v>1</v>
      </c>
      <c r="D171" s="23">
        <v>0</v>
      </c>
      <c r="E171" s="23">
        <v>2</v>
      </c>
      <c r="F171" s="23">
        <v>22</v>
      </c>
      <c r="G171" s="23" t="b">
        <v>0</v>
      </c>
      <c r="H171" s="23">
        <v>5</v>
      </c>
      <c r="I171" s="23">
        <v>2</v>
      </c>
      <c r="J171" s="23">
        <v>0.24</v>
      </c>
      <c r="K171" s="23">
        <v>0.2424</v>
      </c>
      <c r="L171" s="23">
        <v>0.65</v>
      </c>
      <c r="M171" s="23">
        <v>0.16420000000000001</v>
      </c>
      <c r="N171" s="23">
        <v>1</v>
      </c>
      <c r="O171" s="23">
        <v>45</v>
      </c>
      <c r="P171" s="23">
        <v>46</v>
      </c>
    </row>
    <row r="172" spans="1:16" ht="15.75" customHeight="1" x14ac:dyDescent="0.3">
      <c r="A172" s="23">
        <v>781</v>
      </c>
      <c r="B172" s="24">
        <v>40578</v>
      </c>
      <c r="C172" s="23">
        <v>1</v>
      </c>
      <c r="D172" s="23">
        <v>0</v>
      </c>
      <c r="E172" s="23">
        <v>2</v>
      </c>
      <c r="F172" s="23">
        <v>23</v>
      </c>
      <c r="G172" s="23" t="b">
        <v>0</v>
      </c>
      <c r="H172" s="23">
        <v>5</v>
      </c>
      <c r="I172" s="23">
        <v>2</v>
      </c>
      <c r="J172" s="23">
        <v>0.24</v>
      </c>
      <c r="K172" s="23">
        <v>0.2424</v>
      </c>
      <c r="L172" s="23">
        <v>0.7</v>
      </c>
      <c r="M172" s="23">
        <v>0.1343</v>
      </c>
      <c r="N172" s="23">
        <v>1</v>
      </c>
      <c r="O172" s="23">
        <v>30</v>
      </c>
      <c r="P172" s="23">
        <v>31</v>
      </c>
    </row>
    <row r="173" spans="1:16" ht="15.75" customHeight="1" x14ac:dyDescent="0.3">
      <c r="A173" s="23">
        <v>782</v>
      </c>
      <c r="B173" s="24">
        <v>40579</v>
      </c>
      <c r="C173" s="23">
        <v>1</v>
      </c>
      <c r="D173" s="23">
        <v>0</v>
      </c>
      <c r="E173" s="23">
        <v>2</v>
      </c>
      <c r="F173" s="23">
        <v>0</v>
      </c>
      <c r="G173" s="23" t="b">
        <v>0</v>
      </c>
      <c r="H173" s="23">
        <v>6</v>
      </c>
      <c r="I173" s="23">
        <v>2</v>
      </c>
      <c r="J173" s="23">
        <v>0.24</v>
      </c>
      <c r="K173" s="23">
        <v>0.2424</v>
      </c>
      <c r="L173" s="23">
        <v>0.7</v>
      </c>
      <c r="M173" s="23">
        <v>0.16420000000000001</v>
      </c>
      <c r="N173" s="23">
        <v>3</v>
      </c>
      <c r="O173" s="23">
        <v>36</v>
      </c>
      <c r="P173" s="23">
        <v>39</v>
      </c>
    </row>
    <row r="174" spans="1:16" ht="15.75" customHeight="1" x14ac:dyDescent="0.3">
      <c r="A174" s="23">
        <v>783</v>
      </c>
      <c r="B174" s="24">
        <v>40579</v>
      </c>
      <c r="C174" s="23">
        <v>1</v>
      </c>
      <c r="D174" s="23">
        <v>0</v>
      </c>
      <c r="E174" s="23">
        <v>2</v>
      </c>
      <c r="F174" s="23">
        <v>1</v>
      </c>
      <c r="G174" s="23" t="b">
        <v>0</v>
      </c>
      <c r="H174" s="23">
        <v>6</v>
      </c>
      <c r="I174" s="23">
        <v>2</v>
      </c>
      <c r="J174" s="23">
        <v>0.24</v>
      </c>
      <c r="K174" s="23">
        <v>0.2424</v>
      </c>
      <c r="L174" s="23">
        <v>0.65</v>
      </c>
      <c r="M174" s="23">
        <v>0.16420000000000001</v>
      </c>
      <c r="N174" s="23">
        <v>1</v>
      </c>
      <c r="O174" s="23">
        <v>17</v>
      </c>
      <c r="P174" s="23">
        <v>18</v>
      </c>
    </row>
    <row r="175" spans="1:16" ht="15.75" customHeight="1" x14ac:dyDescent="0.3">
      <c r="A175" s="23">
        <v>784</v>
      </c>
      <c r="B175" s="24">
        <v>40579</v>
      </c>
      <c r="C175" s="23">
        <v>1</v>
      </c>
      <c r="D175" s="23">
        <v>0</v>
      </c>
      <c r="E175" s="23">
        <v>2</v>
      </c>
      <c r="F175" s="23">
        <v>2</v>
      </c>
      <c r="G175" s="23" t="b">
        <v>0</v>
      </c>
      <c r="H175" s="23">
        <v>6</v>
      </c>
      <c r="I175" s="23">
        <v>2</v>
      </c>
      <c r="J175" s="23">
        <v>0.24</v>
      </c>
      <c r="K175" s="23">
        <v>0.2424</v>
      </c>
      <c r="L175" s="23">
        <v>0.75</v>
      </c>
      <c r="M175" s="23">
        <v>0.16420000000000001</v>
      </c>
      <c r="N175" s="23">
        <v>5</v>
      </c>
      <c r="O175" s="23">
        <v>12</v>
      </c>
      <c r="P175" s="23">
        <v>17</v>
      </c>
    </row>
    <row r="176" spans="1:16" ht="15.75" customHeight="1" x14ac:dyDescent="0.3">
      <c r="A176" s="23">
        <v>785</v>
      </c>
      <c r="B176" s="24">
        <v>40579</v>
      </c>
      <c r="C176" s="23">
        <v>1</v>
      </c>
      <c r="D176" s="23">
        <v>0</v>
      </c>
      <c r="E176" s="23">
        <v>2</v>
      </c>
      <c r="F176" s="23">
        <v>3</v>
      </c>
      <c r="G176" s="23" t="b">
        <v>0</v>
      </c>
      <c r="H176" s="23">
        <v>6</v>
      </c>
      <c r="I176" s="23">
        <v>2</v>
      </c>
      <c r="J176" s="23">
        <v>0.24</v>
      </c>
      <c r="K176" s="23">
        <v>0.2424</v>
      </c>
      <c r="L176" s="23">
        <v>0.75</v>
      </c>
      <c r="M176" s="23">
        <v>0.16420000000000001</v>
      </c>
      <c r="N176" s="23">
        <v>1</v>
      </c>
      <c r="O176" s="23">
        <v>10</v>
      </c>
      <c r="P176" s="23">
        <v>11</v>
      </c>
    </row>
    <row r="177" spans="1:16" ht="15.75" customHeight="1" x14ac:dyDescent="0.3">
      <c r="A177" s="23">
        <v>786</v>
      </c>
      <c r="B177" s="24">
        <v>40579</v>
      </c>
      <c r="C177" s="23">
        <v>1</v>
      </c>
      <c r="D177" s="23">
        <v>0</v>
      </c>
      <c r="E177" s="23">
        <v>2</v>
      </c>
      <c r="F177" s="23">
        <v>4</v>
      </c>
      <c r="G177" s="23" t="b">
        <v>0</v>
      </c>
      <c r="H177" s="23">
        <v>6</v>
      </c>
      <c r="I177" s="23">
        <v>3</v>
      </c>
      <c r="J177" s="23">
        <v>0.22</v>
      </c>
      <c r="K177" s="23">
        <v>0.2273</v>
      </c>
      <c r="L177" s="23">
        <v>0.93</v>
      </c>
      <c r="M177" s="23">
        <v>0.1343</v>
      </c>
      <c r="N177" s="23">
        <v>0</v>
      </c>
      <c r="O177" s="23">
        <v>8</v>
      </c>
      <c r="P177" s="23">
        <v>8</v>
      </c>
    </row>
    <row r="178" spans="1:16" ht="15.75" customHeight="1" x14ac:dyDescent="0.3">
      <c r="A178" s="23">
        <v>787</v>
      </c>
      <c r="B178" s="24">
        <v>40579</v>
      </c>
      <c r="C178" s="23">
        <v>1</v>
      </c>
      <c r="D178" s="23">
        <v>0</v>
      </c>
      <c r="E178" s="23">
        <v>2</v>
      </c>
      <c r="F178" s="23">
        <v>5</v>
      </c>
      <c r="G178" s="23" t="b">
        <v>0</v>
      </c>
      <c r="H178" s="23">
        <v>6</v>
      </c>
      <c r="I178" s="23">
        <v>3</v>
      </c>
      <c r="J178" s="23">
        <v>0.2</v>
      </c>
      <c r="K178" s="23">
        <v>0.2273</v>
      </c>
      <c r="L178" s="23">
        <v>1</v>
      </c>
      <c r="M178" s="23">
        <v>8.9599999999999999E-2</v>
      </c>
      <c r="N178" s="23">
        <v>0</v>
      </c>
      <c r="O178" s="23">
        <v>9</v>
      </c>
      <c r="P178" s="23">
        <v>9</v>
      </c>
    </row>
    <row r="179" spans="1:16" ht="15.75" customHeight="1" x14ac:dyDescent="0.3">
      <c r="A179" s="23">
        <v>788</v>
      </c>
      <c r="B179" s="24">
        <v>40579</v>
      </c>
      <c r="C179" s="23">
        <v>1</v>
      </c>
      <c r="D179" s="23">
        <v>0</v>
      </c>
      <c r="E179" s="23">
        <v>2</v>
      </c>
      <c r="F179" s="23">
        <v>6</v>
      </c>
      <c r="G179" s="23" t="b">
        <v>0</v>
      </c>
      <c r="H179" s="23">
        <v>6</v>
      </c>
      <c r="I179" s="23">
        <v>3</v>
      </c>
      <c r="J179" s="23">
        <v>0.2</v>
      </c>
      <c r="K179" s="23">
        <v>0.2576</v>
      </c>
      <c r="L179" s="23">
        <v>1</v>
      </c>
      <c r="M179" s="23">
        <v>0</v>
      </c>
      <c r="N179" s="23">
        <v>0</v>
      </c>
      <c r="O179" s="23">
        <v>4</v>
      </c>
      <c r="P179" s="23">
        <v>4</v>
      </c>
    </row>
    <row r="180" spans="1:16" ht="15.75" customHeight="1" x14ac:dyDescent="0.3">
      <c r="A180" s="23">
        <v>789</v>
      </c>
      <c r="B180" s="24">
        <v>40579</v>
      </c>
      <c r="C180" s="23">
        <v>1</v>
      </c>
      <c r="D180" s="23">
        <v>0</v>
      </c>
      <c r="E180" s="23">
        <v>2</v>
      </c>
      <c r="F180" s="23">
        <v>7</v>
      </c>
      <c r="G180" s="23" t="b">
        <v>0</v>
      </c>
      <c r="H180" s="23">
        <v>6</v>
      </c>
      <c r="I180" s="23">
        <v>3</v>
      </c>
      <c r="J180" s="23">
        <v>0.22</v>
      </c>
      <c r="K180" s="23">
        <v>0.2576</v>
      </c>
      <c r="L180" s="23">
        <v>0.93</v>
      </c>
      <c r="M180" s="23">
        <v>8.9599999999999999E-2</v>
      </c>
      <c r="N180" s="23">
        <v>0</v>
      </c>
      <c r="O180" s="23">
        <v>4</v>
      </c>
      <c r="P180" s="23">
        <v>4</v>
      </c>
    </row>
    <row r="181" spans="1:16" ht="15.75" customHeight="1" x14ac:dyDescent="0.3">
      <c r="A181" s="23">
        <v>790</v>
      </c>
      <c r="B181" s="24">
        <v>40579</v>
      </c>
      <c r="C181" s="23">
        <v>1</v>
      </c>
      <c r="D181" s="23">
        <v>0</v>
      </c>
      <c r="E181" s="23">
        <v>2</v>
      </c>
      <c r="F181" s="23">
        <v>8</v>
      </c>
      <c r="G181" s="23" t="b">
        <v>0</v>
      </c>
      <c r="H181" s="23">
        <v>6</v>
      </c>
      <c r="I181" s="23">
        <v>3</v>
      </c>
      <c r="J181" s="23">
        <v>0.2</v>
      </c>
      <c r="K181" s="23">
        <v>0.2273</v>
      </c>
      <c r="L181" s="23">
        <v>1</v>
      </c>
      <c r="M181" s="23">
        <v>8.9599999999999999E-2</v>
      </c>
      <c r="N181" s="23">
        <v>0</v>
      </c>
      <c r="O181" s="23">
        <v>10</v>
      </c>
      <c r="P181" s="23">
        <v>10</v>
      </c>
    </row>
    <row r="182" spans="1:16" ht="15.75" customHeight="1" x14ac:dyDescent="0.3">
      <c r="A182" s="23">
        <v>791</v>
      </c>
      <c r="B182" s="24">
        <v>40579</v>
      </c>
      <c r="C182" s="23">
        <v>1</v>
      </c>
      <c r="D182" s="23">
        <v>0</v>
      </c>
      <c r="E182" s="23">
        <v>2</v>
      </c>
      <c r="F182" s="23">
        <v>9</v>
      </c>
      <c r="G182" s="23" t="b">
        <v>0</v>
      </c>
      <c r="H182" s="23">
        <v>6</v>
      </c>
      <c r="I182" s="23">
        <v>3</v>
      </c>
      <c r="J182" s="23">
        <v>0.2</v>
      </c>
      <c r="K182" s="23">
        <v>0.2273</v>
      </c>
      <c r="L182" s="23">
        <v>1</v>
      </c>
      <c r="M182" s="23">
        <v>8.9599999999999999E-2</v>
      </c>
      <c r="N182" s="23">
        <v>3</v>
      </c>
      <c r="O182" s="23">
        <v>17</v>
      </c>
      <c r="P182" s="23">
        <v>20</v>
      </c>
    </row>
    <row r="183" spans="1:16" ht="15.75" customHeight="1" x14ac:dyDescent="0.3">
      <c r="A183" s="23">
        <v>792</v>
      </c>
      <c r="B183" s="24">
        <v>40579</v>
      </c>
      <c r="C183" s="23">
        <v>1</v>
      </c>
      <c r="D183" s="23">
        <v>0</v>
      </c>
      <c r="E183" s="23">
        <v>2</v>
      </c>
      <c r="F183" s="23">
        <v>10</v>
      </c>
      <c r="G183" s="23" t="b">
        <v>0</v>
      </c>
      <c r="H183" s="23">
        <v>6</v>
      </c>
      <c r="I183" s="23">
        <v>3</v>
      </c>
      <c r="J183" s="23">
        <v>0.2</v>
      </c>
      <c r="K183" s="23">
        <v>0.21210000000000001</v>
      </c>
      <c r="L183" s="23">
        <v>1</v>
      </c>
      <c r="M183" s="23">
        <v>0.1343</v>
      </c>
      <c r="N183" s="23">
        <v>3</v>
      </c>
      <c r="O183" s="23">
        <v>31</v>
      </c>
      <c r="P183" s="23">
        <v>34</v>
      </c>
    </row>
    <row r="184" spans="1:16" ht="15.75" customHeight="1" x14ac:dyDescent="0.3">
      <c r="A184" s="23">
        <v>793</v>
      </c>
      <c r="B184" s="24">
        <v>40579</v>
      </c>
      <c r="C184" s="23">
        <v>1</v>
      </c>
      <c r="D184" s="23">
        <v>0</v>
      </c>
      <c r="E184" s="23">
        <v>2</v>
      </c>
      <c r="F184" s="23">
        <v>11</v>
      </c>
      <c r="G184" s="23" t="b">
        <v>0</v>
      </c>
      <c r="H184" s="23">
        <v>6</v>
      </c>
      <c r="I184" s="23">
        <v>3</v>
      </c>
      <c r="J184" s="23">
        <v>0.22</v>
      </c>
      <c r="K184" s="23">
        <v>0.2273</v>
      </c>
      <c r="L184" s="23">
        <v>1</v>
      </c>
      <c r="M184" s="23">
        <v>0.1343</v>
      </c>
      <c r="N184" s="23">
        <v>1</v>
      </c>
      <c r="O184" s="23">
        <v>46</v>
      </c>
      <c r="P184" s="23">
        <v>47</v>
      </c>
    </row>
    <row r="185" spans="1:16" ht="15.75" customHeight="1" x14ac:dyDescent="0.3">
      <c r="A185" s="23">
        <v>794</v>
      </c>
      <c r="B185" s="24">
        <v>40579</v>
      </c>
      <c r="C185" s="23">
        <v>1</v>
      </c>
      <c r="D185" s="23">
        <v>0</v>
      </c>
      <c r="E185" s="23">
        <v>2</v>
      </c>
      <c r="F185" s="23">
        <v>12</v>
      </c>
      <c r="G185" s="23" t="b">
        <v>0</v>
      </c>
      <c r="H185" s="23">
        <v>6</v>
      </c>
      <c r="I185" s="23">
        <v>3</v>
      </c>
      <c r="J185" s="23">
        <v>0.22</v>
      </c>
      <c r="K185" s="23">
        <v>0.2273</v>
      </c>
      <c r="L185" s="23">
        <v>1</v>
      </c>
      <c r="M185" s="23">
        <v>0.16420000000000001</v>
      </c>
      <c r="N185" s="23">
        <v>10</v>
      </c>
      <c r="O185" s="23">
        <v>42</v>
      </c>
      <c r="P185" s="23">
        <v>52</v>
      </c>
    </row>
    <row r="186" spans="1:16" ht="15.75" customHeight="1" x14ac:dyDescent="0.3">
      <c r="A186" s="23">
        <v>795</v>
      </c>
      <c r="B186" s="24">
        <v>40579</v>
      </c>
      <c r="C186" s="23">
        <v>1</v>
      </c>
      <c r="D186" s="23">
        <v>0</v>
      </c>
      <c r="E186" s="23">
        <v>2</v>
      </c>
      <c r="F186" s="23">
        <v>13</v>
      </c>
      <c r="G186" s="23" t="b">
        <v>0</v>
      </c>
      <c r="H186" s="23">
        <v>6</v>
      </c>
      <c r="I186" s="23">
        <v>3</v>
      </c>
      <c r="J186" s="23">
        <v>0.22</v>
      </c>
      <c r="K186" s="23">
        <v>0.2273</v>
      </c>
      <c r="L186" s="23">
        <v>1</v>
      </c>
      <c r="M186" s="23">
        <v>0.16420000000000001</v>
      </c>
      <c r="N186" s="23">
        <v>10</v>
      </c>
      <c r="O186" s="23">
        <v>62</v>
      </c>
      <c r="P186" s="23">
        <v>72</v>
      </c>
    </row>
    <row r="187" spans="1:16" ht="15.75" customHeight="1" x14ac:dyDescent="0.3">
      <c r="A187" s="23">
        <v>796</v>
      </c>
      <c r="B187" s="24">
        <v>40579</v>
      </c>
      <c r="C187" s="23">
        <v>1</v>
      </c>
      <c r="D187" s="23">
        <v>0</v>
      </c>
      <c r="E187" s="23">
        <v>2</v>
      </c>
      <c r="F187" s="23">
        <v>14</v>
      </c>
      <c r="G187" s="23" t="b">
        <v>0</v>
      </c>
      <c r="H187" s="23">
        <v>6</v>
      </c>
      <c r="I187" s="23">
        <v>3</v>
      </c>
      <c r="J187" s="23">
        <v>0.22</v>
      </c>
      <c r="K187" s="23">
        <v>0.2727</v>
      </c>
      <c r="L187" s="23">
        <v>1</v>
      </c>
      <c r="M187" s="23">
        <v>0</v>
      </c>
      <c r="N187" s="23">
        <v>5</v>
      </c>
      <c r="O187" s="23">
        <v>50</v>
      </c>
      <c r="P187" s="23">
        <v>55</v>
      </c>
    </row>
    <row r="188" spans="1:16" ht="15.75" customHeight="1" x14ac:dyDescent="0.3">
      <c r="A188" s="23">
        <v>797</v>
      </c>
      <c r="B188" s="24">
        <v>40579</v>
      </c>
      <c r="C188" s="23">
        <v>1</v>
      </c>
      <c r="D188" s="23">
        <v>0</v>
      </c>
      <c r="E188" s="23">
        <v>2</v>
      </c>
      <c r="F188" s="23">
        <v>15</v>
      </c>
      <c r="G188" s="23" t="b">
        <v>0</v>
      </c>
      <c r="H188" s="23">
        <v>6</v>
      </c>
      <c r="I188" s="23">
        <v>3</v>
      </c>
      <c r="J188" s="23">
        <v>0.22</v>
      </c>
      <c r="K188" s="23">
        <v>0.2727</v>
      </c>
      <c r="L188" s="23">
        <v>1</v>
      </c>
      <c r="M188" s="23">
        <v>0</v>
      </c>
      <c r="N188" s="23">
        <v>11</v>
      </c>
      <c r="O188" s="23">
        <v>49</v>
      </c>
      <c r="P188" s="23">
        <v>60</v>
      </c>
    </row>
    <row r="189" spans="1:16" ht="15.75" customHeight="1" x14ac:dyDescent="0.3">
      <c r="A189" s="23">
        <v>798</v>
      </c>
      <c r="B189" s="24">
        <v>40579</v>
      </c>
      <c r="C189" s="23">
        <v>1</v>
      </c>
      <c r="D189" s="23">
        <v>0</v>
      </c>
      <c r="E189" s="23">
        <v>2</v>
      </c>
      <c r="F189" s="23">
        <v>16</v>
      </c>
      <c r="G189" s="23" t="b">
        <v>0</v>
      </c>
      <c r="H189" s="23">
        <v>6</v>
      </c>
      <c r="I189" s="23">
        <v>3</v>
      </c>
      <c r="J189" s="23">
        <v>0.22</v>
      </c>
      <c r="K189" s="23">
        <v>0.2273</v>
      </c>
      <c r="L189" s="23">
        <v>1</v>
      </c>
      <c r="M189" s="23">
        <v>0.1343</v>
      </c>
      <c r="N189" s="23">
        <v>8</v>
      </c>
      <c r="O189" s="23">
        <v>63</v>
      </c>
      <c r="P189" s="23">
        <v>71</v>
      </c>
    </row>
    <row r="190" spans="1:16" ht="15.75" customHeight="1" x14ac:dyDescent="0.3">
      <c r="A190" s="23">
        <v>799</v>
      </c>
      <c r="B190" s="24">
        <v>40579</v>
      </c>
      <c r="C190" s="23">
        <v>1</v>
      </c>
      <c r="D190" s="23">
        <v>0</v>
      </c>
      <c r="E190" s="23">
        <v>2</v>
      </c>
      <c r="F190" s="23">
        <v>17</v>
      </c>
      <c r="G190" s="23" t="b">
        <v>0</v>
      </c>
      <c r="H190" s="23">
        <v>6</v>
      </c>
      <c r="I190" s="23">
        <v>2</v>
      </c>
      <c r="J190" s="23">
        <v>0.24</v>
      </c>
      <c r="K190" s="23">
        <v>0.21210000000000001</v>
      </c>
      <c r="L190" s="23">
        <v>1</v>
      </c>
      <c r="M190" s="23">
        <v>0.28360000000000002</v>
      </c>
      <c r="N190" s="23">
        <v>14</v>
      </c>
      <c r="O190" s="23">
        <v>64</v>
      </c>
      <c r="P190" s="23">
        <v>78</v>
      </c>
    </row>
    <row r="191" spans="1:16" ht="15.75" customHeight="1" x14ac:dyDescent="0.3">
      <c r="A191" s="23">
        <v>800</v>
      </c>
      <c r="B191" s="24">
        <v>40579</v>
      </c>
      <c r="C191" s="23">
        <v>1</v>
      </c>
      <c r="D191" s="23">
        <v>0</v>
      </c>
      <c r="E191" s="23">
        <v>2</v>
      </c>
      <c r="F191" s="23">
        <v>18</v>
      </c>
      <c r="G191" s="23" t="b">
        <v>0</v>
      </c>
      <c r="H191" s="23">
        <v>6</v>
      </c>
      <c r="I191" s="23">
        <v>2</v>
      </c>
      <c r="J191" s="23">
        <v>0.28000000000000003</v>
      </c>
      <c r="K191" s="23">
        <v>0.2424</v>
      </c>
      <c r="L191" s="23">
        <v>0.93</v>
      </c>
      <c r="M191" s="23">
        <v>0.44779999999999998</v>
      </c>
      <c r="N191" s="23">
        <v>2</v>
      </c>
      <c r="O191" s="23">
        <v>81</v>
      </c>
      <c r="P191" s="23">
        <v>83</v>
      </c>
    </row>
    <row r="192" spans="1:16" ht="15.75" customHeight="1" x14ac:dyDescent="0.3">
      <c r="A192" s="23">
        <v>801</v>
      </c>
      <c r="B192" s="24">
        <v>40579</v>
      </c>
      <c r="C192" s="23">
        <v>1</v>
      </c>
      <c r="D192" s="23">
        <v>0</v>
      </c>
      <c r="E192" s="23">
        <v>2</v>
      </c>
      <c r="F192" s="23">
        <v>19</v>
      </c>
      <c r="G192" s="23" t="b">
        <v>0</v>
      </c>
      <c r="H192" s="23">
        <v>6</v>
      </c>
      <c r="I192" s="23">
        <v>2</v>
      </c>
      <c r="J192" s="23">
        <v>0.28000000000000003</v>
      </c>
      <c r="K192" s="23">
        <v>0.2424</v>
      </c>
      <c r="L192" s="23">
        <v>0.93</v>
      </c>
      <c r="M192" s="23">
        <v>0.44779999999999998</v>
      </c>
      <c r="N192" s="23">
        <v>6</v>
      </c>
      <c r="O192" s="23">
        <v>78</v>
      </c>
      <c r="P192" s="23">
        <v>84</v>
      </c>
    </row>
    <row r="193" spans="1:16" ht="15.75" customHeight="1" x14ac:dyDescent="0.3">
      <c r="A193" s="23">
        <v>802</v>
      </c>
      <c r="B193" s="24">
        <v>40579</v>
      </c>
      <c r="C193" s="23">
        <v>1</v>
      </c>
      <c r="D193" s="23">
        <v>0</v>
      </c>
      <c r="E193" s="23">
        <v>2</v>
      </c>
      <c r="F193" s="23">
        <v>20</v>
      </c>
      <c r="G193" s="23" t="b">
        <v>0</v>
      </c>
      <c r="H193" s="23">
        <v>6</v>
      </c>
      <c r="I193" s="23">
        <v>1</v>
      </c>
      <c r="J193" s="23">
        <v>0.3</v>
      </c>
      <c r="K193" s="23">
        <v>0.28789999999999999</v>
      </c>
      <c r="L193" s="23">
        <v>0.87</v>
      </c>
      <c r="M193" s="23">
        <v>0.25369999999999998</v>
      </c>
      <c r="N193" s="23">
        <v>5</v>
      </c>
      <c r="O193" s="23">
        <v>64</v>
      </c>
      <c r="P193" s="23">
        <v>69</v>
      </c>
    </row>
    <row r="194" spans="1:16" ht="15.75" customHeight="1" x14ac:dyDescent="0.3">
      <c r="A194" s="23">
        <v>803</v>
      </c>
      <c r="B194" s="24">
        <v>40579</v>
      </c>
      <c r="C194" s="23">
        <v>1</v>
      </c>
      <c r="D194" s="23">
        <v>0</v>
      </c>
      <c r="E194" s="23">
        <v>2</v>
      </c>
      <c r="F194" s="23">
        <v>21</v>
      </c>
      <c r="G194" s="23" t="b">
        <v>0</v>
      </c>
      <c r="H194" s="23">
        <v>6</v>
      </c>
      <c r="I194" s="23">
        <v>1</v>
      </c>
      <c r="J194" s="23">
        <v>0.26</v>
      </c>
      <c r="K194" s="23">
        <v>0.2576</v>
      </c>
      <c r="L194" s="23">
        <v>1</v>
      </c>
      <c r="M194" s="23">
        <v>0.19400000000000001</v>
      </c>
      <c r="N194" s="23">
        <v>3</v>
      </c>
      <c r="O194" s="23">
        <v>53</v>
      </c>
      <c r="P194" s="23">
        <v>56</v>
      </c>
    </row>
    <row r="195" spans="1:16" ht="15.75" customHeight="1" x14ac:dyDescent="0.3">
      <c r="A195" s="23">
        <v>804</v>
      </c>
      <c r="B195" s="24">
        <v>40579</v>
      </c>
      <c r="C195" s="23">
        <v>1</v>
      </c>
      <c r="D195" s="23">
        <v>0</v>
      </c>
      <c r="E195" s="23">
        <v>2</v>
      </c>
      <c r="F195" s="23">
        <v>22</v>
      </c>
      <c r="G195" s="23" t="b">
        <v>0</v>
      </c>
      <c r="H195" s="23">
        <v>6</v>
      </c>
      <c r="I195" s="23">
        <v>1</v>
      </c>
      <c r="J195" s="23">
        <v>0.26</v>
      </c>
      <c r="K195" s="23">
        <v>0.2727</v>
      </c>
      <c r="L195" s="23">
        <v>0.93</v>
      </c>
      <c r="M195" s="23">
        <v>0.1343</v>
      </c>
      <c r="N195" s="23">
        <v>2</v>
      </c>
      <c r="O195" s="23">
        <v>43</v>
      </c>
      <c r="P195" s="23">
        <v>45</v>
      </c>
    </row>
    <row r="196" spans="1:16" ht="15.75" customHeight="1" x14ac:dyDescent="0.3">
      <c r="A196" s="23">
        <v>805</v>
      </c>
      <c r="B196" s="24">
        <v>40579</v>
      </c>
      <c r="C196" s="23">
        <v>1</v>
      </c>
      <c r="D196" s="23">
        <v>0</v>
      </c>
      <c r="E196" s="23">
        <v>2</v>
      </c>
      <c r="F196" s="23">
        <v>23</v>
      </c>
      <c r="G196" s="23" t="b">
        <v>0</v>
      </c>
      <c r="H196" s="23">
        <v>6</v>
      </c>
      <c r="I196" s="23">
        <v>1</v>
      </c>
      <c r="J196" s="23">
        <v>0.26</v>
      </c>
      <c r="K196" s="23">
        <v>0.2576</v>
      </c>
      <c r="L196" s="23">
        <v>0.93</v>
      </c>
      <c r="M196" s="23">
        <v>0.22389999999999999</v>
      </c>
      <c r="N196" s="23">
        <v>7</v>
      </c>
      <c r="O196" s="23">
        <v>52</v>
      </c>
      <c r="P196" s="23">
        <v>59</v>
      </c>
    </row>
    <row r="197" spans="1:16" ht="15.75" customHeight="1" x14ac:dyDescent="0.3">
      <c r="A197" s="23">
        <v>806</v>
      </c>
      <c r="B197" s="24">
        <v>40580</v>
      </c>
      <c r="C197" s="23">
        <v>1</v>
      </c>
      <c r="D197" s="23">
        <v>0</v>
      </c>
      <c r="E197" s="23">
        <v>2</v>
      </c>
      <c r="F197" s="23">
        <v>0</v>
      </c>
      <c r="G197" s="23" t="b">
        <v>0</v>
      </c>
      <c r="H197" s="23">
        <v>0</v>
      </c>
      <c r="I197" s="23">
        <v>1</v>
      </c>
      <c r="J197" s="23">
        <v>0.26</v>
      </c>
      <c r="K197" s="23">
        <v>0.2576</v>
      </c>
      <c r="L197" s="23">
        <v>0.7</v>
      </c>
      <c r="M197" s="23">
        <v>0.19400000000000001</v>
      </c>
      <c r="N197" s="23">
        <v>2</v>
      </c>
      <c r="O197" s="23">
        <v>37</v>
      </c>
      <c r="P197" s="23">
        <v>39</v>
      </c>
    </row>
    <row r="198" spans="1:16" ht="15.75" customHeight="1" x14ac:dyDescent="0.3">
      <c r="A198" s="23">
        <v>807</v>
      </c>
      <c r="B198" s="24">
        <v>40580</v>
      </c>
      <c r="C198" s="23">
        <v>1</v>
      </c>
      <c r="D198" s="23">
        <v>0</v>
      </c>
      <c r="E198" s="23">
        <v>2</v>
      </c>
      <c r="F198" s="23">
        <v>1</v>
      </c>
      <c r="G198" s="23" t="b">
        <v>0</v>
      </c>
      <c r="H198" s="23">
        <v>0</v>
      </c>
      <c r="I198" s="23">
        <v>1</v>
      </c>
      <c r="J198" s="23">
        <v>0.26</v>
      </c>
      <c r="K198" s="23">
        <v>0.2273</v>
      </c>
      <c r="L198" s="23">
        <v>0.65</v>
      </c>
      <c r="M198" s="23">
        <v>0.41789999999999999</v>
      </c>
      <c r="N198" s="23">
        <v>4</v>
      </c>
      <c r="O198" s="23">
        <v>40</v>
      </c>
      <c r="P198" s="23">
        <v>44</v>
      </c>
    </row>
    <row r="199" spans="1:16" ht="15.75" customHeight="1" x14ac:dyDescent="0.3">
      <c r="A199" s="23">
        <v>808</v>
      </c>
      <c r="B199" s="24">
        <v>40580</v>
      </c>
      <c r="C199" s="23">
        <v>1</v>
      </c>
      <c r="D199" s="23">
        <v>0</v>
      </c>
      <c r="E199" s="23">
        <v>2</v>
      </c>
      <c r="F199" s="23">
        <v>2</v>
      </c>
      <c r="G199" s="23" t="b">
        <v>0</v>
      </c>
      <c r="H199" s="23">
        <v>0</v>
      </c>
      <c r="I199" s="23">
        <v>1</v>
      </c>
      <c r="J199" s="23">
        <v>0.26</v>
      </c>
      <c r="K199" s="23">
        <v>0.2273</v>
      </c>
      <c r="L199" s="23">
        <v>0.6</v>
      </c>
      <c r="M199" s="23">
        <v>0.32840000000000003</v>
      </c>
      <c r="N199" s="23">
        <v>0</v>
      </c>
      <c r="O199" s="23">
        <v>20</v>
      </c>
      <c r="P199" s="23">
        <v>20</v>
      </c>
    </row>
    <row r="200" spans="1:16" ht="15.75" customHeight="1" x14ac:dyDescent="0.3">
      <c r="A200" s="23">
        <v>809</v>
      </c>
      <c r="B200" s="24">
        <v>40580</v>
      </c>
      <c r="C200" s="23">
        <v>1</v>
      </c>
      <c r="D200" s="23">
        <v>0</v>
      </c>
      <c r="E200" s="23">
        <v>2</v>
      </c>
      <c r="F200" s="23">
        <v>3</v>
      </c>
      <c r="G200" s="23" t="b">
        <v>0</v>
      </c>
      <c r="H200" s="23">
        <v>0</v>
      </c>
      <c r="I200" s="23">
        <v>1</v>
      </c>
      <c r="J200" s="23">
        <v>0.26</v>
      </c>
      <c r="K200" s="23">
        <v>0.28789999999999999</v>
      </c>
      <c r="L200" s="23">
        <v>0.6</v>
      </c>
      <c r="M200" s="23">
        <v>8.9599999999999999E-2</v>
      </c>
      <c r="N200" s="23">
        <v>3</v>
      </c>
      <c r="O200" s="23">
        <v>10</v>
      </c>
      <c r="P200" s="23">
        <v>13</v>
      </c>
    </row>
    <row r="201" spans="1:16" ht="15.75" customHeight="1" x14ac:dyDescent="0.3">
      <c r="A201" s="23">
        <v>810</v>
      </c>
      <c r="B201" s="24">
        <v>40580</v>
      </c>
      <c r="C201" s="23">
        <v>1</v>
      </c>
      <c r="D201" s="23">
        <v>0</v>
      </c>
      <c r="E201" s="23">
        <v>2</v>
      </c>
      <c r="F201" s="23">
        <v>4</v>
      </c>
      <c r="G201" s="23" t="b">
        <v>0</v>
      </c>
      <c r="H201" s="23">
        <v>0</v>
      </c>
      <c r="I201" s="23">
        <v>1</v>
      </c>
      <c r="J201" s="23">
        <v>0.26</v>
      </c>
      <c r="K201" s="23">
        <v>0.2273</v>
      </c>
      <c r="L201" s="23">
        <v>0.6</v>
      </c>
      <c r="M201" s="23">
        <v>0.35820000000000002</v>
      </c>
      <c r="N201" s="23">
        <v>0</v>
      </c>
      <c r="O201" s="23">
        <v>2</v>
      </c>
      <c r="P201" s="23">
        <v>2</v>
      </c>
    </row>
    <row r="202" spans="1:16" ht="15.75" customHeight="1" x14ac:dyDescent="0.3">
      <c r="A202" s="23">
        <v>811</v>
      </c>
      <c r="B202" s="24">
        <v>40580</v>
      </c>
      <c r="C202" s="23">
        <v>1</v>
      </c>
      <c r="D202" s="23">
        <v>0</v>
      </c>
      <c r="E202" s="23">
        <v>2</v>
      </c>
      <c r="F202" s="23">
        <v>5</v>
      </c>
      <c r="G202" s="23" t="b">
        <v>0</v>
      </c>
      <c r="H202" s="23">
        <v>0</v>
      </c>
      <c r="I202" s="23">
        <v>1</v>
      </c>
      <c r="J202" s="23">
        <v>0.26</v>
      </c>
      <c r="K202" s="23">
        <v>0.2576</v>
      </c>
      <c r="L202" s="23">
        <v>0.6</v>
      </c>
      <c r="M202" s="23">
        <v>0.22389999999999999</v>
      </c>
      <c r="N202" s="23">
        <v>0</v>
      </c>
      <c r="O202" s="23">
        <v>1</v>
      </c>
      <c r="P202" s="23">
        <v>1</v>
      </c>
    </row>
    <row r="203" spans="1:16" ht="15.75" customHeight="1" x14ac:dyDescent="0.3">
      <c r="A203" s="23">
        <v>812</v>
      </c>
      <c r="B203" s="24">
        <v>40580</v>
      </c>
      <c r="C203" s="23">
        <v>1</v>
      </c>
      <c r="D203" s="23">
        <v>0</v>
      </c>
      <c r="E203" s="23">
        <v>2</v>
      </c>
      <c r="F203" s="23">
        <v>6</v>
      </c>
      <c r="G203" s="23" t="b">
        <v>0</v>
      </c>
      <c r="H203" s="23">
        <v>0</v>
      </c>
      <c r="I203" s="23">
        <v>1</v>
      </c>
      <c r="J203" s="23">
        <v>0.26</v>
      </c>
      <c r="K203" s="23">
        <v>0.2576</v>
      </c>
      <c r="L203" s="23">
        <v>0.6</v>
      </c>
      <c r="M203" s="23">
        <v>0.22389999999999999</v>
      </c>
      <c r="N203" s="23">
        <v>0</v>
      </c>
      <c r="O203" s="23">
        <v>1</v>
      </c>
      <c r="P203" s="23">
        <v>1</v>
      </c>
    </row>
    <row r="204" spans="1:16" ht="15.75" customHeight="1" x14ac:dyDescent="0.3">
      <c r="A204" s="23">
        <v>813</v>
      </c>
      <c r="B204" s="24">
        <v>40580</v>
      </c>
      <c r="C204" s="23">
        <v>1</v>
      </c>
      <c r="D204" s="23">
        <v>0</v>
      </c>
      <c r="E204" s="23">
        <v>2</v>
      </c>
      <c r="F204" s="23">
        <v>7</v>
      </c>
      <c r="G204" s="23" t="b">
        <v>0</v>
      </c>
      <c r="H204" s="23">
        <v>0</v>
      </c>
      <c r="I204" s="23">
        <v>1</v>
      </c>
      <c r="J204" s="23">
        <v>0.24</v>
      </c>
      <c r="K204" s="23">
        <v>0.2424</v>
      </c>
      <c r="L204" s="23">
        <v>0.65</v>
      </c>
      <c r="M204" s="23">
        <v>0.16420000000000001</v>
      </c>
      <c r="N204" s="23">
        <v>0</v>
      </c>
      <c r="O204" s="23">
        <v>8</v>
      </c>
      <c r="P204" s="23">
        <v>8</v>
      </c>
    </row>
    <row r="205" spans="1:16" ht="15.75" customHeight="1" x14ac:dyDescent="0.3">
      <c r="A205" s="23">
        <v>814</v>
      </c>
      <c r="B205" s="24">
        <v>40580</v>
      </c>
      <c r="C205" s="23">
        <v>1</v>
      </c>
      <c r="D205" s="23">
        <v>0</v>
      </c>
      <c r="E205" s="23">
        <v>2</v>
      </c>
      <c r="F205" s="23">
        <v>8</v>
      </c>
      <c r="G205" s="23" t="b">
        <v>0</v>
      </c>
      <c r="H205" s="23">
        <v>0</v>
      </c>
      <c r="I205" s="23">
        <v>1</v>
      </c>
      <c r="J205" s="23">
        <v>0.24</v>
      </c>
      <c r="K205" s="23">
        <v>0.2576</v>
      </c>
      <c r="L205" s="23">
        <v>0.65</v>
      </c>
      <c r="M205" s="23">
        <v>0.1045</v>
      </c>
      <c r="N205" s="23">
        <v>2</v>
      </c>
      <c r="O205" s="23">
        <v>21</v>
      </c>
      <c r="P205" s="23">
        <v>23</v>
      </c>
    </row>
    <row r="206" spans="1:16" ht="15.75" customHeight="1" x14ac:dyDescent="0.3">
      <c r="A206" s="23">
        <v>815</v>
      </c>
      <c r="B206" s="24">
        <v>40580</v>
      </c>
      <c r="C206" s="23">
        <v>1</v>
      </c>
      <c r="D206" s="23">
        <v>0</v>
      </c>
      <c r="E206" s="23">
        <v>2</v>
      </c>
      <c r="F206" s="23">
        <v>9</v>
      </c>
      <c r="G206" s="23" t="b">
        <v>0</v>
      </c>
      <c r="H206" s="23">
        <v>0</v>
      </c>
      <c r="I206" s="23">
        <v>1</v>
      </c>
      <c r="J206" s="23">
        <v>0.28000000000000003</v>
      </c>
      <c r="K206" s="23">
        <v>0.28789999999999999</v>
      </c>
      <c r="L206" s="23">
        <v>0.56000000000000005</v>
      </c>
      <c r="M206" s="23">
        <v>0.1045</v>
      </c>
      <c r="N206" s="23">
        <v>7</v>
      </c>
      <c r="O206" s="23">
        <v>38</v>
      </c>
      <c r="P206" s="23">
        <v>45</v>
      </c>
    </row>
    <row r="207" spans="1:16" ht="15.75" customHeight="1" x14ac:dyDescent="0.3">
      <c r="A207" s="23">
        <v>816</v>
      </c>
      <c r="B207" s="24">
        <v>40580</v>
      </c>
      <c r="C207" s="23">
        <v>1</v>
      </c>
      <c r="D207" s="23">
        <v>0</v>
      </c>
      <c r="E207" s="23">
        <v>2</v>
      </c>
      <c r="F207" s="23">
        <v>10</v>
      </c>
      <c r="G207" s="23" t="b">
        <v>0</v>
      </c>
      <c r="H207" s="23">
        <v>0</v>
      </c>
      <c r="I207" s="23">
        <v>1</v>
      </c>
      <c r="J207" s="23">
        <v>0.3</v>
      </c>
      <c r="K207" s="23">
        <v>0.28789999999999999</v>
      </c>
      <c r="L207" s="23">
        <v>0.52</v>
      </c>
      <c r="M207" s="23">
        <v>0.25369999999999998</v>
      </c>
      <c r="N207" s="23">
        <v>15</v>
      </c>
      <c r="O207" s="23">
        <v>74</v>
      </c>
      <c r="P207" s="23">
        <v>89</v>
      </c>
    </row>
    <row r="208" spans="1:16" ht="15.75" customHeight="1" x14ac:dyDescent="0.3">
      <c r="A208" s="23">
        <v>817</v>
      </c>
      <c r="B208" s="24">
        <v>40580</v>
      </c>
      <c r="C208" s="23">
        <v>1</v>
      </c>
      <c r="D208" s="23">
        <v>0</v>
      </c>
      <c r="E208" s="23">
        <v>2</v>
      </c>
      <c r="F208" s="23">
        <v>11</v>
      </c>
      <c r="G208" s="23" t="b">
        <v>0</v>
      </c>
      <c r="H208" s="23">
        <v>0</v>
      </c>
      <c r="I208" s="23">
        <v>1</v>
      </c>
      <c r="J208" s="23">
        <v>0.32</v>
      </c>
      <c r="K208" s="23">
        <v>0.30299999999999999</v>
      </c>
      <c r="L208" s="23">
        <v>0.49</v>
      </c>
      <c r="M208" s="23">
        <v>0.25369999999999998</v>
      </c>
      <c r="N208" s="23">
        <v>28</v>
      </c>
      <c r="O208" s="23">
        <v>89</v>
      </c>
      <c r="P208" s="23">
        <v>117</v>
      </c>
    </row>
    <row r="209" spans="1:16" ht="15.75" customHeight="1" x14ac:dyDescent="0.3">
      <c r="A209" s="23">
        <v>818</v>
      </c>
      <c r="B209" s="24">
        <v>40580</v>
      </c>
      <c r="C209" s="23">
        <v>1</v>
      </c>
      <c r="D209" s="23">
        <v>0</v>
      </c>
      <c r="E209" s="23">
        <v>2</v>
      </c>
      <c r="F209" s="23">
        <v>12</v>
      </c>
      <c r="G209" s="23" t="b">
        <v>0</v>
      </c>
      <c r="H209" s="23">
        <v>0</v>
      </c>
      <c r="I209" s="23">
        <v>1</v>
      </c>
      <c r="J209" s="23">
        <v>0.34</v>
      </c>
      <c r="K209" s="23">
        <v>0.33329999999999999</v>
      </c>
      <c r="L209" s="23">
        <v>0.46</v>
      </c>
      <c r="M209" s="23">
        <v>0</v>
      </c>
      <c r="N209" s="23">
        <v>48</v>
      </c>
      <c r="O209" s="23">
        <v>126</v>
      </c>
      <c r="P209" s="23">
        <v>174</v>
      </c>
    </row>
    <row r="210" spans="1:16" ht="15.75" customHeight="1" x14ac:dyDescent="0.3">
      <c r="A210" s="23">
        <v>819</v>
      </c>
      <c r="B210" s="24">
        <v>40580</v>
      </c>
      <c r="C210" s="23">
        <v>1</v>
      </c>
      <c r="D210" s="23">
        <v>0</v>
      </c>
      <c r="E210" s="23">
        <v>2</v>
      </c>
      <c r="F210" s="23">
        <v>13</v>
      </c>
      <c r="G210" s="23" t="b">
        <v>0</v>
      </c>
      <c r="H210" s="23">
        <v>0</v>
      </c>
      <c r="I210" s="23">
        <v>1</v>
      </c>
      <c r="J210" s="23">
        <v>0.34</v>
      </c>
      <c r="K210" s="23">
        <v>0.36359999999999998</v>
      </c>
      <c r="L210" s="23">
        <v>0.46</v>
      </c>
      <c r="M210" s="23">
        <v>0</v>
      </c>
      <c r="N210" s="23">
        <v>47</v>
      </c>
      <c r="O210" s="23">
        <v>135</v>
      </c>
      <c r="P210" s="23">
        <v>182</v>
      </c>
    </row>
    <row r="211" spans="1:16" ht="15.75" customHeight="1" x14ac:dyDescent="0.3">
      <c r="A211" s="23">
        <v>820</v>
      </c>
      <c r="B211" s="24">
        <v>40580</v>
      </c>
      <c r="C211" s="23">
        <v>1</v>
      </c>
      <c r="D211" s="23">
        <v>0</v>
      </c>
      <c r="E211" s="23">
        <v>2</v>
      </c>
      <c r="F211" s="23">
        <v>14</v>
      </c>
      <c r="G211" s="23" t="b">
        <v>0</v>
      </c>
      <c r="H211" s="23">
        <v>0</v>
      </c>
      <c r="I211" s="23">
        <v>1</v>
      </c>
      <c r="J211" s="23">
        <v>0.34</v>
      </c>
      <c r="K211" s="23">
        <v>0.34849999999999998</v>
      </c>
      <c r="L211" s="23">
        <v>0.46</v>
      </c>
      <c r="M211" s="23">
        <v>8.9599999999999999E-2</v>
      </c>
      <c r="N211" s="23">
        <v>47</v>
      </c>
      <c r="O211" s="23">
        <v>114</v>
      </c>
      <c r="P211" s="23">
        <v>161</v>
      </c>
    </row>
    <row r="212" spans="1:16" ht="15.75" customHeight="1" x14ac:dyDescent="0.3">
      <c r="A212" s="23">
        <v>821</v>
      </c>
      <c r="B212" s="24">
        <v>40580</v>
      </c>
      <c r="C212" s="23">
        <v>1</v>
      </c>
      <c r="D212" s="23">
        <v>0</v>
      </c>
      <c r="E212" s="23">
        <v>2</v>
      </c>
      <c r="F212" s="23">
        <v>15</v>
      </c>
      <c r="G212" s="23" t="b">
        <v>0</v>
      </c>
      <c r="H212" s="23">
        <v>0</v>
      </c>
      <c r="I212" s="23">
        <v>1</v>
      </c>
      <c r="J212" s="23">
        <v>0.34</v>
      </c>
      <c r="K212" s="23">
        <v>0.34849999999999998</v>
      </c>
      <c r="L212" s="23">
        <v>0.46</v>
      </c>
      <c r="M212" s="23">
        <v>8.9599999999999999E-2</v>
      </c>
      <c r="N212" s="23">
        <v>52</v>
      </c>
      <c r="O212" s="23">
        <v>130</v>
      </c>
      <c r="P212" s="23">
        <v>182</v>
      </c>
    </row>
    <row r="213" spans="1:16" ht="15.75" customHeight="1" x14ac:dyDescent="0.3">
      <c r="A213" s="23">
        <v>822</v>
      </c>
      <c r="B213" s="24">
        <v>40580</v>
      </c>
      <c r="C213" s="23">
        <v>1</v>
      </c>
      <c r="D213" s="23">
        <v>0</v>
      </c>
      <c r="E213" s="23">
        <v>2</v>
      </c>
      <c r="F213" s="23">
        <v>16</v>
      </c>
      <c r="G213" s="23" t="b">
        <v>0</v>
      </c>
      <c r="H213" s="23">
        <v>0</v>
      </c>
      <c r="I213" s="23">
        <v>1</v>
      </c>
      <c r="J213" s="23">
        <v>0.34</v>
      </c>
      <c r="K213" s="23">
        <v>0.34849999999999998</v>
      </c>
      <c r="L213" s="23">
        <v>0.49</v>
      </c>
      <c r="M213" s="23">
        <v>0.1045</v>
      </c>
      <c r="N213" s="23">
        <v>42</v>
      </c>
      <c r="O213" s="23">
        <v>115</v>
      </c>
      <c r="P213" s="23">
        <v>157</v>
      </c>
    </row>
    <row r="214" spans="1:16" ht="15.75" customHeight="1" x14ac:dyDescent="0.3">
      <c r="A214" s="23">
        <v>823</v>
      </c>
      <c r="B214" s="24">
        <v>40580</v>
      </c>
      <c r="C214" s="23">
        <v>1</v>
      </c>
      <c r="D214" s="23">
        <v>0</v>
      </c>
      <c r="E214" s="23">
        <v>2</v>
      </c>
      <c r="F214" s="23">
        <v>17</v>
      </c>
      <c r="G214" s="23" t="b">
        <v>0</v>
      </c>
      <c r="H214" s="23">
        <v>0</v>
      </c>
      <c r="I214" s="23">
        <v>1</v>
      </c>
      <c r="J214" s="23">
        <v>0.34</v>
      </c>
      <c r="K214" s="23">
        <v>0.36359999999999998</v>
      </c>
      <c r="L214" s="23">
        <v>0.46</v>
      </c>
      <c r="M214" s="23">
        <v>0</v>
      </c>
      <c r="N214" s="23">
        <v>24</v>
      </c>
      <c r="O214" s="23">
        <v>97</v>
      </c>
      <c r="P214" s="23">
        <v>121</v>
      </c>
    </row>
    <row r="215" spans="1:16" ht="15.75" customHeight="1" x14ac:dyDescent="0.3">
      <c r="A215" s="23">
        <v>824</v>
      </c>
      <c r="B215" s="24">
        <v>40580</v>
      </c>
      <c r="C215" s="23">
        <v>1</v>
      </c>
      <c r="D215" s="23">
        <v>0</v>
      </c>
      <c r="E215" s="23">
        <v>2</v>
      </c>
      <c r="F215" s="23">
        <v>18</v>
      </c>
      <c r="G215" s="23" t="b">
        <v>0</v>
      </c>
      <c r="H215" s="23">
        <v>0</v>
      </c>
      <c r="I215" s="23">
        <v>1</v>
      </c>
      <c r="J215" s="23">
        <v>0.3</v>
      </c>
      <c r="K215" s="23">
        <v>0.30299999999999999</v>
      </c>
      <c r="L215" s="23">
        <v>0.56000000000000005</v>
      </c>
      <c r="M215" s="23">
        <v>0.16420000000000001</v>
      </c>
      <c r="N215" s="23">
        <v>13</v>
      </c>
      <c r="O215" s="23">
        <v>65</v>
      </c>
      <c r="P215" s="23">
        <v>78</v>
      </c>
    </row>
    <row r="216" spans="1:16" ht="15.75" customHeight="1" x14ac:dyDescent="0.3">
      <c r="A216" s="23">
        <v>825</v>
      </c>
      <c r="B216" s="24">
        <v>40580</v>
      </c>
      <c r="C216" s="23">
        <v>1</v>
      </c>
      <c r="D216" s="23">
        <v>0</v>
      </c>
      <c r="E216" s="23">
        <v>2</v>
      </c>
      <c r="F216" s="23">
        <v>19</v>
      </c>
      <c r="G216" s="23" t="b">
        <v>0</v>
      </c>
      <c r="H216" s="23">
        <v>0</v>
      </c>
      <c r="I216" s="23">
        <v>1</v>
      </c>
      <c r="J216" s="23">
        <v>0.28000000000000003</v>
      </c>
      <c r="K216" s="23">
        <v>0.28789999999999999</v>
      </c>
      <c r="L216" s="23">
        <v>0.61</v>
      </c>
      <c r="M216" s="23">
        <v>0.1343</v>
      </c>
      <c r="N216" s="23">
        <v>1</v>
      </c>
      <c r="O216" s="23">
        <v>20</v>
      </c>
      <c r="P216" s="23">
        <v>21</v>
      </c>
    </row>
    <row r="217" spans="1:16" ht="15.75" customHeight="1" x14ac:dyDescent="0.3">
      <c r="A217" s="23">
        <v>826</v>
      </c>
      <c r="B217" s="24">
        <v>40580</v>
      </c>
      <c r="C217" s="23">
        <v>1</v>
      </c>
      <c r="D217" s="23">
        <v>0</v>
      </c>
      <c r="E217" s="23">
        <v>2</v>
      </c>
      <c r="F217" s="23">
        <v>20</v>
      </c>
      <c r="G217" s="23" t="b">
        <v>0</v>
      </c>
      <c r="H217" s="23">
        <v>0</v>
      </c>
      <c r="I217" s="23">
        <v>1</v>
      </c>
      <c r="J217" s="23">
        <v>0.28000000000000003</v>
      </c>
      <c r="K217" s="23">
        <v>0.28789999999999999</v>
      </c>
      <c r="L217" s="23">
        <v>0.61</v>
      </c>
      <c r="M217" s="23">
        <v>0.1045</v>
      </c>
      <c r="N217" s="23">
        <v>5</v>
      </c>
      <c r="O217" s="23">
        <v>21</v>
      </c>
      <c r="P217" s="23">
        <v>26</v>
      </c>
    </row>
    <row r="218" spans="1:16" ht="15.75" customHeight="1" x14ac:dyDescent="0.3">
      <c r="A218" s="23">
        <v>827</v>
      </c>
      <c r="B218" s="24">
        <v>40580</v>
      </c>
      <c r="C218" s="23">
        <v>1</v>
      </c>
      <c r="D218" s="23">
        <v>0</v>
      </c>
      <c r="E218" s="23">
        <v>2</v>
      </c>
      <c r="F218" s="23">
        <v>21</v>
      </c>
      <c r="G218" s="23" t="b">
        <v>0</v>
      </c>
      <c r="H218" s="23">
        <v>0</v>
      </c>
      <c r="I218" s="23">
        <v>1</v>
      </c>
      <c r="J218" s="23">
        <v>0.26</v>
      </c>
      <c r="K218" s="23">
        <v>0.30299999999999999</v>
      </c>
      <c r="L218" s="23">
        <v>0.6</v>
      </c>
      <c r="M218" s="23">
        <v>0</v>
      </c>
      <c r="N218" s="23">
        <v>5</v>
      </c>
      <c r="O218" s="23">
        <v>22</v>
      </c>
      <c r="P218" s="23">
        <v>27</v>
      </c>
    </row>
    <row r="219" spans="1:16" ht="15.75" customHeight="1" x14ac:dyDescent="0.3">
      <c r="A219" s="23">
        <v>828</v>
      </c>
      <c r="B219" s="24">
        <v>40580</v>
      </c>
      <c r="C219" s="23">
        <v>1</v>
      </c>
      <c r="D219" s="23">
        <v>0</v>
      </c>
      <c r="E219" s="23">
        <v>2</v>
      </c>
      <c r="F219" s="23">
        <v>22</v>
      </c>
      <c r="G219" s="23" t="b">
        <v>0</v>
      </c>
      <c r="H219" s="23">
        <v>0</v>
      </c>
      <c r="I219" s="23">
        <v>1</v>
      </c>
      <c r="J219" s="23">
        <v>0.26</v>
      </c>
      <c r="K219" s="23">
        <v>0.30299999999999999</v>
      </c>
      <c r="L219" s="23">
        <v>0.6</v>
      </c>
      <c r="M219" s="23">
        <v>0</v>
      </c>
      <c r="N219" s="23">
        <v>5</v>
      </c>
      <c r="O219" s="23">
        <v>57</v>
      </c>
      <c r="P219" s="23">
        <v>62</v>
      </c>
    </row>
    <row r="220" spans="1:16" ht="15.75" customHeight="1" x14ac:dyDescent="0.3">
      <c r="A220" s="23">
        <v>829</v>
      </c>
      <c r="B220" s="24">
        <v>40580</v>
      </c>
      <c r="C220" s="23">
        <v>1</v>
      </c>
      <c r="D220" s="23">
        <v>0</v>
      </c>
      <c r="E220" s="23">
        <v>2</v>
      </c>
      <c r="F220" s="23">
        <v>23</v>
      </c>
      <c r="G220" s="23" t="b">
        <v>0</v>
      </c>
      <c r="H220" s="23">
        <v>0</v>
      </c>
      <c r="I220" s="23">
        <v>1</v>
      </c>
      <c r="J220" s="23">
        <v>0.24</v>
      </c>
      <c r="K220" s="23">
        <v>0.28789999999999999</v>
      </c>
      <c r="L220" s="23">
        <v>0.65</v>
      </c>
      <c r="M220" s="23">
        <v>0</v>
      </c>
      <c r="N220" s="23">
        <v>4</v>
      </c>
      <c r="O220" s="23">
        <v>26</v>
      </c>
      <c r="P220" s="23">
        <v>30</v>
      </c>
    </row>
    <row r="221" spans="1:16" ht="15.75" customHeight="1" x14ac:dyDescent="0.3">
      <c r="A221" s="23">
        <v>830</v>
      </c>
      <c r="B221" s="24">
        <v>40581</v>
      </c>
      <c r="C221" s="23">
        <v>1</v>
      </c>
      <c r="D221" s="23">
        <v>0</v>
      </c>
      <c r="E221" s="23">
        <v>2</v>
      </c>
      <c r="F221" s="23">
        <v>0</v>
      </c>
      <c r="G221" s="23" t="b">
        <v>0</v>
      </c>
      <c r="H221" s="23">
        <v>1</v>
      </c>
      <c r="I221" s="23">
        <v>1</v>
      </c>
      <c r="J221" s="23">
        <v>0.24</v>
      </c>
      <c r="K221" s="23">
        <v>0.28789999999999999</v>
      </c>
      <c r="L221" s="23">
        <v>0.65</v>
      </c>
      <c r="M221" s="23">
        <v>0</v>
      </c>
      <c r="N221" s="23">
        <v>1</v>
      </c>
      <c r="O221" s="23">
        <v>14</v>
      </c>
      <c r="P221" s="23">
        <v>15</v>
      </c>
    </row>
    <row r="222" spans="1:16" ht="15.75" customHeight="1" x14ac:dyDescent="0.3">
      <c r="A222" s="23">
        <v>831</v>
      </c>
      <c r="B222" s="24">
        <v>40581</v>
      </c>
      <c r="C222" s="23">
        <v>1</v>
      </c>
      <c r="D222" s="23">
        <v>0</v>
      </c>
      <c r="E222" s="23">
        <v>2</v>
      </c>
      <c r="F222" s="23">
        <v>1</v>
      </c>
      <c r="G222" s="23" t="b">
        <v>0</v>
      </c>
      <c r="H222" s="23">
        <v>1</v>
      </c>
      <c r="I222" s="23">
        <v>1</v>
      </c>
      <c r="J222" s="23">
        <v>0.22</v>
      </c>
      <c r="K222" s="23">
        <v>0.2727</v>
      </c>
      <c r="L222" s="23">
        <v>0.75</v>
      </c>
      <c r="M222" s="23">
        <v>0</v>
      </c>
      <c r="N222" s="23">
        <v>1</v>
      </c>
      <c r="O222" s="23">
        <v>4</v>
      </c>
      <c r="P222" s="23">
        <v>5</v>
      </c>
    </row>
    <row r="223" spans="1:16" ht="15.75" customHeight="1" x14ac:dyDescent="0.3">
      <c r="A223" s="23">
        <v>832</v>
      </c>
      <c r="B223" s="24">
        <v>40581</v>
      </c>
      <c r="C223" s="23">
        <v>1</v>
      </c>
      <c r="D223" s="23">
        <v>0</v>
      </c>
      <c r="E223" s="23">
        <v>2</v>
      </c>
      <c r="F223" s="23">
        <v>2</v>
      </c>
      <c r="G223" s="23" t="b">
        <v>0</v>
      </c>
      <c r="H223" s="23">
        <v>1</v>
      </c>
      <c r="I223" s="23">
        <v>1</v>
      </c>
      <c r="J223" s="23">
        <v>0.2</v>
      </c>
      <c r="K223" s="23">
        <v>0.2576</v>
      </c>
      <c r="L223" s="23">
        <v>0.8</v>
      </c>
      <c r="M223" s="23">
        <v>0</v>
      </c>
      <c r="N223" s="23">
        <v>0</v>
      </c>
      <c r="O223" s="23">
        <v>3</v>
      </c>
      <c r="P223" s="23">
        <v>3</v>
      </c>
    </row>
    <row r="224" spans="1:16" ht="15.75" customHeight="1" x14ac:dyDescent="0.3">
      <c r="A224" s="23">
        <v>833</v>
      </c>
      <c r="B224" s="24">
        <v>40581</v>
      </c>
      <c r="C224" s="23">
        <v>1</v>
      </c>
      <c r="D224" s="23">
        <v>0</v>
      </c>
      <c r="E224" s="23">
        <v>2</v>
      </c>
      <c r="F224" s="23">
        <v>3</v>
      </c>
      <c r="G224" s="23" t="b">
        <v>0</v>
      </c>
      <c r="H224" s="23">
        <v>1</v>
      </c>
      <c r="I224" s="23">
        <v>1</v>
      </c>
      <c r="J224" s="23">
        <v>0.2</v>
      </c>
      <c r="K224" s="23">
        <v>0.2576</v>
      </c>
      <c r="L224" s="23">
        <v>0.86</v>
      </c>
      <c r="M224" s="23">
        <v>0</v>
      </c>
      <c r="N224" s="23">
        <v>0</v>
      </c>
      <c r="O224" s="23">
        <v>1</v>
      </c>
      <c r="P224" s="23">
        <v>1</v>
      </c>
    </row>
    <row r="225" spans="1:16" ht="15.75" customHeight="1" x14ac:dyDescent="0.3">
      <c r="A225" s="23">
        <v>834</v>
      </c>
      <c r="B225" s="24">
        <v>40581</v>
      </c>
      <c r="C225" s="23">
        <v>1</v>
      </c>
      <c r="D225" s="23">
        <v>0</v>
      </c>
      <c r="E225" s="23">
        <v>2</v>
      </c>
      <c r="F225" s="23">
        <v>4</v>
      </c>
      <c r="G225" s="23" t="b">
        <v>0</v>
      </c>
      <c r="H225" s="23">
        <v>1</v>
      </c>
      <c r="I225" s="23">
        <v>1</v>
      </c>
      <c r="J225" s="23">
        <v>0.2</v>
      </c>
      <c r="K225" s="23">
        <v>0.2576</v>
      </c>
      <c r="L225" s="23">
        <v>0.86</v>
      </c>
      <c r="M225" s="23">
        <v>0</v>
      </c>
      <c r="N225" s="23">
        <v>1</v>
      </c>
      <c r="O225" s="23">
        <v>1</v>
      </c>
      <c r="P225" s="23">
        <v>2</v>
      </c>
    </row>
    <row r="226" spans="1:16" ht="15.75" customHeight="1" x14ac:dyDescent="0.3">
      <c r="A226" s="23">
        <v>835</v>
      </c>
      <c r="B226" s="24">
        <v>40581</v>
      </c>
      <c r="C226" s="23">
        <v>1</v>
      </c>
      <c r="D226" s="23">
        <v>0</v>
      </c>
      <c r="E226" s="23">
        <v>2</v>
      </c>
      <c r="F226" s="23">
        <v>5</v>
      </c>
      <c r="G226" s="23" t="b">
        <v>0</v>
      </c>
      <c r="H226" s="23">
        <v>1</v>
      </c>
      <c r="I226" s="23">
        <v>1</v>
      </c>
      <c r="J226" s="23">
        <v>0.2</v>
      </c>
      <c r="K226" s="23">
        <v>0.2576</v>
      </c>
      <c r="L226" s="23">
        <v>0.86</v>
      </c>
      <c r="M226" s="23">
        <v>0</v>
      </c>
      <c r="N226" s="23">
        <v>1</v>
      </c>
      <c r="O226" s="23">
        <v>9</v>
      </c>
      <c r="P226" s="23">
        <v>10</v>
      </c>
    </row>
    <row r="227" spans="1:16" ht="15.75" customHeight="1" x14ac:dyDescent="0.3">
      <c r="A227" s="23">
        <v>836</v>
      </c>
      <c r="B227" s="24">
        <v>40581</v>
      </c>
      <c r="C227" s="23">
        <v>1</v>
      </c>
      <c r="D227" s="23">
        <v>0</v>
      </c>
      <c r="E227" s="23">
        <v>2</v>
      </c>
      <c r="F227" s="23">
        <v>6</v>
      </c>
      <c r="G227" s="23" t="b">
        <v>0</v>
      </c>
      <c r="H227" s="23">
        <v>1</v>
      </c>
      <c r="I227" s="23">
        <v>1</v>
      </c>
      <c r="J227" s="23">
        <v>0.18</v>
      </c>
      <c r="K227" s="23">
        <v>0.2424</v>
      </c>
      <c r="L227" s="23">
        <v>0.93</v>
      </c>
      <c r="M227" s="23">
        <v>0</v>
      </c>
      <c r="N227" s="23">
        <v>1</v>
      </c>
      <c r="O227" s="23">
        <v>29</v>
      </c>
      <c r="P227" s="23">
        <v>30</v>
      </c>
    </row>
    <row r="228" spans="1:16" ht="15.75" customHeight="1" x14ac:dyDescent="0.3">
      <c r="A228" s="23">
        <v>837</v>
      </c>
      <c r="B228" s="24">
        <v>40581</v>
      </c>
      <c r="C228" s="23">
        <v>1</v>
      </c>
      <c r="D228" s="23">
        <v>0</v>
      </c>
      <c r="E228" s="23">
        <v>2</v>
      </c>
      <c r="F228" s="23">
        <v>7</v>
      </c>
      <c r="G228" s="23" t="b">
        <v>0</v>
      </c>
      <c r="H228" s="23">
        <v>1</v>
      </c>
      <c r="I228" s="23">
        <v>1</v>
      </c>
      <c r="J228" s="23">
        <v>0.18</v>
      </c>
      <c r="K228" s="23">
        <v>0.2424</v>
      </c>
      <c r="L228" s="23">
        <v>0.86</v>
      </c>
      <c r="M228" s="23">
        <v>0</v>
      </c>
      <c r="N228" s="23">
        <v>6</v>
      </c>
      <c r="O228" s="23">
        <v>89</v>
      </c>
      <c r="P228" s="23">
        <v>95</v>
      </c>
    </row>
    <row r="229" spans="1:16" ht="15.75" customHeight="1" x14ac:dyDescent="0.3">
      <c r="A229" s="23">
        <v>838</v>
      </c>
      <c r="B229" s="24">
        <v>40581</v>
      </c>
      <c r="C229" s="23">
        <v>1</v>
      </c>
      <c r="D229" s="23">
        <v>0</v>
      </c>
      <c r="E229" s="23">
        <v>2</v>
      </c>
      <c r="F229" s="23">
        <v>8</v>
      </c>
      <c r="G229" s="23" t="b">
        <v>0</v>
      </c>
      <c r="H229" s="23">
        <v>1</v>
      </c>
      <c r="I229" s="23">
        <v>2</v>
      </c>
      <c r="J229" s="23">
        <v>0.16</v>
      </c>
      <c r="K229" s="23">
        <v>0.2273</v>
      </c>
      <c r="L229" s="23">
        <v>1</v>
      </c>
      <c r="M229" s="23">
        <v>0</v>
      </c>
      <c r="N229" s="23">
        <v>7</v>
      </c>
      <c r="O229" s="23">
        <v>223</v>
      </c>
      <c r="P229" s="23">
        <v>230</v>
      </c>
    </row>
    <row r="230" spans="1:16" ht="15.75" customHeight="1" x14ac:dyDescent="0.3">
      <c r="A230" s="23">
        <v>839</v>
      </c>
      <c r="B230" s="24">
        <v>40581</v>
      </c>
      <c r="C230" s="23">
        <v>1</v>
      </c>
      <c r="D230" s="23">
        <v>0</v>
      </c>
      <c r="E230" s="23">
        <v>2</v>
      </c>
      <c r="F230" s="23">
        <v>9</v>
      </c>
      <c r="G230" s="23" t="b">
        <v>0</v>
      </c>
      <c r="H230" s="23">
        <v>1</v>
      </c>
      <c r="I230" s="23">
        <v>1</v>
      </c>
      <c r="J230" s="23">
        <v>0.22</v>
      </c>
      <c r="K230" s="23">
        <v>0.2727</v>
      </c>
      <c r="L230" s="23">
        <v>0.8</v>
      </c>
      <c r="M230" s="23">
        <v>0</v>
      </c>
      <c r="N230" s="23">
        <v>3</v>
      </c>
      <c r="O230" s="23">
        <v>115</v>
      </c>
      <c r="P230" s="23">
        <v>118</v>
      </c>
    </row>
    <row r="231" spans="1:16" ht="15.75" customHeight="1" x14ac:dyDescent="0.3">
      <c r="A231" s="23">
        <v>840</v>
      </c>
      <c r="B231" s="24">
        <v>40581</v>
      </c>
      <c r="C231" s="23">
        <v>1</v>
      </c>
      <c r="D231" s="23">
        <v>0</v>
      </c>
      <c r="E231" s="23">
        <v>2</v>
      </c>
      <c r="F231" s="23">
        <v>10</v>
      </c>
      <c r="G231" s="23" t="b">
        <v>0</v>
      </c>
      <c r="H231" s="23">
        <v>1</v>
      </c>
      <c r="I231" s="23">
        <v>1</v>
      </c>
      <c r="J231" s="23">
        <v>0.24</v>
      </c>
      <c r="K231" s="23">
        <v>0.2576</v>
      </c>
      <c r="L231" s="23">
        <v>0.75</v>
      </c>
      <c r="M231" s="23">
        <v>0.1045</v>
      </c>
      <c r="N231" s="23">
        <v>6</v>
      </c>
      <c r="O231" s="23">
        <v>49</v>
      </c>
      <c r="P231" s="23">
        <v>55</v>
      </c>
    </row>
    <row r="232" spans="1:16" ht="15.75" customHeight="1" x14ac:dyDescent="0.3">
      <c r="A232" s="23">
        <v>841</v>
      </c>
      <c r="B232" s="24">
        <v>40581</v>
      </c>
      <c r="C232" s="23">
        <v>1</v>
      </c>
      <c r="D232" s="23">
        <v>0</v>
      </c>
      <c r="E232" s="23">
        <v>2</v>
      </c>
      <c r="F232" s="23">
        <v>11</v>
      </c>
      <c r="G232" s="23" t="b">
        <v>0</v>
      </c>
      <c r="H232" s="23">
        <v>1</v>
      </c>
      <c r="I232" s="23">
        <v>1</v>
      </c>
      <c r="J232" s="23">
        <v>0.3</v>
      </c>
      <c r="K232" s="23">
        <v>0.31819999999999998</v>
      </c>
      <c r="L232" s="23">
        <v>0.65</v>
      </c>
      <c r="M232" s="23">
        <v>8.9599999999999999E-2</v>
      </c>
      <c r="N232" s="23">
        <v>11</v>
      </c>
      <c r="O232" s="23">
        <v>36</v>
      </c>
      <c r="P232" s="23">
        <v>47</v>
      </c>
    </row>
    <row r="233" spans="1:16" ht="15.75" customHeight="1" x14ac:dyDescent="0.3">
      <c r="A233" s="23">
        <v>842</v>
      </c>
      <c r="B233" s="24">
        <v>40581</v>
      </c>
      <c r="C233" s="23">
        <v>1</v>
      </c>
      <c r="D233" s="23">
        <v>0</v>
      </c>
      <c r="E233" s="23">
        <v>2</v>
      </c>
      <c r="F233" s="23">
        <v>12</v>
      </c>
      <c r="G233" s="23" t="b">
        <v>0</v>
      </c>
      <c r="H233" s="23">
        <v>1</v>
      </c>
      <c r="I233" s="23">
        <v>2</v>
      </c>
      <c r="J233" s="23">
        <v>0.32</v>
      </c>
      <c r="K233" s="23">
        <v>0.34849999999999998</v>
      </c>
      <c r="L233" s="23">
        <v>0.62</v>
      </c>
      <c r="M233" s="23">
        <v>0</v>
      </c>
      <c r="N233" s="23">
        <v>7</v>
      </c>
      <c r="O233" s="23">
        <v>59</v>
      </c>
      <c r="P233" s="23">
        <v>66</v>
      </c>
    </row>
    <row r="234" spans="1:16" ht="15.75" customHeight="1" x14ac:dyDescent="0.3">
      <c r="A234" s="23">
        <v>843</v>
      </c>
      <c r="B234" s="24">
        <v>40581</v>
      </c>
      <c r="C234" s="23">
        <v>1</v>
      </c>
      <c r="D234" s="23">
        <v>0</v>
      </c>
      <c r="E234" s="23">
        <v>2</v>
      </c>
      <c r="F234" s="23">
        <v>13</v>
      </c>
      <c r="G234" s="23" t="b">
        <v>0</v>
      </c>
      <c r="H234" s="23">
        <v>1</v>
      </c>
      <c r="I234" s="23">
        <v>2</v>
      </c>
      <c r="J234" s="23">
        <v>0.36</v>
      </c>
      <c r="K234" s="23">
        <v>0.36359999999999998</v>
      </c>
      <c r="L234" s="23">
        <v>0.56999999999999995</v>
      </c>
      <c r="M234" s="23">
        <v>8.9599999999999999E-2</v>
      </c>
      <c r="N234" s="23">
        <v>10</v>
      </c>
      <c r="O234" s="23">
        <v>54</v>
      </c>
      <c r="P234" s="23">
        <v>64</v>
      </c>
    </row>
    <row r="235" spans="1:16" ht="15.75" customHeight="1" x14ac:dyDescent="0.3">
      <c r="A235" s="23">
        <v>844</v>
      </c>
      <c r="B235" s="24">
        <v>40581</v>
      </c>
      <c r="C235" s="23">
        <v>1</v>
      </c>
      <c r="D235" s="23">
        <v>0</v>
      </c>
      <c r="E235" s="23">
        <v>2</v>
      </c>
      <c r="F235" s="23">
        <v>14</v>
      </c>
      <c r="G235" s="23" t="b">
        <v>0</v>
      </c>
      <c r="H235" s="23">
        <v>1</v>
      </c>
      <c r="I235" s="23">
        <v>2</v>
      </c>
      <c r="J235" s="23">
        <v>0.36</v>
      </c>
      <c r="K235" s="23">
        <v>0.36359999999999998</v>
      </c>
      <c r="L235" s="23">
        <v>0.56999999999999995</v>
      </c>
      <c r="M235" s="23">
        <v>8.9599999999999999E-2</v>
      </c>
      <c r="N235" s="23">
        <v>8</v>
      </c>
      <c r="O235" s="23">
        <v>52</v>
      </c>
      <c r="P235" s="23">
        <v>60</v>
      </c>
    </row>
    <row r="236" spans="1:16" ht="15.75" customHeight="1" x14ac:dyDescent="0.3">
      <c r="A236" s="23">
        <v>845</v>
      </c>
      <c r="B236" s="24">
        <v>40581</v>
      </c>
      <c r="C236" s="23">
        <v>1</v>
      </c>
      <c r="D236" s="23">
        <v>0</v>
      </c>
      <c r="E236" s="23">
        <v>2</v>
      </c>
      <c r="F236" s="23">
        <v>15</v>
      </c>
      <c r="G236" s="23" t="b">
        <v>0</v>
      </c>
      <c r="H236" s="23">
        <v>1</v>
      </c>
      <c r="I236" s="23">
        <v>2</v>
      </c>
      <c r="J236" s="23">
        <v>0.38</v>
      </c>
      <c r="K236" s="23">
        <v>0.39389999999999997</v>
      </c>
      <c r="L236" s="23">
        <v>0.54</v>
      </c>
      <c r="M236" s="23">
        <v>8.9599999999999999E-2</v>
      </c>
      <c r="N236" s="23">
        <v>4</v>
      </c>
      <c r="O236" s="23">
        <v>46</v>
      </c>
      <c r="P236" s="23">
        <v>50</v>
      </c>
    </row>
    <row r="237" spans="1:16" ht="15.75" customHeight="1" x14ac:dyDescent="0.3">
      <c r="A237" s="23">
        <v>846</v>
      </c>
      <c r="B237" s="24">
        <v>40581</v>
      </c>
      <c r="C237" s="23">
        <v>1</v>
      </c>
      <c r="D237" s="23">
        <v>0</v>
      </c>
      <c r="E237" s="23">
        <v>2</v>
      </c>
      <c r="F237" s="23">
        <v>16</v>
      </c>
      <c r="G237" s="23" t="b">
        <v>0</v>
      </c>
      <c r="H237" s="23">
        <v>1</v>
      </c>
      <c r="I237" s="23">
        <v>2</v>
      </c>
      <c r="J237" s="23">
        <v>0.36</v>
      </c>
      <c r="K237" s="23">
        <v>0.34849999999999998</v>
      </c>
      <c r="L237" s="23">
        <v>0.56999999999999995</v>
      </c>
      <c r="M237" s="23">
        <v>0.1343</v>
      </c>
      <c r="N237" s="23">
        <v>16</v>
      </c>
      <c r="O237" s="23">
        <v>98</v>
      </c>
      <c r="P237" s="23">
        <v>114</v>
      </c>
    </row>
    <row r="238" spans="1:16" ht="15.75" customHeight="1" x14ac:dyDescent="0.3">
      <c r="A238" s="23">
        <v>847</v>
      </c>
      <c r="B238" s="24">
        <v>40581</v>
      </c>
      <c r="C238" s="23">
        <v>1</v>
      </c>
      <c r="D238" s="23">
        <v>0</v>
      </c>
      <c r="E238" s="23">
        <v>2</v>
      </c>
      <c r="F238" s="23">
        <v>17</v>
      </c>
      <c r="G238" s="23" t="b">
        <v>0</v>
      </c>
      <c r="H238" s="23">
        <v>1</v>
      </c>
      <c r="I238" s="23">
        <v>2</v>
      </c>
      <c r="J238" s="23">
        <v>0.32</v>
      </c>
      <c r="K238" s="23">
        <v>0.31819999999999998</v>
      </c>
      <c r="L238" s="23">
        <v>0.7</v>
      </c>
      <c r="M238" s="23">
        <v>0.16420000000000001</v>
      </c>
      <c r="N238" s="23">
        <v>9</v>
      </c>
      <c r="O238" s="23">
        <v>207</v>
      </c>
      <c r="P238" s="23">
        <v>216</v>
      </c>
    </row>
    <row r="239" spans="1:16" ht="15.75" customHeight="1" x14ac:dyDescent="0.3">
      <c r="A239" s="23">
        <v>848</v>
      </c>
      <c r="B239" s="24">
        <v>40581</v>
      </c>
      <c r="C239" s="23">
        <v>1</v>
      </c>
      <c r="D239" s="23">
        <v>0</v>
      </c>
      <c r="E239" s="23">
        <v>2</v>
      </c>
      <c r="F239" s="23">
        <v>18</v>
      </c>
      <c r="G239" s="23" t="b">
        <v>0</v>
      </c>
      <c r="H239" s="23">
        <v>1</v>
      </c>
      <c r="I239" s="23">
        <v>2</v>
      </c>
      <c r="J239" s="23">
        <v>0.34</v>
      </c>
      <c r="K239" s="23">
        <v>0.33329999999999999</v>
      </c>
      <c r="L239" s="23">
        <v>0.66</v>
      </c>
      <c r="M239" s="23">
        <v>0.1343</v>
      </c>
      <c r="N239" s="23">
        <v>5</v>
      </c>
      <c r="O239" s="23">
        <v>170</v>
      </c>
      <c r="P239" s="23">
        <v>175</v>
      </c>
    </row>
    <row r="240" spans="1:16" ht="15.75" customHeight="1" x14ac:dyDescent="0.3">
      <c r="A240" s="23">
        <v>849</v>
      </c>
      <c r="B240" s="24">
        <v>40581</v>
      </c>
      <c r="C240" s="23">
        <v>1</v>
      </c>
      <c r="D240" s="23">
        <v>0</v>
      </c>
      <c r="E240" s="23">
        <v>2</v>
      </c>
      <c r="F240" s="23">
        <v>19</v>
      </c>
      <c r="G240" s="23" t="b">
        <v>0</v>
      </c>
      <c r="H240" s="23">
        <v>1</v>
      </c>
      <c r="I240" s="23">
        <v>2</v>
      </c>
      <c r="J240" s="23">
        <v>0.32</v>
      </c>
      <c r="K240" s="23">
        <v>0.34849999999999998</v>
      </c>
      <c r="L240" s="23">
        <v>0.7</v>
      </c>
      <c r="M240" s="23">
        <v>0</v>
      </c>
      <c r="N240" s="23">
        <v>5</v>
      </c>
      <c r="O240" s="23">
        <v>123</v>
      </c>
      <c r="P240" s="23">
        <v>128</v>
      </c>
    </row>
    <row r="241" spans="1:16" ht="15.75" customHeight="1" x14ac:dyDescent="0.3">
      <c r="A241" s="23">
        <v>850</v>
      </c>
      <c r="B241" s="24">
        <v>40581</v>
      </c>
      <c r="C241" s="23">
        <v>1</v>
      </c>
      <c r="D241" s="23">
        <v>0</v>
      </c>
      <c r="E241" s="23">
        <v>2</v>
      </c>
      <c r="F241" s="23">
        <v>20</v>
      </c>
      <c r="G241" s="23" t="b">
        <v>0</v>
      </c>
      <c r="H241" s="23">
        <v>1</v>
      </c>
      <c r="I241" s="23">
        <v>2</v>
      </c>
      <c r="J241" s="23">
        <v>0.32</v>
      </c>
      <c r="K241" s="23">
        <v>0.33329999999999999</v>
      </c>
      <c r="L241" s="23">
        <v>0.7</v>
      </c>
      <c r="M241" s="23">
        <v>0.1045</v>
      </c>
      <c r="N241" s="23">
        <v>6</v>
      </c>
      <c r="O241" s="23">
        <v>82</v>
      </c>
      <c r="P241" s="23">
        <v>88</v>
      </c>
    </row>
    <row r="242" spans="1:16" ht="15.75" customHeight="1" x14ac:dyDescent="0.3">
      <c r="A242" s="23">
        <v>851</v>
      </c>
      <c r="B242" s="24">
        <v>40581</v>
      </c>
      <c r="C242" s="23">
        <v>1</v>
      </c>
      <c r="D242" s="23">
        <v>0</v>
      </c>
      <c r="E242" s="23">
        <v>2</v>
      </c>
      <c r="F242" s="23">
        <v>21</v>
      </c>
      <c r="G242" s="23" t="b">
        <v>0</v>
      </c>
      <c r="H242" s="23">
        <v>1</v>
      </c>
      <c r="I242" s="23">
        <v>1</v>
      </c>
      <c r="J242" s="23">
        <v>0.32</v>
      </c>
      <c r="K242" s="23">
        <v>0.34849999999999998</v>
      </c>
      <c r="L242" s="23">
        <v>0.7</v>
      </c>
      <c r="M242" s="23">
        <v>0</v>
      </c>
      <c r="N242" s="23">
        <v>3</v>
      </c>
      <c r="O242" s="23">
        <v>75</v>
      </c>
      <c r="P242" s="23">
        <v>78</v>
      </c>
    </row>
    <row r="243" spans="1:16" ht="15.75" customHeight="1" x14ac:dyDescent="0.3">
      <c r="A243" s="23">
        <v>852</v>
      </c>
      <c r="B243" s="24">
        <v>40581</v>
      </c>
      <c r="C243" s="23">
        <v>1</v>
      </c>
      <c r="D243" s="23">
        <v>0</v>
      </c>
      <c r="E243" s="23">
        <v>2</v>
      </c>
      <c r="F243" s="23">
        <v>22</v>
      </c>
      <c r="G243" s="23" t="b">
        <v>0</v>
      </c>
      <c r="H243" s="23">
        <v>1</v>
      </c>
      <c r="I243" s="23">
        <v>1</v>
      </c>
      <c r="J243" s="23">
        <v>0.28000000000000003</v>
      </c>
      <c r="K243" s="23">
        <v>0.30299999999999999</v>
      </c>
      <c r="L243" s="23">
        <v>0.81</v>
      </c>
      <c r="M243" s="23">
        <v>8.9599999999999999E-2</v>
      </c>
      <c r="N243" s="23">
        <v>3</v>
      </c>
      <c r="O243" s="23">
        <v>34</v>
      </c>
      <c r="P243" s="23">
        <v>37</v>
      </c>
    </row>
    <row r="244" spans="1:16" ht="15.75" customHeight="1" x14ac:dyDescent="0.3">
      <c r="A244" s="23">
        <v>853</v>
      </c>
      <c r="B244" s="24">
        <v>40581</v>
      </c>
      <c r="C244" s="23">
        <v>1</v>
      </c>
      <c r="D244" s="23">
        <v>0</v>
      </c>
      <c r="E244" s="23">
        <v>2</v>
      </c>
      <c r="F244" s="23">
        <v>23</v>
      </c>
      <c r="G244" s="23" t="b">
        <v>0</v>
      </c>
      <c r="H244" s="23">
        <v>1</v>
      </c>
      <c r="I244" s="23">
        <v>2</v>
      </c>
      <c r="J244" s="23">
        <v>0.3</v>
      </c>
      <c r="K244" s="23">
        <v>0.33329999999999999</v>
      </c>
      <c r="L244" s="23">
        <v>0.81</v>
      </c>
      <c r="M244" s="23">
        <v>0</v>
      </c>
      <c r="N244" s="23">
        <v>6</v>
      </c>
      <c r="O244" s="23">
        <v>19</v>
      </c>
      <c r="P244" s="23">
        <v>25</v>
      </c>
    </row>
    <row r="245" spans="1:16" ht="15.75" customHeight="1" x14ac:dyDescent="0.3">
      <c r="A245" s="23">
        <v>854</v>
      </c>
      <c r="B245" s="24">
        <v>40582</v>
      </c>
      <c r="C245" s="23">
        <v>1</v>
      </c>
      <c r="D245" s="23">
        <v>0</v>
      </c>
      <c r="E245" s="23">
        <v>2</v>
      </c>
      <c r="F245" s="23">
        <v>0</v>
      </c>
      <c r="G245" s="23" t="b">
        <v>0</v>
      </c>
      <c r="H245" s="23">
        <v>2</v>
      </c>
      <c r="I245" s="23">
        <v>2</v>
      </c>
      <c r="J245" s="23">
        <v>0.28000000000000003</v>
      </c>
      <c r="K245" s="23">
        <v>0.31819999999999998</v>
      </c>
      <c r="L245" s="23">
        <v>0.87</v>
      </c>
      <c r="M245" s="23">
        <v>0</v>
      </c>
      <c r="N245" s="23">
        <v>4</v>
      </c>
      <c r="O245" s="23">
        <v>6</v>
      </c>
      <c r="P245" s="23">
        <v>10</v>
      </c>
    </row>
    <row r="246" spans="1:16" ht="15.75" customHeight="1" x14ac:dyDescent="0.3">
      <c r="A246" s="23">
        <v>855</v>
      </c>
      <c r="B246" s="24">
        <v>40582</v>
      </c>
      <c r="C246" s="23">
        <v>1</v>
      </c>
      <c r="D246" s="23">
        <v>0</v>
      </c>
      <c r="E246" s="23">
        <v>2</v>
      </c>
      <c r="F246" s="23">
        <v>1</v>
      </c>
      <c r="G246" s="23" t="b">
        <v>0</v>
      </c>
      <c r="H246" s="23">
        <v>2</v>
      </c>
      <c r="I246" s="23">
        <v>2</v>
      </c>
      <c r="J246" s="23">
        <v>0.28000000000000003</v>
      </c>
      <c r="K246" s="23">
        <v>0.31819999999999998</v>
      </c>
      <c r="L246" s="23">
        <v>0.87</v>
      </c>
      <c r="M246" s="23">
        <v>0</v>
      </c>
      <c r="N246" s="23">
        <v>0</v>
      </c>
      <c r="O246" s="23">
        <v>4</v>
      </c>
      <c r="P246" s="23">
        <v>4</v>
      </c>
    </row>
    <row r="247" spans="1:16" ht="15.75" customHeight="1" x14ac:dyDescent="0.3">
      <c r="A247" s="23">
        <v>856</v>
      </c>
      <c r="B247" s="24">
        <v>40582</v>
      </c>
      <c r="C247" s="23">
        <v>1</v>
      </c>
      <c r="D247" s="23">
        <v>0</v>
      </c>
      <c r="E247" s="23">
        <v>2</v>
      </c>
      <c r="F247" s="23">
        <v>2</v>
      </c>
      <c r="G247" s="23" t="b">
        <v>0</v>
      </c>
      <c r="H247" s="23">
        <v>2</v>
      </c>
      <c r="I247" s="23">
        <v>2</v>
      </c>
      <c r="J247" s="23">
        <v>0.26</v>
      </c>
      <c r="K247" s="23">
        <v>0.2727</v>
      </c>
      <c r="L247" s="23">
        <v>0.93</v>
      </c>
      <c r="M247" s="23">
        <v>0.1045</v>
      </c>
      <c r="N247" s="23">
        <v>1</v>
      </c>
      <c r="O247" s="23">
        <v>1</v>
      </c>
      <c r="P247" s="23">
        <v>2</v>
      </c>
    </row>
    <row r="248" spans="1:16" ht="15.75" customHeight="1" x14ac:dyDescent="0.3">
      <c r="A248" s="23">
        <v>857</v>
      </c>
      <c r="B248" s="24">
        <v>40582</v>
      </c>
      <c r="C248" s="23">
        <v>1</v>
      </c>
      <c r="D248" s="23">
        <v>0</v>
      </c>
      <c r="E248" s="23">
        <v>2</v>
      </c>
      <c r="F248" s="23">
        <v>3</v>
      </c>
      <c r="G248" s="23" t="b">
        <v>0</v>
      </c>
      <c r="H248" s="23">
        <v>2</v>
      </c>
      <c r="I248" s="23">
        <v>3</v>
      </c>
      <c r="J248" s="23">
        <v>0.28000000000000003</v>
      </c>
      <c r="K248" s="23">
        <v>0.2727</v>
      </c>
      <c r="L248" s="23">
        <v>0.93</v>
      </c>
      <c r="M248" s="23">
        <v>0.16420000000000001</v>
      </c>
      <c r="N248" s="23">
        <v>0</v>
      </c>
      <c r="O248" s="23">
        <v>1</v>
      </c>
      <c r="P248" s="23">
        <v>1</v>
      </c>
    </row>
    <row r="249" spans="1:16" ht="15.75" customHeight="1" x14ac:dyDescent="0.3">
      <c r="A249" s="23">
        <v>858</v>
      </c>
      <c r="B249" s="24">
        <v>40582</v>
      </c>
      <c r="C249" s="23">
        <v>1</v>
      </c>
      <c r="D249" s="23">
        <v>0</v>
      </c>
      <c r="E249" s="23">
        <v>2</v>
      </c>
      <c r="F249" s="23">
        <v>4</v>
      </c>
      <c r="G249" s="23" t="b">
        <v>0</v>
      </c>
      <c r="H249" s="23">
        <v>2</v>
      </c>
      <c r="I249" s="23">
        <v>1</v>
      </c>
      <c r="J249" s="23">
        <v>0.26</v>
      </c>
      <c r="K249" s="23">
        <v>0.2576</v>
      </c>
      <c r="L249" s="23">
        <v>0.93</v>
      </c>
      <c r="M249" s="23">
        <v>0.16420000000000001</v>
      </c>
      <c r="N249" s="23">
        <v>0</v>
      </c>
      <c r="O249" s="23">
        <v>3</v>
      </c>
      <c r="P249" s="23">
        <v>3</v>
      </c>
    </row>
    <row r="250" spans="1:16" ht="15.75" customHeight="1" x14ac:dyDescent="0.3">
      <c r="A250" s="23">
        <v>859</v>
      </c>
      <c r="B250" s="24">
        <v>40582</v>
      </c>
      <c r="C250" s="23">
        <v>1</v>
      </c>
      <c r="D250" s="23">
        <v>0</v>
      </c>
      <c r="E250" s="23">
        <v>2</v>
      </c>
      <c r="F250" s="23">
        <v>5</v>
      </c>
      <c r="G250" s="23" t="b">
        <v>0</v>
      </c>
      <c r="H250" s="23">
        <v>2</v>
      </c>
      <c r="I250" s="23">
        <v>1</v>
      </c>
      <c r="J250" s="23">
        <v>0.26</v>
      </c>
      <c r="K250" s="23">
        <v>0.2273</v>
      </c>
      <c r="L250" s="23">
        <v>0.81</v>
      </c>
      <c r="M250" s="23">
        <v>0.32840000000000003</v>
      </c>
      <c r="N250" s="23">
        <v>0</v>
      </c>
      <c r="O250" s="23">
        <v>2</v>
      </c>
      <c r="P250" s="23">
        <v>2</v>
      </c>
    </row>
    <row r="251" spans="1:16" ht="15.75" customHeight="1" x14ac:dyDescent="0.3">
      <c r="A251" s="23">
        <v>860</v>
      </c>
      <c r="B251" s="24">
        <v>40582</v>
      </c>
      <c r="C251" s="23">
        <v>1</v>
      </c>
      <c r="D251" s="23">
        <v>0</v>
      </c>
      <c r="E251" s="23">
        <v>2</v>
      </c>
      <c r="F251" s="23">
        <v>6</v>
      </c>
      <c r="G251" s="23" t="b">
        <v>0</v>
      </c>
      <c r="H251" s="23">
        <v>2</v>
      </c>
      <c r="I251" s="23">
        <v>1</v>
      </c>
      <c r="J251" s="23">
        <v>0.26</v>
      </c>
      <c r="K251" s="23">
        <v>0.2273</v>
      </c>
      <c r="L251" s="23">
        <v>0.7</v>
      </c>
      <c r="M251" s="23">
        <v>0.32840000000000003</v>
      </c>
      <c r="N251" s="23">
        <v>0</v>
      </c>
      <c r="O251" s="23">
        <v>39</v>
      </c>
      <c r="P251" s="23">
        <v>39</v>
      </c>
    </row>
    <row r="252" spans="1:16" ht="15.75" customHeight="1" x14ac:dyDescent="0.3">
      <c r="A252" s="23">
        <v>861</v>
      </c>
      <c r="B252" s="24">
        <v>40582</v>
      </c>
      <c r="C252" s="23">
        <v>1</v>
      </c>
      <c r="D252" s="23">
        <v>0</v>
      </c>
      <c r="E252" s="23">
        <v>2</v>
      </c>
      <c r="F252" s="23">
        <v>7</v>
      </c>
      <c r="G252" s="23" t="b">
        <v>0</v>
      </c>
      <c r="H252" s="23">
        <v>2</v>
      </c>
      <c r="I252" s="23">
        <v>1</v>
      </c>
      <c r="J252" s="23">
        <v>0.24</v>
      </c>
      <c r="K252" s="23">
        <v>0.19700000000000001</v>
      </c>
      <c r="L252" s="23">
        <v>0.65</v>
      </c>
      <c r="M252" s="23">
        <v>0.41789999999999999</v>
      </c>
      <c r="N252" s="23">
        <v>3</v>
      </c>
      <c r="O252" s="23">
        <v>97</v>
      </c>
      <c r="P252" s="23">
        <v>100</v>
      </c>
    </row>
    <row r="253" spans="1:16" ht="15.75" customHeight="1" x14ac:dyDescent="0.3">
      <c r="A253" s="23">
        <v>862</v>
      </c>
      <c r="B253" s="24">
        <v>40582</v>
      </c>
      <c r="C253" s="23">
        <v>1</v>
      </c>
      <c r="D253" s="23">
        <v>0</v>
      </c>
      <c r="E253" s="23">
        <v>2</v>
      </c>
      <c r="F253" s="23">
        <v>8</v>
      </c>
      <c r="G253" s="23" t="b">
        <v>0</v>
      </c>
      <c r="H253" s="23">
        <v>2</v>
      </c>
      <c r="I253" s="23">
        <v>1</v>
      </c>
      <c r="J253" s="23">
        <v>0.24</v>
      </c>
      <c r="K253" s="23">
        <v>0.19700000000000001</v>
      </c>
      <c r="L253" s="23">
        <v>0.56000000000000005</v>
      </c>
      <c r="M253" s="23">
        <v>0.49249999999999999</v>
      </c>
      <c r="N253" s="23">
        <v>7</v>
      </c>
      <c r="O253" s="23">
        <v>236</v>
      </c>
      <c r="P253" s="23">
        <v>243</v>
      </c>
    </row>
    <row r="254" spans="1:16" ht="15.75" customHeight="1" x14ac:dyDescent="0.3">
      <c r="A254" s="23">
        <v>863</v>
      </c>
      <c r="B254" s="24">
        <v>40582</v>
      </c>
      <c r="C254" s="23">
        <v>1</v>
      </c>
      <c r="D254" s="23">
        <v>0</v>
      </c>
      <c r="E254" s="23">
        <v>2</v>
      </c>
      <c r="F254" s="23">
        <v>9</v>
      </c>
      <c r="G254" s="23" t="b">
        <v>0</v>
      </c>
      <c r="H254" s="23">
        <v>2</v>
      </c>
      <c r="I254" s="23">
        <v>1</v>
      </c>
      <c r="J254" s="23">
        <v>0.24</v>
      </c>
      <c r="K254" s="23">
        <v>0.19700000000000001</v>
      </c>
      <c r="L254" s="23">
        <v>0.52</v>
      </c>
      <c r="M254" s="23">
        <v>0.49249999999999999</v>
      </c>
      <c r="N254" s="23">
        <v>7</v>
      </c>
      <c r="O254" s="23">
        <v>128</v>
      </c>
      <c r="P254" s="23">
        <v>135</v>
      </c>
    </row>
    <row r="255" spans="1:16" ht="15.75" customHeight="1" x14ac:dyDescent="0.3">
      <c r="A255" s="23">
        <v>864</v>
      </c>
      <c r="B255" s="24">
        <v>40582</v>
      </c>
      <c r="C255" s="23">
        <v>1</v>
      </c>
      <c r="D255" s="23">
        <v>0</v>
      </c>
      <c r="E255" s="23">
        <v>2</v>
      </c>
      <c r="F255" s="23">
        <v>10</v>
      </c>
      <c r="G255" s="23" t="b">
        <v>0</v>
      </c>
      <c r="H255" s="23">
        <v>2</v>
      </c>
      <c r="I255" s="23">
        <v>1</v>
      </c>
      <c r="J255" s="23">
        <v>0.22</v>
      </c>
      <c r="K255" s="23">
        <v>0.18179999999999999</v>
      </c>
      <c r="L255" s="23">
        <v>0.47</v>
      </c>
      <c r="M255" s="23">
        <v>0.55220000000000002</v>
      </c>
      <c r="N255" s="23">
        <v>4</v>
      </c>
      <c r="O255" s="23">
        <v>44</v>
      </c>
      <c r="P255" s="23">
        <v>48</v>
      </c>
    </row>
    <row r="256" spans="1:16" ht="15.75" customHeight="1" x14ac:dyDescent="0.3">
      <c r="A256" s="23">
        <v>865</v>
      </c>
      <c r="B256" s="24">
        <v>40582</v>
      </c>
      <c r="C256" s="23">
        <v>1</v>
      </c>
      <c r="D256" s="23">
        <v>0</v>
      </c>
      <c r="E256" s="23">
        <v>2</v>
      </c>
      <c r="F256" s="23">
        <v>11</v>
      </c>
      <c r="G256" s="23" t="b">
        <v>0</v>
      </c>
      <c r="H256" s="23">
        <v>2</v>
      </c>
      <c r="I256" s="23">
        <v>1</v>
      </c>
      <c r="J256" s="23">
        <v>0.22</v>
      </c>
      <c r="K256" s="23">
        <v>0.18179999999999999</v>
      </c>
      <c r="L256" s="23">
        <v>0.47</v>
      </c>
      <c r="M256" s="23">
        <v>0.4627</v>
      </c>
      <c r="N256" s="23">
        <v>1</v>
      </c>
      <c r="O256" s="23">
        <v>49</v>
      </c>
      <c r="P256" s="23">
        <v>50</v>
      </c>
    </row>
    <row r="257" spans="1:16" ht="15.75" customHeight="1" x14ac:dyDescent="0.3">
      <c r="A257" s="23">
        <v>866</v>
      </c>
      <c r="B257" s="24">
        <v>40582</v>
      </c>
      <c r="C257" s="23">
        <v>1</v>
      </c>
      <c r="D257" s="23">
        <v>0</v>
      </c>
      <c r="E257" s="23">
        <v>2</v>
      </c>
      <c r="F257" s="23">
        <v>12</v>
      </c>
      <c r="G257" s="23" t="b">
        <v>0</v>
      </c>
      <c r="H257" s="23">
        <v>2</v>
      </c>
      <c r="I257" s="23">
        <v>1</v>
      </c>
      <c r="J257" s="23">
        <v>0.24</v>
      </c>
      <c r="K257" s="23">
        <v>0.19700000000000001</v>
      </c>
      <c r="L257" s="23">
        <v>0.38</v>
      </c>
      <c r="M257" s="23">
        <v>0.49249999999999999</v>
      </c>
      <c r="N257" s="23">
        <v>2</v>
      </c>
      <c r="O257" s="23">
        <v>63</v>
      </c>
      <c r="P257" s="23">
        <v>65</v>
      </c>
    </row>
    <row r="258" spans="1:16" ht="15.75" customHeight="1" x14ac:dyDescent="0.3">
      <c r="A258" s="23">
        <v>867</v>
      </c>
      <c r="B258" s="24">
        <v>40582</v>
      </c>
      <c r="C258" s="23">
        <v>1</v>
      </c>
      <c r="D258" s="23">
        <v>0</v>
      </c>
      <c r="E258" s="23">
        <v>2</v>
      </c>
      <c r="F258" s="23">
        <v>13</v>
      </c>
      <c r="G258" s="23" t="b">
        <v>0</v>
      </c>
      <c r="H258" s="23">
        <v>2</v>
      </c>
      <c r="I258" s="23">
        <v>2</v>
      </c>
      <c r="J258" s="23">
        <v>0.24</v>
      </c>
      <c r="K258" s="23">
        <v>0.19700000000000001</v>
      </c>
      <c r="L258" s="23">
        <v>0.32</v>
      </c>
      <c r="M258" s="23">
        <v>0.44779999999999998</v>
      </c>
      <c r="N258" s="23">
        <v>2</v>
      </c>
      <c r="O258" s="23">
        <v>48</v>
      </c>
      <c r="P258" s="23">
        <v>50</v>
      </c>
    </row>
    <row r="259" spans="1:16" ht="15.75" customHeight="1" x14ac:dyDescent="0.3">
      <c r="A259" s="23">
        <v>868</v>
      </c>
      <c r="B259" s="24">
        <v>40582</v>
      </c>
      <c r="C259" s="23">
        <v>1</v>
      </c>
      <c r="D259" s="23">
        <v>0</v>
      </c>
      <c r="E259" s="23">
        <v>2</v>
      </c>
      <c r="F259" s="23">
        <v>14</v>
      </c>
      <c r="G259" s="23" t="b">
        <v>0</v>
      </c>
      <c r="H259" s="23">
        <v>2</v>
      </c>
      <c r="I259" s="23">
        <v>1</v>
      </c>
      <c r="J259" s="23">
        <v>0.22</v>
      </c>
      <c r="K259" s="23">
        <v>0.19700000000000001</v>
      </c>
      <c r="L259" s="23">
        <v>0.37</v>
      </c>
      <c r="M259" s="23">
        <v>0.41789999999999999</v>
      </c>
      <c r="N259" s="23">
        <v>3</v>
      </c>
      <c r="O259" s="23">
        <v>61</v>
      </c>
      <c r="P259" s="23">
        <v>64</v>
      </c>
    </row>
    <row r="260" spans="1:16" ht="15.75" customHeight="1" x14ac:dyDescent="0.3">
      <c r="A260" s="23">
        <v>869</v>
      </c>
      <c r="B260" s="24">
        <v>40582</v>
      </c>
      <c r="C260" s="23">
        <v>1</v>
      </c>
      <c r="D260" s="23">
        <v>0</v>
      </c>
      <c r="E260" s="23">
        <v>2</v>
      </c>
      <c r="F260" s="23">
        <v>15</v>
      </c>
      <c r="G260" s="23" t="b">
        <v>0</v>
      </c>
      <c r="H260" s="23">
        <v>2</v>
      </c>
      <c r="I260" s="23">
        <v>1</v>
      </c>
      <c r="J260" s="23">
        <v>0.22</v>
      </c>
      <c r="K260" s="23">
        <v>0.19700000000000001</v>
      </c>
      <c r="L260" s="23">
        <v>0.35</v>
      </c>
      <c r="M260" s="23">
        <v>0.3881</v>
      </c>
      <c r="N260" s="23">
        <v>6</v>
      </c>
      <c r="O260" s="23">
        <v>45</v>
      </c>
      <c r="P260" s="23">
        <v>51</v>
      </c>
    </row>
    <row r="261" spans="1:16" ht="15.75" customHeight="1" x14ac:dyDescent="0.3">
      <c r="A261" s="23">
        <v>870</v>
      </c>
      <c r="B261" s="24">
        <v>40582</v>
      </c>
      <c r="C261" s="23">
        <v>1</v>
      </c>
      <c r="D261" s="23">
        <v>0</v>
      </c>
      <c r="E261" s="23">
        <v>2</v>
      </c>
      <c r="F261" s="23">
        <v>16</v>
      </c>
      <c r="G261" s="23" t="b">
        <v>0</v>
      </c>
      <c r="H261" s="23">
        <v>2</v>
      </c>
      <c r="I261" s="23">
        <v>1</v>
      </c>
      <c r="J261" s="23">
        <v>0.22</v>
      </c>
      <c r="K261" s="23">
        <v>0.18179999999999999</v>
      </c>
      <c r="L261" s="23">
        <v>0.35</v>
      </c>
      <c r="M261" s="23">
        <v>0.52239999999999998</v>
      </c>
      <c r="N261" s="23">
        <v>4</v>
      </c>
      <c r="O261" s="23">
        <v>79</v>
      </c>
      <c r="P261" s="23">
        <v>83</v>
      </c>
    </row>
    <row r="262" spans="1:16" ht="15.75" customHeight="1" x14ac:dyDescent="0.3">
      <c r="A262" s="23">
        <v>871</v>
      </c>
      <c r="B262" s="24">
        <v>40582</v>
      </c>
      <c r="C262" s="23">
        <v>1</v>
      </c>
      <c r="D262" s="23">
        <v>0</v>
      </c>
      <c r="E262" s="23">
        <v>2</v>
      </c>
      <c r="F262" s="23">
        <v>17</v>
      </c>
      <c r="G262" s="23" t="b">
        <v>0</v>
      </c>
      <c r="H262" s="23">
        <v>2</v>
      </c>
      <c r="I262" s="23">
        <v>1</v>
      </c>
      <c r="J262" s="23">
        <v>0.22</v>
      </c>
      <c r="K262" s="23">
        <v>0.18179999999999999</v>
      </c>
      <c r="L262" s="23">
        <v>0.32</v>
      </c>
      <c r="M262" s="23">
        <v>0.58209999999999995</v>
      </c>
      <c r="N262" s="23">
        <v>4</v>
      </c>
      <c r="O262" s="23">
        <v>172</v>
      </c>
      <c r="P262" s="23">
        <v>176</v>
      </c>
    </row>
    <row r="263" spans="1:16" ht="15.75" customHeight="1" x14ac:dyDescent="0.3">
      <c r="A263" s="23">
        <v>872</v>
      </c>
      <c r="B263" s="24">
        <v>40582</v>
      </c>
      <c r="C263" s="23">
        <v>1</v>
      </c>
      <c r="D263" s="23">
        <v>0</v>
      </c>
      <c r="E263" s="23">
        <v>2</v>
      </c>
      <c r="F263" s="23">
        <v>18</v>
      </c>
      <c r="G263" s="23" t="b">
        <v>0</v>
      </c>
      <c r="H263" s="23">
        <v>2</v>
      </c>
      <c r="I263" s="23">
        <v>1</v>
      </c>
      <c r="J263" s="23">
        <v>0.2</v>
      </c>
      <c r="K263" s="23">
        <v>0.18179999999999999</v>
      </c>
      <c r="L263" s="23">
        <v>0.32</v>
      </c>
      <c r="M263" s="23">
        <v>0.3881</v>
      </c>
      <c r="N263" s="23">
        <v>1</v>
      </c>
      <c r="O263" s="23">
        <v>151</v>
      </c>
      <c r="P263" s="23">
        <v>152</v>
      </c>
    </row>
    <row r="264" spans="1:16" ht="15.75" customHeight="1" x14ac:dyDescent="0.3">
      <c r="A264" s="23">
        <v>873</v>
      </c>
      <c r="B264" s="24">
        <v>40582</v>
      </c>
      <c r="C264" s="23">
        <v>1</v>
      </c>
      <c r="D264" s="23">
        <v>0</v>
      </c>
      <c r="E264" s="23">
        <v>2</v>
      </c>
      <c r="F264" s="23">
        <v>19</v>
      </c>
      <c r="G264" s="23" t="b">
        <v>0</v>
      </c>
      <c r="H264" s="23">
        <v>2</v>
      </c>
      <c r="I264" s="23">
        <v>1</v>
      </c>
      <c r="J264" s="23">
        <v>0.16</v>
      </c>
      <c r="K264" s="23">
        <v>0.1212</v>
      </c>
      <c r="L264" s="23">
        <v>0.4</v>
      </c>
      <c r="M264" s="23">
        <v>0.4627</v>
      </c>
      <c r="N264" s="23">
        <v>1</v>
      </c>
      <c r="O264" s="23">
        <v>100</v>
      </c>
      <c r="P264" s="23">
        <v>101</v>
      </c>
    </row>
    <row r="265" spans="1:16" ht="15.75" customHeight="1" x14ac:dyDescent="0.3">
      <c r="A265" s="23">
        <v>874</v>
      </c>
      <c r="B265" s="24">
        <v>40582</v>
      </c>
      <c r="C265" s="23">
        <v>1</v>
      </c>
      <c r="D265" s="23">
        <v>0</v>
      </c>
      <c r="E265" s="23">
        <v>2</v>
      </c>
      <c r="F265" s="23">
        <v>20</v>
      </c>
      <c r="G265" s="23" t="b">
        <v>0</v>
      </c>
      <c r="H265" s="23">
        <v>2</v>
      </c>
      <c r="I265" s="23">
        <v>1</v>
      </c>
      <c r="J265" s="23">
        <v>0.16</v>
      </c>
      <c r="K265" s="23">
        <v>0.13639999999999999</v>
      </c>
      <c r="L265" s="23">
        <v>0.4</v>
      </c>
      <c r="M265" s="23">
        <v>0.32840000000000003</v>
      </c>
      <c r="N265" s="23">
        <v>3</v>
      </c>
      <c r="O265" s="23">
        <v>53</v>
      </c>
      <c r="P265" s="23">
        <v>56</v>
      </c>
    </row>
    <row r="266" spans="1:16" ht="15.75" customHeight="1" x14ac:dyDescent="0.3">
      <c r="A266" s="23">
        <v>875</v>
      </c>
      <c r="B266" s="24">
        <v>40582</v>
      </c>
      <c r="C266" s="23">
        <v>1</v>
      </c>
      <c r="D266" s="23">
        <v>0</v>
      </c>
      <c r="E266" s="23">
        <v>2</v>
      </c>
      <c r="F266" s="23">
        <v>21</v>
      </c>
      <c r="G266" s="23" t="b">
        <v>0</v>
      </c>
      <c r="H266" s="23">
        <v>2</v>
      </c>
      <c r="I266" s="23">
        <v>1</v>
      </c>
      <c r="J266" s="23">
        <v>0.14000000000000001</v>
      </c>
      <c r="K266" s="23">
        <v>0.1061</v>
      </c>
      <c r="L266" s="23">
        <v>0.33</v>
      </c>
      <c r="M266" s="23">
        <v>0.4627</v>
      </c>
      <c r="N266" s="23">
        <v>8</v>
      </c>
      <c r="O266" s="23">
        <v>46</v>
      </c>
      <c r="P266" s="23">
        <v>54</v>
      </c>
    </row>
    <row r="267" spans="1:16" ht="15.75" customHeight="1" x14ac:dyDescent="0.3">
      <c r="A267" s="23">
        <v>876</v>
      </c>
      <c r="B267" s="24">
        <v>40582</v>
      </c>
      <c r="C267" s="23">
        <v>1</v>
      </c>
      <c r="D267" s="23">
        <v>0</v>
      </c>
      <c r="E267" s="23">
        <v>2</v>
      </c>
      <c r="F267" s="23">
        <v>22</v>
      </c>
      <c r="G267" s="23" t="b">
        <v>0</v>
      </c>
      <c r="H267" s="23">
        <v>2</v>
      </c>
      <c r="I267" s="23">
        <v>1</v>
      </c>
      <c r="J267" s="23">
        <v>0.12</v>
      </c>
      <c r="K267" s="23">
        <v>0.1061</v>
      </c>
      <c r="L267" s="23">
        <v>0.33</v>
      </c>
      <c r="M267" s="23">
        <v>0.35820000000000002</v>
      </c>
      <c r="N267" s="23">
        <v>0</v>
      </c>
      <c r="O267" s="23">
        <v>29</v>
      </c>
      <c r="P267" s="23">
        <v>29</v>
      </c>
    </row>
    <row r="268" spans="1:16" ht="15.75" customHeight="1" x14ac:dyDescent="0.3">
      <c r="A268" s="23">
        <v>877</v>
      </c>
      <c r="B268" s="24">
        <v>40582</v>
      </c>
      <c r="C268" s="23">
        <v>1</v>
      </c>
      <c r="D268" s="23">
        <v>0</v>
      </c>
      <c r="E268" s="23">
        <v>2</v>
      </c>
      <c r="F268" s="23">
        <v>23</v>
      </c>
      <c r="G268" s="23" t="b">
        <v>0</v>
      </c>
      <c r="H268" s="23">
        <v>2</v>
      </c>
      <c r="I268" s="23">
        <v>1</v>
      </c>
      <c r="J268" s="23">
        <v>0.12</v>
      </c>
      <c r="K268" s="23">
        <v>0.1061</v>
      </c>
      <c r="L268" s="23">
        <v>0.33</v>
      </c>
      <c r="M268" s="23">
        <v>0.32840000000000003</v>
      </c>
      <c r="N268" s="23">
        <v>3</v>
      </c>
      <c r="O268" s="23">
        <v>9</v>
      </c>
      <c r="P268" s="23">
        <v>12</v>
      </c>
    </row>
    <row r="269" spans="1:16" ht="15.75" customHeight="1" x14ac:dyDescent="0.3">
      <c r="A269" s="23">
        <v>878</v>
      </c>
      <c r="B269" s="24">
        <v>40583</v>
      </c>
      <c r="C269" s="23">
        <v>1</v>
      </c>
      <c r="D269" s="23">
        <v>0</v>
      </c>
      <c r="E269" s="23">
        <v>2</v>
      </c>
      <c r="F269" s="23">
        <v>0</v>
      </c>
      <c r="G269" s="23" t="b">
        <v>0</v>
      </c>
      <c r="H269" s="23">
        <v>3</v>
      </c>
      <c r="I269" s="23">
        <v>1</v>
      </c>
      <c r="J269" s="23">
        <v>0.1</v>
      </c>
      <c r="K269" s="23">
        <v>7.5800000000000006E-2</v>
      </c>
      <c r="L269" s="23">
        <v>0.36</v>
      </c>
      <c r="M269" s="23">
        <v>0.35820000000000002</v>
      </c>
      <c r="N269" s="23">
        <v>0</v>
      </c>
      <c r="O269" s="23">
        <v>17</v>
      </c>
      <c r="P269" s="23">
        <v>17</v>
      </c>
    </row>
    <row r="270" spans="1:16" ht="15.75" customHeight="1" x14ac:dyDescent="0.3">
      <c r="A270" s="23">
        <v>879</v>
      </c>
      <c r="B270" s="24">
        <v>40583</v>
      </c>
      <c r="C270" s="23">
        <v>1</v>
      </c>
      <c r="D270" s="23">
        <v>0</v>
      </c>
      <c r="E270" s="23">
        <v>2</v>
      </c>
      <c r="F270" s="23">
        <v>1</v>
      </c>
      <c r="G270" s="23" t="b">
        <v>0</v>
      </c>
      <c r="H270" s="23">
        <v>3</v>
      </c>
      <c r="I270" s="23">
        <v>1</v>
      </c>
      <c r="J270" s="23">
        <v>0.1</v>
      </c>
      <c r="K270" s="23">
        <v>0.1061</v>
      </c>
      <c r="L270" s="23">
        <v>0.36</v>
      </c>
      <c r="M270" s="23">
        <v>0.22389999999999999</v>
      </c>
      <c r="N270" s="23">
        <v>0</v>
      </c>
      <c r="O270" s="23">
        <v>7</v>
      </c>
      <c r="P270" s="23">
        <v>7</v>
      </c>
    </row>
    <row r="271" spans="1:16" ht="15.75" customHeight="1" x14ac:dyDescent="0.3">
      <c r="A271" s="23">
        <v>880</v>
      </c>
      <c r="B271" s="24">
        <v>40583</v>
      </c>
      <c r="C271" s="23">
        <v>1</v>
      </c>
      <c r="D271" s="23">
        <v>0</v>
      </c>
      <c r="E271" s="23">
        <v>2</v>
      </c>
      <c r="F271" s="23">
        <v>2</v>
      </c>
      <c r="G271" s="23" t="b">
        <v>0</v>
      </c>
      <c r="H271" s="23">
        <v>3</v>
      </c>
      <c r="I271" s="23">
        <v>1</v>
      </c>
      <c r="J271" s="23">
        <v>0.08</v>
      </c>
      <c r="K271" s="23">
        <v>7.5800000000000006E-2</v>
      </c>
      <c r="L271" s="23">
        <v>0.38</v>
      </c>
      <c r="M271" s="23">
        <v>0.28360000000000002</v>
      </c>
      <c r="N271" s="23">
        <v>1</v>
      </c>
      <c r="O271" s="23">
        <v>2</v>
      </c>
      <c r="P271" s="23">
        <v>3</v>
      </c>
    </row>
    <row r="272" spans="1:16" ht="15.75" customHeight="1" x14ac:dyDescent="0.3">
      <c r="A272" s="23">
        <v>881</v>
      </c>
      <c r="B272" s="24">
        <v>40583</v>
      </c>
      <c r="C272" s="23">
        <v>1</v>
      </c>
      <c r="D272" s="23">
        <v>0</v>
      </c>
      <c r="E272" s="23">
        <v>2</v>
      </c>
      <c r="F272" s="23">
        <v>3</v>
      </c>
      <c r="G272" s="23" t="b">
        <v>0</v>
      </c>
      <c r="H272" s="23">
        <v>3</v>
      </c>
      <c r="I272" s="23">
        <v>1</v>
      </c>
      <c r="J272" s="23">
        <v>0.06</v>
      </c>
      <c r="K272" s="23">
        <v>7.5800000000000006E-2</v>
      </c>
      <c r="L272" s="23">
        <v>0.45</v>
      </c>
      <c r="M272" s="23">
        <v>0.1343</v>
      </c>
      <c r="N272" s="23">
        <v>0</v>
      </c>
      <c r="O272" s="23">
        <v>2</v>
      </c>
      <c r="P272" s="23">
        <v>2</v>
      </c>
    </row>
    <row r="273" spans="1:16" ht="15.75" customHeight="1" x14ac:dyDescent="0.3">
      <c r="A273" s="23">
        <v>882</v>
      </c>
      <c r="B273" s="24">
        <v>40583</v>
      </c>
      <c r="C273" s="23">
        <v>1</v>
      </c>
      <c r="D273" s="23">
        <v>0</v>
      </c>
      <c r="E273" s="23">
        <v>2</v>
      </c>
      <c r="F273" s="23">
        <v>5</v>
      </c>
      <c r="G273" s="23" t="b">
        <v>0</v>
      </c>
      <c r="H273" s="23">
        <v>3</v>
      </c>
      <c r="I273" s="23">
        <v>1</v>
      </c>
      <c r="J273" s="23">
        <v>0.06</v>
      </c>
      <c r="K273" s="23">
        <v>0.1061</v>
      </c>
      <c r="L273" s="23">
        <v>0.45</v>
      </c>
      <c r="M273" s="23">
        <v>0.1045</v>
      </c>
      <c r="N273" s="23">
        <v>0</v>
      </c>
      <c r="O273" s="23">
        <v>7</v>
      </c>
      <c r="P273" s="23">
        <v>7</v>
      </c>
    </row>
    <row r="274" spans="1:16" ht="15.75" customHeight="1" x14ac:dyDescent="0.3">
      <c r="A274" s="23">
        <v>883</v>
      </c>
      <c r="B274" s="24">
        <v>40583</v>
      </c>
      <c r="C274" s="23">
        <v>1</v>
      </c>
      <c r="D274" s="23">
        <v>0</v>
      </c>
      <c r="E274" s="23">
        <v>2</v>
      </c>
      <c r="F274" s="23">
        <v>6</v>
      </c>
      <c r="G274" s="23" t="b">
        <v>0</v>
      </c>
      <c r="H274" s="23">
        <v>3</v>
      </c>
      <c r="I274" s="23">
        <v>1</v>
      </c>
      <c r="J274" s="23">
        <v>0.06</v>
      </c>
      <c r="K274" s="23">
        <v>0.1515</v>
      </c>
      <c r="L274" s="23">
        <v>0.45</v>
      </c>
      <c r="M274" s="23">
        <v>0</v>
      </c>
      <c r="N274" s="23">
        <v>0</v>
      </c>
      <c r="O274" s="23">
        <v>43</v>
      </c>
      <c r="P274" s="23">
        <v>43</v>
      </c>
    </row>
    <row r="275" spans="1:16" ht="15.75" customHeight="1" x14ac:dyDescent="0.3">
      <c r="A275" s="23">
        <v>884</v>
      </c>
      <c r="B275" s="24">
        <v>40583</v>
      </c>
      <c r="C275" s="23">
        <v>1</v>
      </c>
      <c r="D275" s="23">
        <v>0</v>
      </c>
      <c r="E275" s="23">
        <v>2</v>
      </c>
      <c r="F275" s="23">
        <v>7</v>
      </c>
      <c r="G275" s="23" t="b">
        <v>0</v>
      </c>
      <c r="H275" s="23">
        <v>3</v>
      </c>
      <c r="I275" s="23">
        <v>1</v>
      </c>
      <c r="J275" s="23">
        <v>0.06</v>
      </c>
      <c r="K275" s="23">
        <v>0.1061</v>
      </c>
      <c r="L275" s="23">
        <v>0.49</v>
      </c>
      <c r="M275" s="23">
        <v>0.1045</v>
      </c>
      <c r="N275" s="23">
        <v>4</v>
      </c>
      <c r="O275" s="23">
        <v>95</v>
      </c>
      <c r="P275" s="23">
        <v>99</v>
      </c>
    </row>
    <row r="276" spans="1:16" ht="15.75" customHeight="1" x14ac:dyDescent="0.3">
      <c r="A276" s="23">
        <v>885</v>
      </c>
      <c r="B276" s="24">
        <v>40583</v>
      </c>
      <c r="C276" s="23">
        <v>1</v>
      </c>
      <c r="D276" s="23">
        <v>0</v>
      </c>
      <c r="E276" s="23">
        <v>2</v>
      </c>
      <c r="F276" s="23">
        <v>8</v>
      </c>
      <c r="G276" s="23" t="b">
        <v>0</v>
      </c>
      <c r="H276" s="23">
        <v>3</v>
      </c>
      <c r="I276" s="23">
        <v>1</v>
      </c>
      <c r="J276" s="23">
        <v>0.1</v>
      </c>
      <c r="K276" s="23">
        <v>0.13639999999999999</v>
      </c>
      <c r="L276" s="23">
        <v>0.42</v>
      </c>
      <c r="M276" s="23">
        <v>0</v>
      </c>
      <c r="N276" s="23">
        <v>1</v>
      </c>
      <c r="O276" s="23">
        <v>198</v>
      </c>
      <c r="P276" s="23">
        <v>199</v>
      </c>
    </row>
    <row r="277" spans="1:16" ht="15.75" customHeight="1" x14ac:dyDescent="0.3">
      <c r="A277" s="23">
        <v>886</v>
      </c>
      <c r="B277" s="24">
        <v>40583</v>
      </c>
      <c r="C277" s="23">
        <v>1</v>
      </c>
      <c r="D277" s="23">
        <v>0</v>
      </c>
      <c r="E277" s="23">
        <v>2</v>
      </c>
      <c r="F277" s="23">
        <v>9</v>
      </c>
      <c r="G277" s="23" t="b">
        <v>0</v>
      </c>
      <c r="H277" s="23">
        <v>3</v>
      </c>
      <c r="I277" s="23">
        <v>1</v>
      </c>
      <c r="J277" s="23">
        <v>0.12</v>
      </c>
      <c r="K277" s="23">
        <v>0.13639999999999999</v>
      </c>
      <c r="L277" s="23">
        <v>0.39</v>
      </c>
      <c r="M277" s="23">
        <v>0.16420000000000001</v>
      </c>
      <c r="N277" s="23">
        <v>4</v>
      </c>
      <c r="O277" s="23">
        <v>119</v>
      </c>
      <c r="P277" s="23">
        <v>123</v>
      </c>
    </row>
    <row r="278" spans="1:16" ht="15.75" customHeight="1" x14ac:dyDescent="0.3">
      <c r="A278" s="23">
        <v>887</v>
      </c>
      <c r="B278" s="24">
        <v>40583</v>
      </c>
      <c r="C278" s="23">
        <v>1</v>
      </c>
      <c r="D278" s="23">
        <v>0</v>
      </c>
      <c r="E278" s="23">
        <v>2</v>
      </c>
      <c r="F278" s="23">
        <v>10</v>
      </c>
      <c r="G278" s="23" t="b">
        <v>0</v>
      </c>
      <c r="H278" s="23">
        <v>3</v>
      </c>
      <c r="I278" s="23">
        <v>1</v>
      </c>
      <c r="J278" s="23">
        <v>0.14000000000000001</v>
      </c>
      <c r="K278" s="23">
        <v>0.18179999999999999</v>
      </c>
      <c r="L278" s="23">
        <v>0.36</v>
      </c>
      <c r="M278" s="23">
        <v>0</v>
      </c>
      <c r="N278" s="23">
        <v>8</v>
      </c>
      <c r="O278" s="23">
        <v>51</v>
      </c>
      <c r="P278" s="23">
        <v>59</v>
      </c>
    </row>
    <row r="279" spans="1:16" ht="15.75" customHeight="1" x14ac:dyDescent="0.3">
      <c r="A279" s="23">
        <v>888</v>
      </c>
      <c r="B279" s="24">
        <v>40583</v>
      </c>
      <c r="C279" s="23">
        <v>1</v>
      </c>
      <c r="D279" s="23">
        <v>0</v>
      </c>
      <c r="E279" s="23">
        <v>2</v>
      </c>
      <c r="F279" s="23">
        <v>11</v>
      </c>
      <c r="G279" s="23" t="b">
        <v>0</v>
      </c>
      <c r="H279" s="23">
        <v>3</v>
      </c>
      <c r="I279" s="23">
        <v>2</v>
      </c>
      <c r="J279" s="23">
        <v>0.14000000000000001</v>
      </c>
      <c r="K279" s="23">
        <v>0.1515</v>
      </c>
      <c r="L279" s="23">
        <v>0.43</v>
      </c>
      <c r="M279" s="23">
        <v>0.16420000000000001</v>
      </c>
      <c r="N279" s="23">
        <v>1</v>
      </c>
      <c r="O279" s="23">
        <v>40</v>
      </c>
      <c r="P279" s="23">
        <v>41</v>
      </c>
    </row>
    <row r="280" spans="1:16" ht="15.75" customHeight="1" x14ac:dyDescent="0.3">
      <c r="A280" s="23">
        <v>889</v>
      </c>
      <c r="B280" s="24">
        <v>40583</v>
      </c>
      <c r="C280" s="23">
        <v>1</v>
      </c>
      <c r="D280" s="23">
        <v>0</v>
      </c>
      <c r="E280" s="23">
        <v>2</v>
      </c>
      <c r="F280" s="23">
        <v>12</v>
      </c>
      <c r="G280" s="23" t="b">
        <v>0</v>
      </c>
      <c r="H280" s="23">
        <v>3</v>
      </c>
      <c r="I280" s="23">
        <v>2</v>
      </c>
      <c r="J280" s="23">
        <v>0.18</v>
      </c>
      <c r="K280" s="23">
        <v>0.18179999999999999</v>
      </c>
      <c r="L280" s="23">
        <v>0.4</v>
      </c>
      <c r="M280" s="23">
        <v>0.22389999999999999</v>
      </c>
      <c r="N280" s="23">
        <v>4</v>
      </c>
      <c r="O280" s="23">
        <v>57</v>
      </c>
      <c r="P280" s="23">
        <v>61</v>
      </c>
    </row>
    <row r="281" spans="1:16" ht="15.75" customHeight="1" x14ac:dyDescent="0.3">
      <c r="A281" s="23">
        <v>890</v>
      </c>
      <c r="B281" s="24">
        <v>40583</v>
      </c>
      <c r="C281" s="23">
        <v>1</v>
      </c>
      <c r="D281" s="23">
        <v>0</v>
      </c>
      <c r="E281" s="23">
        <v>2</v>
      </c>
      <c r="F281" s="23">
        <v>13</v>
      </c>
      <c r="G281" s="23" t="b">
        <v>0</v>
      </c>
      <c r="H281" s="23">
        <v>3</v>
      </c>
      <c r="I281" s="23">
        <v>1</v>
      </c>
      <c r="J281" s="23">
        <v>0.18</v>
      </c>
      <c r="K281" s="23">
        <v>0.16669999999999999</v>
      </c>
      <c r="L281" s="23">
        <v>0.4</v>
      </c>
      <c r="M281" s="23">
        <v>0.25369999999999998</v>
      </c>
      <c r="N281" s="23">
        <v>2</v>
      </c>
      <c r="O281" s="23">
        <v>67</v>
      </c>
      <c r="P281" s="23">
        <v>69</v>
      </c>
    </row>
    <row r="282" spans="1:16" ht="15.75" customHeight="1" x14ac:dyDescent="0.3">
      <c r="A282" s="23">
        <v>891</v>
      </c>
      <c r="B282" s="24">
        <v>40583</v>
      </c>
      <c r="C282" s="23">
        <v>1</v>
      </c>
      <c r="D282" s="23">
        <v>0</v>
      </c>
      <c r="E282" s="23">
        <v>2</v>
      </c>
      <c r="F282" s="23">
        <v>14</v>
      </c>
      <c r="G282" s="23" t="b">
        <v>0</v>
      </c>
      <c r="H282" s="23">
        <v>3</v>
      </c>
      <c r="I282" s="23">
        <v>1</v>
      </c>
      <c r="J282" s="23">
        <v>0.2</v>
      </c>
      <c r="K282" s="23">
        <v>0.18179999999999999</v>
      </c>
      <c r="L282" s="23">
        <v>0.34</v>
      </c>
      <c r="M282" s="23">
        <v>0.29849999999999999</v>
      </c>
      <c r="N282" s="23">
        <v>2</v>
      </c>
      <c r="O282" s="23">
        <v>56</v>
      </c>
      <c r="P282" s="23">
        <v>58</v>
      </c>
    </row>
    <row r="283" spans="1:16" ht="15.75" customHeight="1" x14ac:dyDescent="0.3">
      <c r="A283" s="23">
        <v>892</v>
      </c>
      <c r="B283" s="24">
        <v>40583</v>
      </c>
      <c r="C283" s="23">
        <v>1</v>
      </c>
      <c r="D283" s="23">
        <v>0</v>
      </c>
      <c r="E283" s="23">
        <v>2</v>
      </c>
      <c r="F283" s="23">
        <v>15</v>
      </c>
      <c r="G283" s="23" t="b">
        <v>0</v>
      </c>
      <c r="H283" s="23">
        <v>3</v>
      </c>
      <c r="I283" s="23">
        <v>2</v>
      </c>
      <c r="J283" s="23">
        <v>0.2</v>
      </c>
      <c r="K283" s="23">
        <v>0.18179999999999999</v>
      </c>
      <c r="L283" s="23">
        <v>0.34</v>
      </c>
      <c r="M283" s="23">
        <v>0.28360000000000002</v>
      </c>
      <c r="N283" s="23">
        <v>3</v>
      </c>
      <c r="O283" s="23">
        <v>61</v>
      </c>
      <c r="P283" s="23">
        <v>64</v>
      </c>
    </row>
    <row r="284" spans="1:16" ht="15.75" customHeight="1" x14ac:dyDescent="0.3">
      <c r="A284" s="23">
        <v>893</v>
      </c>
      <c r="B284" s="24">
        <v>40583</v>
      </c>
      <c r="C284" s="23">
        <v>1</v>
      </c>
      <c r="D284" s="23">
        <v>0</v>
      </c>
      <c r="E284" s="23">
        <v>2</v>
      </c>
      <c r="F284" s="23">
        <v>16</v>
      </c>
      <c r="G284" s="23" t="b">
        <v>0</v>
      </c>
      <c r="H284" s="23">
        <v>3</v>
      </c>
      <c r="I284" s="23">
        <v>2</v>
      </c>
      <c r="J284" s="23">
        <v>0.2</v>
      </c>
      <c r="K284" s="23">
        <v>0.19700000000000001</v>
      </c>
      <c r="L284" s="23">
        <v>0.37</v>
      </c>
      <c r="M284" s="23">
        <v>0.25369999999999998</v>
      </c>
      <c r="N284" s="23">
        <v>7</v>
      </c>
      <c r="O284" s="23">
        <v>72</v>
      </c>
      <c r="P284" s="23">
        <v>79</v>
      </c>
    </row>
    <row r="285" spans="1:16" ht="15.75" customHeight="1" x14ac:dyDescent="0.3">
      <c r="A285" s="23">
        <v>894</v>
      </c>
      <c r="B285" s="24">
        <v>40583</v>
      </c>
      <c r="C285" s="23">
        <v>1</v>
      </c>
      <c r="D285" s="23">
        <v>0</v>
      </c>
      <c r="E285" s="23">
        <v>2</v>
      </c>
      <c r="F285" s="23">
        <v>17</v>
      </c>
      <c r="G285" s="23" t="b">
        <v>0</v>
      </c>
      <c r="H285" s="23">
        <v>3</v>
      </c>
      <c r="I285" s="23">
        <v>2</v>
      </c>
      <c r="J285" s="23">
        <v>0.2</v>
      </c>
      <c r="K285" s="23">
        <v>0.19700000000000001</v>
      </c>
      <c r="L285" s="23">
        <v>0.34</v>
      </c>
      <c r="M285" s="23">
        <v>0.25369999999999998</v>
      </c>
      <c r="N285" s="23">
        <v>9</v>
      </c>
      <c r="O285" s="23">
        <v>157</v>
      </c>
      <c r="P285" s="23">
        <v>166</v>
      </c>
    </row>
    <row r="286" spans="1:16" ht="15.75" customHeight="1" x14ac:dyDescent="0.3">
      <c r="A286" s="23">
        <v>895</v>
      </c>
      <c r="B286" s="24">
        <v>40583</v>
      </c>
      <c r="C286" s="23">
        <v>1</v>
      </c>
      <c r="D286" s="23">
        <v>0</v>
      </c>
      <c r="E286" s="23">
        <v>2</v>
      </c>
      <c r="F286" s="23">
        <v>18</v>
      </c>
      <c r="G286" s="23" t="b">
        <v>0</v>
      </c>
      <c r="H286" s="23">
        <v>3</v>
      </c>
      <c r="I286" s="23">
        <v>2</v>
      </c>
      <c r="J286" s="23">
        <v>0.18</v>
      </c>
      <c r="K286" s="23">
        <v>0.16669999999999999</v>
      </c>
      <c r="L286" s="23">
        <v>0.47</v>
      </c>
      <c r="M286" s="23">
        <v>0.29849999999999999</v>
      </c>
      <c r="N286" s="23">
        <v>2</v>
      </c>
      <c r="O286" s="23">
        <v>168</v>
      </c>
      <c r="P286" s="23">
        <v>170</v>
      </c>
    </row>
    <row r="287" spans="1:16" ht="15.75" customHeight="1" x14ac:dyDescent="0.3">
      <c r="A287" s="23">
        <v>896</v>
      </c>
      <c r="B287" s="24">
        <v>40583</v>
      </c>
      <c r="C287" s="23">
        <v>1</v>
      </c>
      <c r="D287" s="23">
        <v>0</v>
      </c>
      <c r="E287" s="23">
        <v>2</v>
      </c>
      <c r="F287" s="23">
        <v>19</v>
      </c>
      <c r="G287" s="23" t="b">
        <v>0</v>
      </c>
      <c r="H287" s="23">
        <v>3</v>
      </c>
      <c r="I287" s="23">
        <v>3</v>
      </c>
      <c r="J287" s="23">
        <v>0.14000000000000001</v>
      </c>
      <c r="K287" s="23">
        <v>0.1212</v>
      </c>
      <c r="L287" s="23">
        <v>0.86</v>
      </c>
      <c r="M287" s="23">
        <v>0.25369999999999998</v>
      </c>
      <c r="N287" s="23">
        <v>1</v>
      </c>
      <c r="O287" s="23">
        <v>87</v>
      </c>
      <c r="P287" s="23">
        <v>88</v>
      </c>
    </row>
    <row r="288" spans="1:16" ht="15.75" customHeight="1" x14ac:dyDescent="0.3">
      <c r="A288" s="23">
        <v>897</v>
      </c>
      <c r="B288" s="24">
        <v>40583</v>
      </c>
      <c r="C288" s="23">
        <v>1</v>
      </c>
      <c r="D288" s="23">
        <v>0</v>
      </c>
      <c r="E288" s="23">
        <v>2</v>
      </c>
      <c r="F288" s="23">
        <v>20</v>
      </c>
      <c r="G288" s="23" t="b">
        <v>0</v>
      </c>
      <c r="H288" s="23">
        <v>3</v>
      </c>
      <c r="I288" s="23">
        <v>3</v>
      </c>
      <c r="J288" s="23">
        <v>0.14000000000000001</v>
      </c>
      <c r="K288" s="23">
        <v>0.1515</v>
      </c>
      <c r="L288" s="23">
        <v>0.86</v>
      </c>
      <c r="M288" s="23">
        <v>0.16420000000000001</v>
      </c>
      <c r="N288" s="23">
        <v>0</v>
      </c>
      <c r="O288" s="23">
        <v>84</v>
      </c>
      <c r="P288" s="23">
        <v>84</v>
      </c>
    </row>
    <row r="289" spans="1:16" ht="15.75" customHeight="1" x14ac:dyDescent="0.3">
      <c r="A289" s="23">
        <v>898</v>
      </c>
      <c r="B289" s="24">
        <v>40583</v>
      </c>
      <c r="C289" s="23">
        <v>1</v>
      </c>
      <c r="D289" s="23">
        <v>0</v>
      </c>
      <c r="E289" s="23">
        <v>2</v>
      </c>
      <c r="F289" s="23">
        <v>21</v>
      </c>
      <c r="G289" s="23" t="b">
        <v>0</v>
      </c>
      <c r="H289" s="23">
        <v>3</v>
      </c>
      <c r="I289" s="23">
        <v>2</v>
      </c>
      <c r="J289" s="23">
        <v>0.14000000000000001</v>
      </c>
      <c r="K289" s="23">
        <v>0.1515</v>
      </c>
      <c r="L289" s="23">
        <v>0.86</v>
      </c>
      <c r="M289" s="23">
        <v>0.16420000000000001</v>
      </c>
      <c r="N289" s="23">
        <v>0</v>
      </c>
      <c r="O289" s="23">
        <v>83</v>
      </c>
      <c r="P289" s="23">
        <v>83</v>
      </c>
    </row>
    <row r="290" spans="1:16" ht="15.75" customHeight="1" x14ac:dyDescent="0.3">
      <c r="A290" s="23">
        <v>899</v>
      </c>
      <c r="B290" s="24">
        <v>40583</v>
      </c>
      <c r="C290" s="23">
        <v>1</v>
      </c>
      <c r="D290" s="23">
        <v>0</v>
      </c>
      <c r="E290" s="23">
        <v>2</v>
      </c>
      <c r="F290" s="23">
        <v>22</v>
      </c>
      <c r="G290" s="23" t="b">
        <v>0</v>
      </c>
      <c r="H290" s="23">
        <v>3</v>
      </c>
      <c r="I290" s="23">
        <v>3</v>
      </c>
      <c r="J290" s="23">
        <v>0.16</v>
      </c>
      <c r="K290" s="23">
        <v>0.16669999999999999</v>
      </c>
      <c r="L290" s="23">
        <v>0.8</v>
      </c>
      <c r="M290" s="23">
        <v>0.16420000000000001</v>
      </c>
      <c r="N290" s="23">
        <v>4</v>
      </c>
      <c r="O290" s="23">
        <v>42</v>
      </c>
      <c r="P290" s="23">
        <v>46</v>
      </c>
    </row>
    <row r="291" spans="1:16" ht="15.75" customHeight="1" x14ac:dyDescent="0.3">
      <c r="A291" s="23">
        <v>900</v>
      </c>
      <c r="B291" s="24">
        <v>40583</v>
      </c>
      <c r="C291" s="23">
        <v>1</v>
      </c>
      <c r="D291" s="23">
        <v>0</v>
      </c>
      <c r="E291" s="23">
        <v>2</v>
      </c>
      <c r="F291" s="23">
        <v>23</v>
      </c>
      <c r="G291" s="23" t="b">
        <v>0</v>
      </c>
      <c r="H291" s="23">
        <v>3</v>
      </c>
      <c r="I291" s="23">
        <v>3</v>
      </c>
      <c r="J291" s="23">
        <v>0.16</v>
      </c>
      <c r="K291" s="23">
        <v>0.1515</v>
      </c>
      <c r="L291" s="23">
        <v>0.8</v>
      </c>
      <c r="M291" s="23">
        <v>0.19400000000000001</v>
      </c>
      <c r="N291" s="23">
        <v>0</v>
      </c>
      <c r="O291" s="23">
        <v>37</v>
      </c>
      <c r="P291" s="23">
        <v>37</v>
      </c>
    </row>
    <row r="292" spans="1:16" ht="15.75" customHeight="1" x14ac:dyDescent="0.3">
      <c r="A292" s="23">
        <v>901</v>
      </c>
      <c r="B292" s="24">
        <v>40584</v>
      </c>
      <c r="C292" s="23">
        <v>1</v>
      </c>
      <c r="D292" s="23">
        <v>0</v>
      </c>
      <c r="E292" s="23">
        <v>2</v>
      </c>
      <c r="F292" s="23">
        <v>0</v>
      </c>
      <c r="G292" s="23" t="b">
        <v>0</v>
      </c>
      <c r="H292" s="23">
        <v>4</v>
      </c>
      <c r="I292" s="23">
        <v>3</v>
      </c>
      <c r="J292" s="23">
        <v>0.14000000000000001</v>
      </c>
      <c r="K292" s="23">
        <v>0.13639999999999999</v>
      </c>
      <c r="L292" s="23">
        <v>0.86</v>
      </c>
      <c r="M292" s="23">
        <v>0.19400000000000001</v>
      </c>
      <c r="N292" s="23">
        <v>0</v>
      </c>
      <c r="O292" s="23">
        <v>16</v>
      </c>
      <c r="P292" s="23">
        <v>16</v>
      </c>
    </row>
    <row r="293" spans="1:16" ht="15.75" customHeight="1" x14ac:dyDescent="0.3">
      <c r="A293" s="23">
        <v>902</v>
      </c>
      <c r="B293" s="24">
        <v>40584</v>
      </c>
      <c r="C293" s="23">
        <v>1</v>
      </c>
      <c r="D293" s="23">
        <v>0</v>
      </c>
      <c r="E293" s="23">
        <v>2</v>
      </c>
      <c r="F293" s="23">
        <v>1</v>
      </c>
      <c r="G293" s="23" t="b">
        <v>0</v>
      </c>
      <c r="H293" s="23">
        <v>4</v>
      </c>
      <c r="I293" s="23">
        <v>3</v>
      </c>
      <c r="J293" s="23">
        <v>0.14000000000000001</v>
      </c>
      <c r="K293" s="23">
        <v>0.1515</v>
      </c>
      <c r="L293" s="23">
        <v>0.8</v>
      </c>
      <c r="M293" s="23">
        <v>0.1343</v>
      </c>
      <c r="N293" s="23">
        <v>0</v>
      </c>
      <c r="O293" s="23">
        <v>7</v>
      </c>
      <c r="P293" s="23">
        <v>7</v>
      </c>
    </row>
    <row r="294" spans="1:16" ht="15.75" customHeight="1" x14ac:dyDescent="0.3">
      <c r="A294" s="23">
        <v>903</v>
      </c>
      <c r="B294" s="24">
        <v>40584</v>
      </c>
      <c r="C294" s="23">
        <v>1</v>
      </c>
      <c r="D294" s="23">
        <v>0</v>
      </c>
      <c r="E294" s="23">
        <v>2</v>
      </c>
      <c r="F294" s="23">
        <v>2</v>
      </c>
      <c r="G294" s="23" t="b">
        <v>0</v>
      </c>
      <c r="H294" s="23">
        <v>4</v>
      </c>
      <c r="I294" s="23">
        <v>3</v>
      </c>
      <c r="J294" s="23">
        <v>0.14000000000000001</v>
      </c>
      <c r="K294" s="23">
        <v>0.1515</v>
      </c>
      <c r="L294" s="23">
        <v>0.8</v>
      </c>
      <c r="M294" s="23">
        <v>0.1343</v>
      </c>
      <c r="N294" s="23">
        <v>0</v>
      </c>
      <c r="O294" s="23">
        <v>3</v>
      </c>
      <c r="P294" s="23">
        <v>3</v>
      </c>
    </row>
    <row r="295" spans="1:16" ht="15.75" customHeight="1" x14ac:dyDescent="0.3">
      <c r="A295" s="23">
        <v>904</v>
      </c>
      <c r="B295" s="24">
        <v>40584</v>
      </c>
      <c r="C295" s="23">
        <v>1</v>
      </c>
      <c r="D295" s="23">
        <v>0</v>
      </c>
      <c r="E295" s="23">
        <v>2</v>
      </c>
      <c r="F295" s="23">
        <v>4</v>
      </c>
      <c r="G295" s="23" t="b">
        <v>0</v>
      </c>
      <c r="H295" s="23">
        <v>4</v>
      </c>
      <c r="I295" s="23">
        <v>2</v>
      </c>
      <c r="J295" s="23">
        <v>0.14000000000000001</v>
      </c>
      <c r="K295" s="23">
        <v>0.13639999999999999</v>
      </c>
      <c r="L295" s="23">
        <v>0.59</v>
      </c>
      <c r="M295" s="23">
        <v>0.22389999999999999</v>
      </c>
      <c r="N295" s="23">
        <v>0</v>
      </c>
      <c r="O295" s="23">
        <v>1</v>
      </c>
      <c r="P295" s="23">
        <v>1</v>
      </c>
    </row>
    <row r="296" spans="1:16" ht="15.75" customHeight="1" x14ac:dyDescent="0.3">
      <c r="A296" s="23">
        <v>905</v>
      </c>
      <c r="B296" s="24">
        <v>40584</v>
      </c>
      <c r="C296" s="23">
        <v>1</v>
      </c>
      <c r="D296" s="23">
        <v>0</v>
      </c>
      <c r="E296" s="23">
        <v>2</v>
      </c>
      <c r="F296" s="23">
        <v>5</v>
      </c>
      <c r="G296" s="23" t="b">
        <v>0</v>
      </c>
      <c r="H296" s="23">
        <v>4</v>
      </c>
      <c r="I296" s="23">
        <v>2</v>
      </c>
      <c r="J296" s="23">
        <v>0.12</v>
      </c>
      <c r="K296" s="23">
        <v>0.1212</v>
      </c>
      <c r="L296" s="23">
        <v>0.5</v>
      </c>
      <c r="M296" s="23">
        <v>0.22389999999999999</v>
      </c>
      <c r="N296" s="23">
        <v>0</v>
      </c>
      <c r="O296" s="23">
        <v>6</v>
      </c>
      <c r="P296" s="23">
        <v>6</v>
      </c>
    </row>
    <row r="297" spans="1:16" ht="15.75" customHeight="1" x14ac:dyDescent="0.3">
      <c r="A297" s="23">
        <v>906</v>
      </c>
      <c r="B297" s="24">
        <v>40584</v>
      </c>
      <c r="C297" s="23">
        <v>1</v>
      </c>
      <c r="D297" s="23">
        <v>0</v>
      </c>
      <c r="E297" s="23">
        <v>2</v>
      </c>
      <c r="F297" s="23">
        <v>6</v>
      </c>
      <c r="G297" s="23" t="b">
        <v>0</v>
      </c>
      <c r="H297" s="23">
        <v>4</v>
      </c>
      <c r="I297" s="23">
        <v>2</v>
      </c>
      <c r="J297" s="23">
        <v>0.12</v>
      </c>
      <c r="K297" s="23">
        <v>0.1212</v>
      </c>
      <c r="L297" s="23">
        <v>0.54</v>
      </c>
      <c r="M297" s="23">
        <v>0.28360000000000002</v>
      </c>
      <c r="N297" s="23">
        <v>0</v>
      </c>
      <c r="O297" s="23">
        <v>26</v>
      </c>
      <c r="P297" s="23">
        <v>26</v>
      </c>
    </row>
    <row r="298" spans="1:16" ht="15.75" customHeight="1" x14ac:dyDescent="0.3">
      <c r="A298" s="23">
        <v>907</v>
      </c>
      <c r="B298" s="24">
        <v>40584</v>
      </c>
      <c r="C298" s="23">
        <v>1</v>
      </c>
      <c r="D298" s="23">
        <v>0</v>
      </c>
      <c r="E298" s="23">
        <v>2</v>
      </c>
      <c r="F298" s="23">
        <v>7</v>
      </c>
      <c r="G298" s="23" t="b">
        <v>0</v>
      </c>
      <c r="H298" s="23">
        <v>4</v>
      </c>
      <c r="I298" s="23">
        <v>1</v>
      </c>
      <c r="J298" s="23">
        <v>0.1</v>
      </c>
      <c r="K298" s="23">
        <v>7.5800000000000006E-2</v>
      </c>
      <c r="L298" s="23">
        <v>0.5</v>
      </c>
      <c r="M298" s="23">
        <v>0.41789999999999999</v>
      </c>
      <c r="N298" s="23">
        <v>0</v>
      </c>
      <c r="O298" s="23">
        <v>99</v>
      </c>
      <c r="P298" s="23">
        <v>99</v>
      </c>
    </row>
    <row r="299" spans="1:16" ht="15.75" customHeight="1" x14ac:dyDescent="0.3">
      <c r="A299" s="23">
        <v>908</v>
      </c>
      <c r="B299" s="24">
        <v>40584</v>
      </c>
      <c r="C299" s="23">
        <v>1</v>
      </c>
      <c r="D299" s="23">
        <v>0</v>
      </c>
      <c r="E299" s="23">
        <v>2</v>
      </c>
      <c r="F299" s="23">
        <v>8</v>
      </c>
      <c r="G299" s="23" t="b">
        <v>0</v>
      </c>
      <c r="H299" s="23">
        <v>4</v>
      </c>
      <c r="I299" s="23">
        <v>1</v>
      </c>
      <c r="J299" s="23">
        <v>0.1</v>
      </c>
      <c r="K299" s="23">
        <v>7.5800000000000006E-2</v>
      </c>
      <c r="L299" s="23">
        <v>0.49</v>
      </c>
      <c r="M299" s="23">
        <v>0.32840000000000003</v>
      </c>
      <c r="N299" s="23">
        <v>5</v>
      </c>
      <c r="O299" s="23">
        <v>173</v>
      </c>
      <c r="P299" s="23">
        <v>178</v>
      </c>
    </row>
    <row r="300" spans="1:16" ht="15.75" customHeight="1" x14ac:dyDescent="0.3">
      <c r="A300" s="23">
        <v>909</v>
      </c>
      <c r="B300" s="24">
        <v>40584</v>
      </c>
      <c r="C300" s="23">
        <v>1</v>
      </c>
      <c r="D300" s="23">
        <v>0</v>
      </c>
      <c r="E300" s="23">
        <v>2</v>
      </c>
      <c r="F300" s="23">
        <v>9</v>
      </c>
      <c r="G300" s="23" t="b">
        <v>0</v>
      </c>
      <c r="H300" s="23">
        <v>4</v>
      </c>
      <c r="I300" s="23">
        <v>1</v>
      </c>
      <c r="J300" s="23">
        <v>0.12</v>
      </c>
      <c r="K300" s="23">
        <v>0.1061</v>
      </c>
      <c r="L300" s="23">
        <v>0.42</v>
      </c>
      <c r="M300" s="23">
        <v>0.35820000000000002</v>
      </c>
      <c r="N300" s="23">
        <v>1</v>
      </c>
      <c r="O300" s="23">
        <v>121</v>
      </c>
      <c r="P300" s="23">
        <v>122</v>
      </c>
    </row>
    <row r="301" spans="1:16" ht="15.75" customHeight="1" x14ac:dyDescent="0.3">
      <c r="A301" s="23">
        <v>910</v>
      </c>
      <c r="B301" s="24">
        <v>40584</v>
      </c>
      <c r="C301" s="23">
        <v>1</v>
      </c>
      <c r="D301" s="23">
        <v>0</v>
      </c>
      <c r="E301" s="23">
        <v>2</v>
      </c>
      <c r="F301" s="23">
        <v>10</v>
      </c>
      <c r="G301" s="23" t="b">
        <v>0</v>
      </c>
      <c r="H301" s="23">
        <v>4</v>
      </c>
      <c r="I301" s="23">
        <v>1</v>
      </c>
      <c r="J301" s="23">
        <v>0.12</v>
      </c>
      <c r="K301" s="23">
        <v>0.1061</v>
      </c>
      <c r="L301" s="23">
        <v>0.42</v>
      </c>
      <c r="M301" s="23">
        <v>0.29849999999999999</v>
      </c>
      <c r="N301" s="23">
        <v>1</v>
      </c>
      <c r="O301" s="23">
        <v>34</v>
      </c>
      <c r="P301" s="23">
        <v>35</v>
      </c>
    </row>
    <row r="302" spans="1:16" ht="15.75" customHeight="1" x14ac:dyDescent="0.3">
      <c r="A302" s="23">
        <v>911</v>
      </c>
      <c r="B302" s="24">
        <v>40584</v>
      </c>
      <c r="C302" s="23">
        <v>1</v>
      </c>
      <c r="D302" s="23">
        <v>0</v>
      </c>
      <c r="E302" s="23">
        <v>2</v>
      </c>
      <c r="F302" s="23">
        <v>11</v>
      </c>
      <c r="G302" s="23" t="b">
        <v>0</v>
      </c>
      <c r="H302" s="23">
        <v>4</v>
      </c>
      <c r="I302" s="23">
        <v>1</v>
      </c>
      <c r="J302" s="23">
        <v>0.14000000000000001</v>
      </c>
      <c r="K302" s="23">
        <v>0.1212</v>
      </c>
      <c r="L302" s="23">
        <v>0.39</v>
      </c>
      <c r="M302" s="23">
        <v>0.35820000000000002</v>
      </c>
      <c r="N302" s="23">
        <v>1</v>
      </c>
      <c r="O302" s="23">
        <v>44</v>
      </c>
      <c r="P302" s="23">
        <v>45</v>
      </c>
    </row>
    <row r="303" spans="1:16" ht="15.75" customHeight="1" x14ac:dyDescent="0.3">
      <c r="A303" s="23">
        <v>912</v>
      </c>
      <c r="B303" s="24">
        <v>40584</v>
      </c>
      <c r="C303" s="23">
        <v>1</v>
      </c>
      <c r="D303" s="23">
        <v>0</v>
      </c>
      <c r="E303" s="23">
        <v>2</v>
      </c>
      <c r="F303" s="23">
        <v>12</v>
      </c>
      <c r="G303" s="23" t="b">
        <v>0</v>
      </c>
      <c r="H303" s="23">
        <v>4</v>
      </c>
      <c r="I303" s="23">
        <v>1</v>
      </c>
      <c r="J303" s="23">
        <v>0.16</v>
      </c>
      <c r="K303" s="23">
        <v>0.13639999999999999</v>
      </c>
      <c r="L303" s="23">
        <v>0.34</v>
      </c>
      <c r="M303" s="23">
        <v>0.3881</v>
      </c>
      <c r="N303" s="23">
        <v>4</v>
      </c>
      <c r="O303" s="23">
        <v>65</v>
      </c>
      <c r="P303" s="23">
        <v>69</v>
      </c>
    </row>
    <row r="304" spans="1:16" ht="15.75" customHeight="1" x14ac:dyDescent="0.3">
      <c r="A304" s="23">
        <v>913</v>
      </c>
      <c r="B304" s="24">
        <v>40584</v>
      </c>
      <c r="C304" s="23">
        <v>1</v>
      </c>
      <c r="D304" s="23">
        <v>0</v>
      </c>
      <c r="E304" s="23">
        <v>2</v>
      </c>
      <c r="F304" s="23">
        <v>13</v>
      </c>
      <c r="G304" s="23" t="b">
        <v>0</v>
      </c>
      <c r="H304" s="23">
        <v>4</v>
      </c>
      <c r="I304" s="23">
        <v>1</v>
      </c>
      <c r="J304" s="23">
        <v>0.18</v>
      </c>
      <c r="K304" s="23">
        <v>0.16669999999999999</v>
      </c>
      <c r="L304" s="23">
        <v>0.28999999999999998</v>
      </c>
      <c r="M304" s="23">
        <v>0.29849999999999999</v>
      </c>
      <c r="N304" s="23">
        <v>3</v>
      </c>
      <c r="O304" s="23">
        <v>59</v>
      </c>
      <c r="P304" s="23">
        <v>62</v>
      </c>
    </row>
    <row r="305" spans="1:16" ht="15.75" customHeight="1" x14ac:dyDescent="0.3">
      <c r="A305" s="23">
        <v>914</v>
      </c>
      <c r="B305" s="24">
        <v>40584</v>
      </c>
      <c r="C305" s="23">
        <v>1</v>
      </c>
      <c r="D305" s="23">
        <v>0</v>
      </c>
      <c r="E305" s="23">
        <v>2</v>
      </c>
      <c r="F305" s="23">
        <v>14</v>
      </c>
      <c r="G305" s="23" t="b">
        <v>0</v>
      </c>
      <c r="H305" s="23">
        <v>4</v>
      </c>
      <c r="I305" s="23">
        <v>1</v>
      </c>
      <c r="J305" s="23">
        <v>0.2</v>
      </c>
      <c r="K305" s="23">
        <v>0.18179999999999999</v>
      </c>
      <c r="L305" s="23">
        <v>0.27</v>
      </c>
      <c r="M305" s="23">
        <v>0.28360000000000002</v>
      </c>
      <c r="N305" s="23">
        <v>6</v>
      </c>
      <c r="O305" s="23">
        <v>42</v>
      </c>
      <c r="P305" s="23">
        <v>48</v>
      </c>
    </row>
    <row r="306" spans="1:16" ht="15.75" customHeight="1" x14ac:dyDescent="0.3">
      <c r="A306" s="23">
        <v>915</v>
      </c>
      <c r="B306" s="24">
        <v>40584</v>
      </c>
      <c r="C306" s="23">
        <v>1</v>
      </c>
      <c r="D306" s="23">
        <v>0</v>
      </c>
      <c r="E306" s="23">
        <v>2</v>
      </c>
      <c r="F306" s="23">
        <v>15</v>
      </c>
      <c r="G306" s="23" t="b">
        <v>0</v>
      </c>
      <c r="H306" s="23">
        <v>4</v>
      </c>
      <c r="I306" s="23">
        <v>1</v>
      </c>
      <c r="J306" s="23">
        <v>0.2</v>
      </c>
      <c r="K306" s="23">
        <v>0.19700000000000001</v>
      </c>
      <c r="L306" s="23">
        <v>0.25</v>
      </c>
      <c r="M306" s="23">
        <v>0.25369999999999998</v>
      </c>
      <c r="N306" s="23">
        <v>0</v>
      </c>
      <c r="O306" s="23">
        <v>50</v>
      </c>
      <c r="P306" s="23">
        <v>50</v>
      </c>
    </row>
    <row r="307" spans="1:16" ht="15.75" customHeight="1" x14ac:dyDescent="0.3">
      <c r="A307" s="23">
        <v>916</v>
      </c>
      <c r="B307" s="24">
        <v>40584</v>
      </c>
      <c r="C307" s="23">
        <v>1</v>
      </c>
      <c r="D307" s="23">
        <v>0</v>
      </c>
      <c r="E307" s="23">
        <v>2</v>
      </c>
      <c r="F307" s="23">
        <v>16</v>
      </c>
      <c r="G307" s="23" t="b">
        <v>0</v>
      </c>
      <c r="H307" s="23">
        <v>4</v>
      </c>
      <c r="I307" s="23">
        <v>1</v>
      </c>
      <c r="J307" s="23">
        <v>0.2</v>
      </c>
      <c r="K307" s="23">
        <v>0.18179999999999999</v>
      </c>
      <c r="L307" s="23">
        <v>0.27</v>
      </c>
      <c r="M307" s="23">
        <v>0.29849999999999999</v>
      </c>
      <c r="N307" s="23">
        <v>4</v>
      </c>
      <c r="O307" s="23">
        <v>76</v>
      </c>
      <c r="P307" s="23">
        <v>80</v>
      </c>
    </row>
    <row r="308" spans="1:16" ht="15.75" customHeight="1" x14ac:dyDescent="0.3">
      <c r="A308" s="23">
        <v>917</v>
      </c>
      <c r="B308" s="24">
        <v>40584</v>
      </c>
      <c r="C308" s="23">
        <v>1</v>
      </c>
      <c r="D308" s="23">
        <v>0</v>
      </c>
      <c r="E308" s="23">
        <v>2</v>
      </c>
      <c r="F308" s="23">
        <v>17</v>
      </c>
      <c r="G308" s="23" t="b">
        <v>0</v>
      </c>
      <c r="H308" s="23">
        <v>4</v>
      </c>
      <c r="I308" s="23">
        <v>1</v>
      </c>
      <c r="J308" s="23">
        <v>0.18</v>
      </c>
      <c r="K308" s="23">
        <v>0.18179999999999999</v>
      </c>
      <c r="L308" s="23">
        <v>0.26</v>
      </c>
      <c r="M308" s="23">
        <v>0.19400000000000001</v>
      </c>
      <c r="N308" s="23">
        <v>6</v>
      </c>
      <c r="O308" s="23">
        <v>159</v>
      </c>
      <c r="P308" s="23">
        <v>165</v>
      </c>
    </row>
    <row r="309" spans="1:16" ht="15.75" customHeight="1" x14ac:dyDescent="0.3">
      <c r="A309" s="23">
        <v>918</v>
      </c>
      <c r="B309" s="24">
        <v>40584</v>
      </c>
      <c r="C309" s="23">
        <v>1</v>
      </c>
      <c r="D309" s="23">
        <v>0</v>
      </c>
      <c r="E309" s="23">
        <v>2</v>
      </c>
      <c r="F309" s="23">
        <v>18</v>
      </c>
      <c r="G309" s="23" t="b">
        <v>0</v>
      </c>
      <c r="H309" s="23">
        <v>4</v>
      </c>
      <c r="I309" s="23">
        <v>1</v>
      </c>
      <c r="J309" s="23">
        <v>0.16</v>
      </c>
      <c r="K309" s="23">
        <v>0.18179999999999999</v>
      </c>
      <c r="L309" s="23">
        <v>0.28000000000000003</v>
      </c>
      <c r="M309" s="23">
        <v>0.1343</v>
      </c>
      <c r="N309" s="23">
        <v>3</v>
      </c>
      <c r="O309" s="23">
        <v>157</v>
      </c>
      <c r="P309" s="23">
        <v>160</v>
      </c>
    </row>
    <row r="310" spans="1:16" ht="15.75" customHeight="1" x14ac:dyDescent="0.3">
      <c r="A310" s="23">
        <v>919</v>
      </c>
      <c r="B310" s="24">
        <v>40584</v>
      </c>
      <c r="C310" s="23">
        <v>1</v>
      </c>
      <c r="D310" s="23">
        <v>0</v>
      </c>
      <c r="E310" s="23">
        <v>2</v>
      </c>
      <c r="F310" s="23">
        <v>19</v>
      </c>
      <c r="G310" s="23" t="b">
        <v>0</v>
      </c>
      <c r="H310" s="23">
        <v>4</v>
      </c>
      <c r="I310" s="23">
        <v>1</v>
      </c>
      <c r="J310" s="23">
        <v>0.14000000000000001</v>
      </c>
      <c r="K310" s="23">
        <v>0.16669999999999999</v>
      </c>
      <c r="L310" s="23">
        <v>0.28000000000000003</v>
      </c>
      <c r="M310" s="23">
        <v>0.1045</v>
      </c>
      <c r="N310" s="23">
        <v>2</v>
      </c>
      <c r="O310" s="23">
        <v>110</v>
      </c>
      <c r="P310" s="23">
        <v>112</v>
      </c>
    </row>
    <row r="311" spans="1:16" ht="15.75" customHeight="1" x14ac:dyDescent="0.3">
      <c r="A311" s="23">
        <v>920</v>
      </c>
      <c r="B311" s="24">
        <v>40584</v>
      </c>
      <c r="C311" s="23">
        <v>1</v>
      </c>
      <c r="D311" s="23">
        <v>0</v>
      </c>
      <c r="E311" s="23">
        <v>2</v>
      </c>
      <c r="F311" s="23">
        <v>20</v>
      </c>
      <c r="G311" s="23" t="b">
        <v>0</v>
      </c>
      <c r="H311" s="23">
        <v>4</v>
      </c>
      <c r="I311" s="23">
        <v>1</v>
      </c>
      <c r="J311" s="23">
        <v>0.14000000000000001</v>
      </c>
      <c r="K311" s="23">
        <v>0.18179999999999999</v>
      </c>
      <c r="L311" s="23">
        <v>0.31</v>
      </c>
      <c r="M311" s="23">
        <v>8.9599999999999999E-2</v>
      </c>
      <c r="N311" s="23">
        <v>4</v>
      </c>
      <c r="O311" s="23">
        <v>93</v>
      </c>
      <c r="P311" s="23">
        <v>97</v>
      </c>
    </row>
    <row r="312" spans="1:16" ht="15.75" customHeight="1" x14ac:dyDescent="0.3">
      <c r="A312" s="23">
        <v>921</v>
      </c>
      <c r="B312" s="24">
        <v>40584</v>
      </c>
      <c r="C312" s="23">
        <v>1</v>
      </c>
      <c r="D312" s="23">
        <v>0</v>
      </c>
      <c r="E312" s="23">
        <v>2</v>
      </c>
      <c r="F312" s="23">
        <v>21</v>
      </c>
      <c r="G312" s="23" t="b">
        <v>0</v>
      </c>
      <c r="H312" s="23">
        <v>4</v>
      </c>
      <c r="I312" s="23">
        <v>1</v>
      </c>
      <c r="J312" s="23">
        <v>0.14000000000000001</v>
      </c>
      <c r="K312" s="23">
        <v>0.21210000000000001</v>
      </c>
      <c r="L312" s="23">
        <v>0.39</v>
      </c>
      <c r="M312" s="23">
        <v>0</v>
      </c>
      <c r="N312" s="23">
        <v>2</v>
      </c>
      <c r="O312" s="23">
        <v>70</v>
      </c>
      <c r="P312" s="23">
        <v>72</v>
      </c>
    </row>
    <row r="313" spans="1:16" ht="15.75" customHeight="1" x14ac:dyDescent="0.3">
      <c r="A313" s="23">
        <v>922</v>
      </c>
      <c r="B313" s="24">
        <v>40584</v>
      </c>
      <c r="C313" s="23">
        <v>1</v>
      </c>
      <c r="D313" s="23">
        <v>0</v>
      </c>
      <c r="E313" s="23">
        <v>2</v>
      </c>
      <c r="F313" s="23">
        <v>22</v>
      </c>
      <c r="G313" s="23" t="b">
        <v>0</v>
      </c>
      <c r="H313" s="23">
        <v>4</v>
      </c>
      <c r="I313" s="23">
        <v>1</v>
      </c>
      <c r="J313" s="23">
        <v>0.12</v>
      </c>
      <c r="K313" s="23">
        <v>0.19700000000000001</v>
      </c>
      <c r="L313" s="23">
        <v>0.39</v>
      </c>
      <c r="M313" s="23">
        <v>0</v>
      </c>
      <c r="N313" s="23">
        <v>4</v>
      </c>
      <c r="O313" s="23">
        <v>47</v>
      </c>
      <c r="P313" s="23">
        <v>51</v>
      </c>
    </row>
    <row r="314" spans="1:16" ht="15.75" customHeight="1" x14ac:dyDescent="0.3">
      <c r="A314" s="23">
        <v>923</v>
      </c>
      <c r="B314" s="24">
        <v>40584</v>
      </c>
      <c r="C314" s="23">
        <v>1</v>
      </c>
      <c r="D314" s="23">
        <v>0</v>
      </c>
      <c r="E314" s="23">
        <v>2</v>
      </c>
      <c r="F314" s="23">
        <v>23</v>
      </c>
      <c r="G314" s="23" t="b">
        <v>0</v>
      </c>
      <c r="H314" s="23">
        <v>4</v>
      </c>
      <c r="I314" s="23">
        <v>1</v>
      </c>
      <c r="J314" s="23">
        <v>0.12</v>
      </c>
      <c r="K314" s="23">
        <v>0.1515</v>
      </c>
      <c r="L314" s="23">
        <v>0.42</v>
      </c>
      <c r="M314" s="23">
        <v>0.1045</v>
      </c>
      <c r="N314" s="23">
        <v>1</v>
      </c>
      <c r="O314" s="23">
        <v>33</v>
      </c>
      <c r="P314" s="23">
        <v>34</v>
      </c>
    </row>
    <row r="315" spans="1:16" ht="15.75" customHeight="1" x14ac:dyDescent="0.3">
      <c r="A315" s="23">
        <v>924</v>
      </c>
      <c r="B315" s="24">
        <v>40585</v>
      </c>
      <c r="C315" s="23">
        <v>1</v>
      </c>
      <c r="D315" s="23">
        <v>0</v>
      </c>
      <c r="E315" s="23">
        <v>2</v>
      </c>
      <c r="F315" s="23">
        <v>0</v>
      </c>
      <c r="G315" s="23" t="b">
        <v>0</v>
      </c>
      <c r="H315" s="23">
        <v>5</v>
      </c>
      <c r="I315" s="23">
        <v>1</v>
      </c>
      <c r="J315" s="23">
        <v>0.1</v>
      </c>
      <c r="K315" s="23">
        <v>0.13639999999999999</v>
      </c>
      <c r="L315" s="23">
        <v>0.49</v>
      </c>
      <c r="M315" s="23">
        <v>0.1045</v>
      </c>
      <c r="N315" s="23">
        <v>2</v>
      </c>
      <c r="O315" s="23">
        <v>12</v>
      </c>
      <c r="P315" s="23">
        <v>14</v>
      </c>
    </row>
    <row r="316" spans="1:16" ht="15.75" customHeight="1" x14ac:dyDescent="0.3">
      <c r="A316" s="23">
        <v>925</v>
      </c>
      <c r="B316" s="24">
        <v>40585</v>
      </c>
      <c r="C316" s="23">
        <v>1</v>
      </c>
      <c r="D316" s="23">
        <v>0</v>
      </c>
      <c r="E316" s="23">
        <v>2</v>
      </c>
      <c r="F316" s="23">
        <v>1</v>
      </c>
      <c r="G316" s="23" t="b">
        <v>0</v>
      </c>
      <c r="H316" s="23">
        <v>5</v>
      </c>
      <c r="I316" s="23">
        <v>1</v>
      </c>
      <c r="J316" s="23">
        <v>0.1</v>
      </c>
      <c r="K316" s="23">
        <v>0.13639999999999999</v>
      </c>
      <c r="L316" s="23">
        <v>0.54</v>
      </c>
      <c r="M316" s="23">
        <v>8.9599999999999999E-2</v>
      </c>
      <c r="N316" s="23">
        <v>1</v>
      </c>
      <c r="O316" s="23">
        <v>6</v>
      </c>
      <c r="P316" s="23">
        <v>7</v>
      </c>
    </row>
    <row r="317" spans="1:16" ht="15.75" customHeight="1" x14ac:dyDescent="0.3">
      <c r="A317" s="23">
        <v>926</v>
      </c>
      <c r="B317" s="24">
        <v>40585</v>
      </c>
      <c r="C317" s="23">
        <v>1</v>
      </c>
      <c r="D317" s="23">
        <v>0</v>
      </c>
      <c r="E317" s="23">
        <v>2</v>
      </c>
      <c r="F317" s="23">
        <v>2</v>
      </c>
      <c r="G317" s="23" t="b">
        <v>0</v>
      </c>
      <c r="H317" s="23">
        <v>5</v>
      </c>
      <c r="I317" s="23">
        <v>1</v>
      </c>
      <c r="J317" s="23">
        <v>0.1</v>
      </c>
      <c r="K317" s="23">
        <v>0.13639999999999999</v>
      </c>
      <c r="L317" s="23">
        <v>0.54</v>
      </c>
      <c r="M317" s="23">
        <v>8.9599999999999999E-2</v>
      </c>
      <c r="N317" s="23">
        <v>0</v>
      </c>
      <c r="O317" s="23">
        <v>3</v>
      </c>
      <c r="P317" s="23">
        <v>3</v>
      </c>
    </row>
    <row r="318" spans="1:16" ht="15.75" customHeight="1" x14ac:dyDescent="0.3">
      <c r="A318" s="23">
        <v>927</v>
      </c>
      <c r="B318" s="24">
        <v>40585</v>
      </c>
      <c r="C318" s="23">
        <v>1</v>
      </c>
      <c r="D318" s="23">
        <v>0</v>
      </c>
      <c r="E318" s="23">
        <v>2</v>
      </c>
      <c r="F318" s="23">
        <v>5</v>
      </c>
      <c r="G318" s="23" t="b">
        <v>0</v>
      </c>
      <c r="H318" s="23">
        <v>5</v>
      </c>
      <c r="I318" s="23">
        <v>1</v>
      </c>
      <c r="J318" s="23">
        <v>0.08</v>
      </c>
      <c r="K318" s="23">
        <v>0.1212</v>
      </c>
      <c r="L318" s="23">
        <v>0.63</v>
      </c>
      <c r="M318" s="23">
        <v>8.9599999999999999E-2</v>
      </c>
      <c r="N318" s="23">
        <v>0</v>
      </c>
      <c r="O318" s="23">
        <v>4</v>
      </c>
      <c r="P318" s="23">
        <v>4</v>
      </c>
    </row>
    <row r="319" spans="1:16" ht="15.75" customHeight="1" x14ac:dyDescent="0.3">
      <c r="A319" s="23">
        <v>928</v>
      </c>
      <c r="B319" s="24">
        <v>40585</v>
      </c>
      <c r="C319" s="23">
        <v>1</v>
      </c>
      <c r="D319" s="23">
        <v>0</v>
      </c>
      <c r="E319" s="23">
        <v>2</v>
      </c>
      <c r="F319" s="23">
        <v>6</v>
      </c>
      <c r="G319" s="23" t="b">
        <v>0</v>
      </c>
      <c r="H319" s="23">
        <v>5</v>
      </c>
      <c r="I319" s="23">
        <v>1</v>
      </c>
      <c r="J319" s="23">
        <v>0.1</v>
      </c>
      <c r="K319" s="23">
        <v>0.18179999999999999</v>
      </c>
      <c r="L319" s="23">
        <v>0.68</v>
      </c>
      <c r="M319" s="23">
        <v>0</v>
      </c>
      <c r="N319" s="23">
        <v>1</v>
      </c>
      <c r="O319" s="23">
        <v>23</v>
      </c>
      <c r="P319" s="23">
        <v>24</v>
      </c>
    </row>
    <row r="320" spans="1:16" ht="15.75" customHeight="1" x14ac:dyDescent="0.3">
      <c r="A320" s="23">
        <v>929</v>
      </c>
      <c r="B320" s="24">
        <v>40585</v>
      </c>
      <c r="C320" s="23">
        <v>1</v>
      </c>
      <c r="D320" s="23">
        <v>0</v>
      </c>
      <c r="E320" s="23">
        <v>2</v>
      </c>
      <c r="F320" s="23">
        <v>7</v>
      </c>
      <c r="G320" s="23" t="b">
        <v>0</v>
      </c>
      <c r="H320" s="23">
        <v>5</v>
      </c>
      <c r="I320" s="23">
        <v>1</v>
      </c>
      <c r="J320" s="23">
        <v>0.08</v>
      </c>
      <c r="K320" s="23">
        <v>0.16669999999999999</v>
      </c>
      <c r="L320" s="23">
        <v>0.73</v>
      </c>
      <c r="M320" s="23">
        <v>0</v>
      </c>
      <c r="N320" s="23">
        <v>1</v>
      </c>
      <c r="O320" s="23">
        <v>73</v>
      </c>
      <c r="P320" s="23">
        <v>74</v>
      </c>
    </row>
    <row r="321" spans="1:16" ht="15.75" customHeight="1" x14ac:dyDescent="0.3">
      <c r="A321" s="23">
        <v>930</v>
      </c>
      <c r="B321" s="24">
        <v>40585</v>
      </c>
      <c r="C321" s="23">
        <v>1</v>
      </c>
      <c r="D321" s="23">
        <v>0</v>
      </c>
      <c r="E321" s="23">
        <v>2</v>
      </c>
      <c r="F321" s="23">
        <v>8</v>
      </c>
      <c r="G321" s="23" t="b">
        <v>0</v>
      </c>
      <c r="H321" s="23">
        <v>5</v>
      </c>
      <c r="I321" s="23">
        <v>1</v>
      </c>
      <c r="J321" s="23">
        <v>0.1</v>
      </c>
      <c r="K321" s="23">
        <v>0.1212</v>
      </c>
      <c r="L321" s="23">
        <v>0.74</v>
      </c>
      <c r="M321" s="23">
        <v>0.16420000000000001</v>
      </c>
      <c r="N321" s="23">
        <v>4</v>
      </c>
      <c r="O321" s="23">
        <v>212</v>
      </c>
      <c r="P321" s="23">
        <v>216</v>
      </c>
    </row>
    <row r="322" spans="1:16" ht="15.75" customHeight="1" x14ac:dyDescent="0.3">
      <c r="A322" s="23">
        <v>931</v>
      </c>
      <c r="B322" s="24">
        <v>40585</v>
      </c>
      <c r="C322" s="23">
        <v>1</v>
      </c>
      <c r="D322" s="23">
        <v>0</v>
      </c>
      <c r="E322" s="23">
        <v>2</v>
      </c>
      <c r="F322" s="23">
        <v>9</v>
      </c>
      <c r="G322" s="23" t="b">
        <v>0</v>
      </c>
      <c r="H322" s="23">
        <v>5</v>
      </c>
      <c r="I322" s="23">
        <v>1</v>
      </c>
      <c r="J322" s="23">
        <v>0.12</v>
      </c>
      <c r="K322" s="23">
        <v>0.1212</v>
      </c>
      <c r="L322" s="23">
        <v>0.74</v>
      </c>
      <c r="M322" s="23">
        <v>0.22389999999999999</v>
      </c>
      <c r="N322" s="23">
        <v>8</v>
      </c>
      <c r="O322" s="23">
        <v>132</v>
      </c>
      <c r="P322" s="23">
        <v>140</v>
      </c>
    </row>
    <row r="323" spans="1:16" ht="15.75" customHeight="1" x14ac:dyDescent="0.3">
      <c r="A323" s="23">
        <v>932</v>
      </c>
      <c r="B323" s="24">
        <v>40585</v>
      </c>
      <c r="C323" s="23">
        <v>1</v>
      </c>
      <c r="D323" s="23">
        <v>0</v>
      </c>
      <c r="E323" s="23">
        <v>2</v>
      </c>
      <c r="F323" s="23">
        <v>10</v>
      </c>
      <c r="G323" s="23" t="b">
        <v>0</v>
      </c>
      <c r="H323" s="23">
        <v>5</v>
      </c>
      <c r="I323" s="23">
        <v>1</v>
      </c>
      <c r="J323" s="23">
        <v>0.14000000000000001</v>
      </c>
      <c r="K323" s="23">
        <v>0.13639999999999999</v>
      </c>
      <c r="L323" s="23">
        <v>0.69</v>
      </c>
      <c r="M323" s="23">
        <v>0.19400000000000001</v>
      </c>
      <c r="N323" s="23">
        <v>5</v>
      </c>
      <c r="O323" s="23">
        <v>39</v>
      </c>
      <c r="P323" s="23">
        <v>44</v>
      </c>
    </row>
    <row r="324" spans="1:16" ht="15.75" customHeight="1" x14ac:dyDescent="0.3">
      <c r="A324" s="23">
        <v>933</v>
      </c>
      <c r="B324" s="24">
        <v>40585</v>
      </c>
      <c r="C324" s="23">
        <v>1</v>
      </c>
      <c r="D324" s="23">
        <v>0</v>
      </c>
      <c r="E324" s="23">
        <v>2</v>
      </c>
      <c r="F324" s="23">
        <v>11</v>
      </c>
      <c r="G324" s="23" t="b">
        <v>0</v>
      </c>
      <c r="H324" s="23">
        <v>5</v>
      </c>
      <c r="I324" s="23">
        <v>1</v>
      </c>
      <c r="J324" s="23">
        <v>0.22</v>
      </c>
      <c r="K324" s="23">
        <v>0.2273</v>
      </c>
      <c r="L324" s="23">
        <v>0.47</v>
      </c>
      <c r="M324" s="23">
        <v>0.1343</v>
      </c>
      <c r="N324" s="23">
        <v>12</v>
      </c>
      <c r="O324" s="23">
        <v>52</v>
      </c>
      <c r="P324" s="23">
        <v>64</v>
      </c>
    </row>
    <row r="325" spans="1:16" ht="15.75" customHeight="1" x14ac:dyDescent="0.3">
      <c r="A325" s="23">
        <v>934</v>
      </c>
      <c r="B325" s="24">
        <v>40585</v>
      </c>
      <c r="C325" s="23">
        <v>1</v>
      </c>
      <c r="D325" s="23">
        <v>0</v>
      </c>
      <c r="E325" s="23">
        <v>2</v>
      </c>
      <c r="F325" s="23">
        <v>12</v>
      </c>
      <c r="G325" s="23" t="b">
        <v>0</v>
      </c>
      <c r="H325" s="23">
        <v>5</v>
      </c>
      <c r="I325" s="23">
        <v>1</v>
      </c>
      <c r="J325" s="23">
        <v>0.22</v>
      </c>
      <c r="K325" s="23">
        <v>0.2273</v>
      </c>
      <c r="L325" s="23">
        <v>0.47</v>
      </c>
      <c r="M325" s="23">
        <v>0.1343</v>
      </c>
      <c r="N325" s="23">
        <v>7</v>
      </c>
      <c r="O325" s="23">
        <v>64</v>
      </c>
      <c r="P325" s="23">
        <v>71</v>
      </c>
    </row>
    <row r="326" spans="1:16" ht="15.75" customHeight="1" x14ac:dyDescent="0.3">
      <c r="A326" s="23">
        <v>935</v>
      </c>
      <c r="B326" s="24">
        <v>40585</v>
      </c>
      <c r="C326" s="23">
        <v>1</v>
      </c>
      <c r="D326" s="23">
        <v>0</v>
      </c>
      <c r="E326" s="23">
        <v>2</v>
      </c>
      <c r="F326" s="23">
        <v>13</v>
      </c>
      <c r="G326" s="23" t="b">
        <v>0</v>
      </c>
      <c r="H326" s="23">
        <v>5</v>
      </c>
      <c r="I326" s="23">
        <v>1</v>
      </c>
      <c r="J326" s="23">
        <v>0.24</v>
      </c>
      <c r="K326" s="23">
        <v>0.2273</v>
      </c>
      <c r="L326" s="23">
        <v>0.35</v>
      </c>
      <c r="M326" s="23">
        <v>0.19400000000000001</v>
      </c>
      <c r="N326" s="23">
        <v>21</v>
      </c>
      <c r="O326" s="23">
        <v>89</v>
      </c>
      <c r="P326" s="23">
        <v>110</v>
      </c>
    </row>
    <row r="327" spans="1:16" ht="15.75" customHeight="1" x14ac:dyDescent="0.3">
      <c r="A327" s="23">
        <v>936</v>
      </c>
      <c r="B327" s="24">
        <v>40585</v>
      </c>
      <c r="C327" s="23">
        <v>1</v>
      </c>
      <c r="D327" s="23">
        <v>0</v>
      </c>
      <c r="E327" s="23">
        <v>2</v>
      </c>
      <c r="F327" s="23">
        <v>14</v>
      </c>
      <c r="G327" s="23" t="b">
        <v>0</v>
      </c>
      <c r="H327" s="23">
        <v>5</v>
      </c>
      <c r="I327" s="23">
        <v>1</v>
      </c>
      <c r="J327" s="23">
        <v>0.3</v>
      </c>
      <c r="K327" s="23">
        <v>0.28789999999999999</v>
      </c>
      <c r="L327" s="23">
        <v>0.26</v>
      </c>
      <c r="M327" s="23">
        <v>0.25369999999999998</v>
      </c>
      <c r="N327" s="23">
        <v>17</v>
      </c>
      <c r="O327" s="23">
        <v>67</v>
      </c>
      <c r="P327" s="23">
        <v>84</v>
      </c>
    </row>
    <row r="328" spans="1:16" ht="15.75" customHeight="1" x14ac:dyDescent="0.3">
      <c r="A328" s="23">
        <v>937</v>
      </c>
      <c r="B328" s="24">
        <v>40585</v>
      </c>
      <c r="C328" s="23">
        <v>1</v>
      </c>
      <c r="D328" s="23">
        <v>0</v>
      </c>
      <c r="E328" s="23">
        <v>2</v>
      </c>
      <c r="F328" s="23">
        <v>15</v>
      </c>
      <c r="G328" s="23" t="b">
        <v>0</v>
      </c>
      <c r="H328" s="23">
        <v>5</v>
      </c>
      <c r="I328" s="23">
        <v>1</v>
      </c>
      <c r="J328" s="23">
        <v>0.32</v>
      </c>
      <c r="K328" s="23">
        <v>0.31819999999999998</v>
      </c>
      <c r="L328" s="23">
        <v>0.21</v>
      </c>
      <c r="M328" s="23">
        <v>0.16420000000000001</v>
      </c>
      <c r="N328" s="23">
        <v>12</v>
      </c>
      <c r="O328" s="23">
        <v>62</v>
      </c>
      <c r="P328" s="23">
        <v>74</v>
      </c>
    </row>
    <row r="329" spans="1:16" ht="15.75" customHeight="1" x14ac:dyDescent="0.3">
      <c r="A329" s="23">
        <v>938</v>
      </c>
      <c r="B329" s="24">
        <v>40585</v>
      </c>
      <c r="C329" s="23">
        <v>1</v>
      </c>
      <c r="D329" s="23">
        <v>0</v>
      </c>
      <c r="E329" s="23">
        <v>2</v>
      </c>
      <c r="F329" s="23">
        <v>16</v>
      </c>
      <c r="G329" s="23" t="b">
        <v>0</v>
      </c>
      <c r="H329" s="23">
        <v>5</v>
      </c>
      <c r="I329" s="23">
        <v>1</v>
      </c>
      <c r="J329" s="23">
        <v>0.3</v>
      </c>
      <c r="K329" s="23">
        <v>0.28789999999999999</v>
      </c>
      <c r="L329" s="23">
        <v>0.28000000000000003</v>
      </c>
      <c r="M329" s="23">
        <v>0.19400000000000001</v>
      </c>
      <c r="N329" s="23">
        <v>14</v>
      </c>
      <c r="O329" s="23">
        <v>111</v>
      </c>
      <c r="P329" s="23">
        <v>125</v>
      </c>
    </row>
    <row r="330" spans="1:16" ht="15.75" customHeight="1" x14ac:dyDescent="0.3">
      <c r="A330" s="23">
        <v>939</v>
      </c>
      <c r="B330" s="24">
        <v>40585</v>
      </c>
      <c r="C330" s="23">
        <v>1</v>
      </c>
      <c r="D330" s="23">
        <v>0</v>
      </c>
      <c r="E330" s="23">
        <v>2</v>
      </c>
      <c r="F330" s="23">
        <v>17</v>
      </c>
      <c r="G330" s="23" t="b">
        <v>0</v>
      </c>
      <c r="H330" s="23">
        <v>5</v>
      </c>
      <c r="I330" s="23">
        <v>1</v>
      </c>
      <c r="J330" s="23">
        <v>0.3</v>
      </c>
      <c r="K330" s="23">
        <v>0.33329999999999999</v>
      </c>
      <c r="L330" s="23">
        <v>0.24</v>
      </c>
      <c r="M330" s="23">
        <v>0</v>
      </c>
      <c r="N330" s="23">
        <v>18</v>
      </c>
      <c r="O330" s="23">
        <v>193</v>
      </c>
      <c r="P330" s="23">
        <v>211</v>
      </c>
    </row>
    <row r="331" spans="1:16" ht="15.75" customHeight="1" x14ac:dyDescent="0.3">
      <c r="A331" s="23">
        <v>940</v>
      </c>
      <c r="B331" s="24">
        <v>40585</v>
      </c>
      <c r="C331" s="23">
        <v>1</v>
      </c>
      <c r="D331" s="23">
        <v>0</v>
      </c>
      <c r="E331" s="23">
        <v>2</v>
      </c>
      <c r="F331" s="23">
        <v>18</v>
      </c>
      <c r="G331" s="23" t="b">
        <v>0</v>
      </c>
      <c r="H331" s="23">
        <v>5</v>
      </c>
      <c r="I331" s="23">
        <v>1</v>
      </c>
      <c r="J331" s="23">
        <v>0.28000000000000003</v>
      </c>
      <c r="K331" s="23">
        <v>0.31819999999999998</v>
      </c>
      <c r="L331" s="23">
        <v>0.28000000000000003</v>
      </c>
      <c r="M331" s="23">
        <v>0</v>
      </c>
      <c r="N331" s="23">
        <v>9</v>
      </c>
      <c r="O331" s="23">
        <v>165</v>
      </c>
      <c r="P331" s="23">
        <v>174</v>
      </c>
    </row>
    <row r="332" spans="1:16" ht="15.75" customHeight="1" x14ac:dyDescent="0.3">
      <c r="A332" s="23">
        <v>941</v>
      </c>
      <c r="B332" s="24">
        <v>40585</v>
      </c>
      <c r="C332" s="23">
        <v>1</v>
      </c>
      <c r="D332" s="23">
        <v>0</v>
      </c>
      <c r="E332" s="23">
        <v>2</v>
      </c>
      <c r="F332" s="23">
        <v>19</v>
      </c>
      <c r="G332" s="23" t="b">
        <v>0</v>
      </c>
      <c r="H332" s="23">
        <v>5</v>
      </c>
      <c r="I332" s="23">
        <v>1</v>
      </c>
      <c r="J332" s="23">
        <v>0.26</v>
      </c>
      <c r="K332" s="23">
        <v>0.30299999999999999</v>
      </c>
      <c r="L332" s="23">
        <v>0.33</v>
      </c>
      <c r="M332" s="23">
        <v>0</v>
      </c>
      <c r="N332" s="23">
        <v>7</v>
      </c>
      <c r="O332" s="23">
        <v>94</v>
      </c>
      <c r="P332" s="23">
        <v>101</v>
      </c>
    </row>
    <row r="333" spans="1:16" ht="15.75" customHeight="1" x14ac:dyDescent="0.3">
      <c r="A333" s="23">
        <v>942</v>
      </c>
      <c r="B333" s="24">
        <v>40585</v>
      </c>
      <c r="C333" s="23">
        <v>1</v>
      </c>
      <c r="D333" s="23">
        <v>0</v>
      </c>
      <c r="E333" s="23">
        <v>2</v>
      </c>
      <c r="F333" s="23">
        <v>20</v>
      </c>
      <c r="G333" s="23" t="b">
        <v>0</v>
      </c>
      <c r="H333" s="23">
        <v>5</v>
      </c>
      <c r="I333" s="23">
        <v>1</v>
      </c>
      <c r="J333" s="23">
        <v>0.22</v>
      </c>
      <c r="K333" s="23">
        <v>0.2273</v>
      </c>
      <c r="L333" s="23">
        <v>0.55000000000000004</v>
      </c>
      <c r="M333" s="23">
        <v>0.1343</v>
      </c>
      <c r="N333" s="23">
        <v>2</v>
      </c>
      <c r="O333" s="23">
        <v>61</v>
      </c>
      <c r="P333" s="23">
        <v>63</v>
      </c>
    </row>
    <row r="334" spans="1:16" ht="15.75" customHeight="1" x14ac:dyDescent="0.3">
      <c r="A334" s="23">
        <v>943</v>
      </c>
      <c r="B334" s="24">
        <v>40585</v>
      </c>
      <c r="C334" s="23">
        <v>1</v>
      </c>
      <c r="D334" s="23">
        <v>0</v>
      </c>
      <c r="E334" s="23">
        <v>2</v>
      </c>
      <c r="F334" s="23">
        <v>21</v>
      </c>
      <c r="G334" s="23" t="b">
        <v>0</v>
      </c>
      <c r="H334" s="23">
        <v>5</v>
      </c>
      <c r="I334" s="23">
        <v>1</v>
      </c>
      <c r="J334" s="23">
        <v>0.2</v>
      </c>
      <c r="K334" s="23">
        <v>0.21210000000000001</v>
      </c>
      <c r="L334" s="23">
        <v>0.59</v>
      </c>
      <c r="M334" s="23">
        <v>0.1343</v>
      </c>
      <c r="N334" s="23">
        <v>1</v>
      </c>
      <c r="O334" s="23">
        <v>46</v>
      </c>
      <c r="P334" s="23">
        <v>47</v>
      </c>
    </row>
    <row r="335" spans="1:16" ht="15.75" customHeight="1" x14ac:dyDescent="0.3">
      <c r="A335" s="23">
        <v>944</v>
      </c>
      <c r="B335" s="24">
        <v>40585</v>
      </c>
      <c r="C335" s="23">
        <v>1</v>
      </c>
      <c r="D335" s="23">
        <v>0</v>
      </c>
      <c r="E335" s="23">
        <v>2</v>
      </c>
      <c r="F335" s="23">
        <v>22</v>
      </c>
      <c r="G335" s="23" t="b">
        <v>0</v>
      </c>
      <c r="H335" s="23">
        <v>5</v>
      </c>
      <c r="I335" s="23">
        <v>1</v>
      </c>
      <c r="J335" s="23">
        <v>0.2</v>
      </c>
      <c r="K335" s="23">
        <v>0.2273</v>
      </c>
      <c r="L335" s="23">
        <v>0.64</v>
      </c>
      <c r="M335" s="23">
        <v>8.9599999999999999E-2</v>
      </c>
      <c r="N335" s="23">
        <v>2</v>
      </c>
      <c r="O335" s="23">
        <v>41</v>
      </c>
      <c r="P335" s="23">
        <v>43</v>
      </c>
    </row>
    <row r="336" spans="1:16" ht="15.75" customHeight="1" x14ac:dyDescent="0.3">
      <c r="A336" s="23">
        <v>945</v>
      </c>
      <c r="B336" s="24">
        <v>40585</v>
      </c>
      <c r="C336" s="23">
        <v>1</v>
      </c>
      <c r="D336" s="23">
        <v>0</v>
      </c>
      <c r="E336" s="23">
        <v>2</v>
      </c>
      <c r="F336" s="23">
        <v>23</v>
      </c>
      <c r="G336" s="23" t="b">
        <v>0</v>
      </c>
      <c r="H336" s="23">
        <v>5</v>
      </c>
      <c r="I336" s="23">
        <v>1</v>
      </c>
      <c r="J336" s="23">
        <v>0.18</v>
      </c>
      <c r="K336" s="23">
        <v>0.2424</v>
      </c>
      <c r="L336" s="23">
        <v>0.69</v>
      </c>
      <c r="M336" s="23">
        <v>0</v>
      </c>
      <c r="N336" s="23">
        <v>5</v>
      </c>
      <c r="O336" s="23">
        <v>48</v>
      </c>
      <c r="P336" s="23">
        <v>53</v>
      </c>
    </row>
    <row r="337" spans="1:16" ht="15.75" customHeight="1" x14ac:dyDescent="0.3">
      <c r="A337" s="23">
        <v>946</v>
      </c>
      <c r="B337" s="24">
        <v>40586</v>
      </c>
      <c r="C337" s="23">
        <v>1</v>
      </c>
      <c r="D337" s="23">
        <v>0</v>
      </c>
      <c r="E337" s="23">
        <v>2</v>
      </c>
      <c r="F337" s="23">
        <v>0</v>
      </c>
      <c r="G337" s="23" t="b">
        <v>0</v>
      </c>
      <c r="H337" s="23">
        <v>6</v>
      </c>
      <c r="I337" s="23">
        <v>1</v>
      </c>
      <c r="J337" s="23">
        <v>0.16</v>
      </c>
      <c r="K337" s="23">
        <v>0.19700000000000001</v>
      </c>
      <c r="L337" s="23">
        <v>0.69</v>
      </c>
      <c r="M337" s="23">
        <v>8.9599999999999999E-2</v>
      </c>
      <c r="N337" s="23">
        <v>3</v>
      </c>
      <c r="O337" s="23">
        <v>27</v>
      </c>
      <c r="P337" s="23">
        <v>30</v>
      </c>
    </row>
    <row r="338" spans="1:16" ht="15.75" customHeight="1" x14ac:dyDescent="0.3">
      <c r="A338" s="23">
        <v>947</v>
      </c>
      <c r="B338" s="24">
        <v>40586</v>
      </c>
      <c r="C338" s="23">
        <v>1</v>
      </c>
      <c r="D338" s="23">
        <v>0</v>
      </c>
      <c r="E338" s="23">
        <v>2</v>
      </c>
      <c r="F338" s="23">
        <v>1</v>
      </c>
      <c r="G338" s="23" t="b">
        <v>0</v>
      </c>
      <c r="H338" s="23">
        <v>6</v>
      </c>
      <c r="I338" s="23">
        <v>1</v>
      </c>
      <c r="J338" s="23">
        <v>0.14000000000000001</v>
      </c>
      <c r="K338" s="23">
        <v>0.21210000000000001</v>
      </c>
      <c r="L338" s="23">
        <v>0.86</v>
      </c>
      <c r="M338" s="23">
        <v>0</v>
      </c>
      <c r="N338" s="23">
        <v>2</v>
      </c>
      <c r="O338" s="23">
        <v>22</v>
      </c>
      <c r="P338" s="23">
        <v>24</v>
      </c>
    </row>
    <row r="339" spans="1:16" ht="15.75" customHeight="1" x14ac:dyDescent="0.3">
      <c r="A339" s="23">
        <v>948</v>
      </c>
      <c r="B339" s="24">
        <v>40586</v>
      </c>
      <c r="C339" s="23">
        <v>1</v>
      </c>
      <c r="D339" s="23">
        <v>0</v>
      </c>
      <c r="E339" s="23">
        <v>2</v>
      </c>
      <c r="F339" s="23">
        <v>2</v>
      </c>
      <c r="G339" s="23" t="b">
        <v>0</v>
      </c>
      <c r="H339" s="23">
        <v>6</v>
      </c>
      <c r="I339" s="23">
        <v>1</v>
      </c>
      <c r="J339" s="23">
        <v>0.14000000000000001</v>
      </c>
      <c r="K339" s="23">
        <v>0.21210000000000001</v>
      </c>
      <c r="L339" s="23">
        <v>0.8</v>
      </c>
      <c r="M339" s="23">
        <v>0</v>
      </c>
      <c r="N339" s="23">
        <v>2</v>
      </c>
      <c r="O339" s="23">
        <v>13</v>
      </c>
      <c r="P339" s="23">
        <v>15</v>
      </c>
    </row>
    <row r="340" spans="1:16" ht="15.75" customHeight="1" x14ac:dyDescent="0.3">
      <c r="A340" s="23">
        <v>949</v>
      </c>
      <c r="B340" s="24">
        <v>40586</v>
      </c>
      <c r="C340" s="23">
        <v>1</v>
      </c>
      <c r="D340" s="23">
        <v>0</v>
      </c>
      <c r="E340" s="23">
        <v>2</v>
      </c>
      <c r="F340" s="23">
        <v>3</v>
      </c>
      <c r="G340" s="23" t="b">
        <v>0</v>
      </c>
      <c r="H340" s="23">
        <v>6</v>
      </c>
      <c r="I340" s="23">
        <v>1</v>
      </c>
      <c r="J340" s="23">
        <v>0.12</v>
      </c>
      <c r="K340" s="23">
        <v>0.19700000000000001</v>
      </c>
      <c r="L340" s="23">
        <v>0.8</v>
      </c>
      <c r="M340" s="23">
        <v>0</v>
      </c>
      <c r="N340" s="23">
        <v>3</v>
      </c>
      <c r="O340" s="23">
        <v>7</v>
      </c>
      <c r="P340" s="23">
        <v>10</v>
      </c>
    </row>
    <row r="341" spans="1:16" ht="15.75" customHeight="1" x14ac:dyDescent="0.3">
      <c r="A341" s="23">
        <v>950</v>
      </c>
      <c r="B341" s="24">
        <v>40586</v>
      </c>
      <c r="C341" s="23">
        <v>1</v>
      </c>
      <c r="D341" s="23">
        <v>0</v>
      </c>
      <c r="E341" s="23">
        <v>2</v>
      </c>
      <c r="F341" s="23">
        <v>4</v>
      </c>
      <c r="G341" s="23" t="b">
        <v>0</v>
      </c>
      <c r="H341" s="23">
        <v>6</v>
      </c>
      <c r="I341" s="23">
        <v>1</v>
      </c>
      <c r="J341" s="23">
        <v>0.12</v>
      </c>
      <c r="K341" s="23">
        <v>0.16669999999999999</v>
      </c>
      <c r="L341" s="23">
        <v>0.74</v>
      </c>
      <c r="M341" s="23">
        <v>8.9599999999999999E-2</v>
      </c>
      <c r="N341" s="23">
        <v>0</v>
      </c>
      <c r="O341" s="23">
        <v>4</v>
      </c>
      <c r="P341" s="23">
        <v>4</v>
      </c>
    </row>
    <row r="342" spans="1:16" ht="15.75" customHeight="1" x14ac:dyDescent="0.3">
      <c r="A342" s="23">
        <v>951</v>
      </c>
      <c r="B342" s="24">
        <v>40586</v>
      </c>
      <c r="C342" s="23">
        <v>1</v>
      </c>
      <c r="D342" s="23">
        <v>0</v>
      </c>
      <c r="E342" s="23">
        <v>2</v>
      </c>
      <c r="F342" s="23">
        <v>5</v>
      </c>
      <c r="G342" s="23" t="b">
        <v>0</v>
      </c>
      <c r="H342" s="23">
        <v>6</v>
      </c>
      <c r="I342" s="23">
        <v>1</v>
      </c>
      <c r="J342" s="23">
        <v>0.12</v>
      </c>
      <c r="K342" s="23">
        <v>0.16669999999999999</v>
      </c>
      <c r="L342" s="23">
        <v>0.74</v>
      </c>
      <c r="M342" s="23">
        <v>8.9599999999999999E-2</v>
      </c>
      <c r="N342" s="23">
        <v>0</v>
      </c>
      <c r="O342" s="23">
        <v>1</v>
      </c>
      <c r="P342" s="23">
        <v>1</v>
      </c>
    </row>
    <row r="343" spans="1:16" ht="15.75" customHeight="1" x14ac:dyDescent="0.3">
      <c r="A343" s="23">
        <v>952</v>
      </c>
      <c r="B343" s="24">
        <v>40586</v>
      </c>
      <c r="C343" s="23">
        <v>1</v>
      </c>
      <c r="D343" s="23">
        <v>0</v>
      </c>
      <c r="E343" s="23">
        <v>2</v>
      </c>
      <c r="F343" s="23">
        <v>6</v>
      </c>
      <c r="G343" s="23" t="b">
        <v>0</v>
      </c>
      <c r="H343" s="23">
        <v>6</v>
      </c>
      <c r="I343" s="23">
        <v>1</v>
      </c>
      <c r="J343" s="23">
        <v>0.12</v>
      </c>
      <c r="K343" s="23">
        <v>0.13639999999999999</v>
      </c>
      <c r="L343" s="23">
        <v>0.93</v>
      </c>
      <c r="M343" s="23">
        <v>0.19400000000000001</v>
      </c>
      <c r="N343" s="23">
        <v>1</v>
      </c>
      <c r="O343" s="23">
        <v>1</v>
      </c>
      <c r="P343" s="23">
        <v>2</v>
      </c>
    </row>
    <row r="344" spans="1:16" ht="15.75" customHeight="1" x14ac:dyDescent="0.3">
      <c r="A344" s="23">
        <v>953</v>
      </c>
      <c r="B344" s="24">
        <v>40586</v>
      </c>
      <c r="C344" s="23">
        <v>1</v>
      </c>
      <c r="D344" s="23">
        <v>0</v>
      </c>
      <c r="E344" s="23">
        <v>2</v>
      </c>
      <c r="F344" s="23">
        <v>7</v>
      </c>
      <c r="G344" s="23" t="b">
        <v>0</v>
      </c>
      <c r="H344" s="23">
        <v>6</v>
      </c>
      <c r="I344" s="23">
        <v>1</v>
      </c>
      <c r="J344" s="23">
        <v>0.12</v>
      </c>
      <c r="K344" s="23">
        <v>0.1515</v>
      </c>
      <c r="L344" s="23">
        <v>0.8</v>
      </c>
      <c r="M344" s="23">
        <v>0.1045</v>
      </c>
      <c r="N344" s="23">
        <v>2</v>
      </c>
      <c r="O344" s="23">
        <v>9</v>
      </c>
      <c r="P344" s="23">
        <v>11</v>
      </c>
    </row>
    <row r="345" spans="1:16" ht="15.75" customHeight="1" x14ac:dyDescent="0.3">
      <c r="A345" s="23">
        <v>954</v>
      </c>
      <c r="B345" s="24">
        <v>40586</v>
      </c>
      <c r="C345" s="23">
        <v>1</v>
      </c>
      <c r="D345" s="23">
        <v>0</v>
      </c>
      <c r="E345" s="23">
        <v>2</v>
      </c>
      <c r="F345" s="23">
        <v>8</v>
      </c>
      <c r="G345" s="23" t="b">
        <v>0</v>
      </c>
      <c r="H345" s="23">
        <v>6</v>
      </c>
      <c r="I345" s="23">
        <v>1</v>
      </c>
      <c r="J345" s="23">
        <v>0.14000000000000001</v>
      </c>
      <c r="K345" s="23">
        <v>0.1515</v>
      </c>
      <c r="L345" s="23">
        <v>0.86</v>
      </c>
      <c r="M345" s="23">
        <v>0.1343</v>
      </c>
      <c r="N345" s="23">
        <v>2</v>
      </c>
      <c r="O345" s="23">
        <v>28</v>
      </c>
      <c r="P345" s="23">
        <v>30</v>
      </c>
    </row>
    <row r="346" spans="1:16" ht="15.75" customHeight="1" x14ac:dyDescent="0.3">
      <c r="A346" s="23">
        <v>955</v>
      </c>
      <c r="B346" s="24">
        <v>40586</v>
      </c>
      <c r="C346" s="23">
        <v>1</v>
      </c>
      <c r="D346" s="23">
        <v>0</v>
      </c>
      <c r="E346" s="23">
        <v>2</v>
      </c>
      <c r="F346" s="23">
        <v>9</v>
      </c>
      <c r="G346" s="23" t="b">
        <v>0</v>
      </c>
      <c r="H346" s="23">
        <v>6</v>
      </c>
      <c r="I346" s="23">
        <v>1</v>
      </c>
      <c r="J346" s="23">
        <v>0.16</v>
      </c>
      <c r="K346" s="23">
        <v>0.18179999999999999</v>
      </c>
      <c r="L346" s="23">
        <v>0.64</v>
      </c>
      <c r="M346" s="23">
        <v>0.1343</v>
      </c>
      <c r="N346" s="23">
        <v>5</v>
      </c>
      <c r="O346" s="23">
        <v>38</v>
      </c>
      <c r="P346" s="23">
        <v>43</v>
      </c>
    </row>
    <row r="347" spans="1:16" ht="15.75" customHeight="1" x14ac:dyDescent="0.3">
      <c r="A347" s="23">
        <v>956</v>
      </c>
      <c r="B347" s="24">
        <v>40586</v>
      </c>
      <c r="C347" s="23">
        <v>1</v>
      </c>
      <c r="D347" s="23">
        <v>0</v>
      </c>
      <c r="E347" s="23">
        <v>2</v>
      </c>
      <c r="F347" s="23">
        <v>10</v>
      </c>
      <c r="G347" s="23" t="b">
        <v>0</v>
      </c>
      <c r="H347" s="23">
        <v>6</v>
      </c>
      <c r="I347" s="23">
        <v>1</v>
      </c>
      <c r="J347" s="23">
        <v>0.22</v>
      </c>
      <c r="K347" s="23">
        <v>0.21210000000000001</v>
      </c>
      <c r="L347" s="23">
        <v>0.41</v>
      </c>
      <c r="M347" s="23">
        <v>0.25369999999999998</v>
      </c>
      <c r="N347" s="23">
        <v>13</v>
      </c>
      <c r="O347" s="23">
        <v>71</v>
      </c>
      <c r="P347" s="23">
        <v>84</v>
      </c>
    </row>
    <row r="348" spans="1:16" ht="15.75" customHeight="1" x14ac:dyDescent="0.3">
      <c r="A348" s="23">
        <v>957</v>
      </c>
      <c r="B348" s="24">
        <v>40586</v>
      </c>
      <c r="C348" s="23">
        <v>1</v>
      </c>
      <c r="D348" s="23">
        <v>0</v>
      </c>
      <c r="E348" s="23">
        <v>2</v>
      </c>
      <c r="F348" s="23">
        <v>11</v>
      </c>
      <c r="G348" s="23" t="b">
        <v>0</v>
      </c>
      <c r="H348" s="23">
        <v>6</v>
      </c>
      <c r="I348" s="23">
        <v>1</v>
      </c>
      <c r="J348" s="23">
        <v>0.3</v>
      </c>
      <c r="K348" s="23">
        <v>0.2727</v>
      </c>
      <c r="L348" s="23">
        <v>0.28000000000000003</v>
      </c>
      <c r="M348" s="23">
        <v>0.32840000000000003</v>
      </c>
      <c r="N348" s="23">
        <v>30</v>
      </c>
      <c r="O348" s="23">
        <v>84</v>
      </c>
      <c r="P348" s="23">
        <v>114</v>
      </c>
    </row>
    <row r="349" spans="1:16" ht="15.75" customHeight="1" x14ac:dyDescent="0.3">
      <c r="A349" s="23">
        <v>958</v>
      </c>
      <c r="B349" s="24">
        <v>40586</v>
      </c>
      <c r="C349" s="23">
        <v>1</v>
      </c>
      <c r="D349" s="23">
        <v>0</v>
      </c>
      <c r="E349" s="23">
        <v>2</v>
      </c>
      <c r="F349" s="23">
        <v>12</v>
      </c>
      <c r="G349" s="23" t="b">
        <v>0</v>
      </c>
      <c r="H349" s="23">
        <v>6</v>
      </c>
      <c r="I349" s="23">
        <v>1</v>
      </c>
      <c r="J349" s="23">
        <v>0.3</v>
      </c>
      <c r="K349" s="23">
        <v>0.2727</v>
      </c>
      <c r="L349" s="23">
        <v>0.39</v>
      </c>
      <c r="M349" s="23">
        <v>0.4627</v>
      </c>
      <c r="N349" s="23">
        <v>27</v>
      </c>
      <c r="O349" s="23">
        <v>93</v>
      </c>
      <c r="P349" s="23">
        <v>120</v>
      </c>
    </row>
    <row r="350" spans="1:16" ht="15.75" customHeight="1" x14ac:dyDescent="0.3">
      <c r="A350" s="23">
        <v>959</v>
      </c>
      <c r="B350" s="24">
        <v>40586</v>
      </c>
      <c r="C350" s="23">
        <v>1</v>
      </c>
      <c r="D350" s="23">
        <v>0</v>
      </c>
      <c r="E350" s="23">
        <v>2</v>
      </c>
      <c r="F350" s="23">
        <v>13</v>
      </c>
      <c r="G350" s="23" t="b">
        <v>0</v>
      </c>
      <c r="H350" s="23">
        <v>6</v>
      </c>
      <c r="I350" s="23">
        <v>1</v>
      </c>
      <c r="J350" s="23">
        <v>0.3</v>
      </c>
      <c r="K350" s="23">
        <v>0.2727</v>
      </c>
      <c r="L350" s="23">
        <v>0.39</v>
      </c>
      <c r="M350" s="23">
        <v>0.41789999999999999</v>
      </c>
      <c r="N350" s="23">
        <v>32</v>
      </c>
      <c r="O350" s="23">
        <v>103</v>
      </c>
      <c r="P350" s="23">
        <v>135</v>
      </c>
    </row>
    <row r="351" spans="1:16" ht="15.75" customHeight="1" x14ac:dyDescent="0.3">
      <c r="A351" s="23">
        <v>960</v>
      </c>
      <c r="B351" s="24">
        <v>40586</v>
      </c>
      <c r="C351" s="23">
        <v>1</v>
      </c>
      <c r="D351" s="23">
        <v>0</v>
      </c>
      <c r="E351" s="23">
        <v>2</v>
      </c>
      <c r="F351" s="23">
        <v>14</v>
      </c>
      <c r="G351" s="23" t="b">
        <v>0</v>
      </c>
      <c r="H351" s="23">
        <v>6</v>
      </c>
      <c r="I351" s="23">
        <v>1</v>
      </c>
      <c r="J351" s="23">
        <v>0.34</v>
      </c>
      <c r="K351" s="23">
        <v>0.31819999999999998</v>
      </c>
      <c r="L351" s="23">
        <v>0.31</v>
      </c>
      <c r="M351" s="23">
        <v>0.28360000000000002</v>
      </c>
      <c r="N351" s="23">
        <v>30</v>
      </c>
      <c r="O351" s="23">
        <v>90</v>
      </c>
      <c r="P351" s="23">
        <v>120</v>
      </c>
    </row>
    <row r="352" spans="1:16" ht="15.75" customHeight="1" x14ac:dyDescent="0.3">
      <c r="A352" s="23">
        <v>961</v>
      </c>
      <c r="B352" s="24">
        <v>40586</v>
      </c>
      <c r="C352" s="23">
        <v>1</v>
      </c>
      <c r="D352" s="23">
        <v>0</v>
      </c>
      <c r="E352" s="23">
        <v>2</v>
      </c>
      <c r="F352" s="23">
        <v>15</v>
      </c>
      <c r="G352" s="23" t="b">
        <v>0</v>
      </c>
      <c r="H352" s="23">
        <v>6</v>
      </c>
      <c r="I352" s="23">
        <v>1</v>
      </c>
      <c r="J352" s="23">
        <v>0.34</v>
      </c>
      <c r="K352" s="23">
        <v>0.30299999999999999</v>
      </c>
      <c r="L352" s="23">
        <v>0.28999999999999998</v>
      </c>
      <c r="M352" s="23">
        <v>0.41789999999999999</v>
      </c>
      <c r="N352" s="23">
        <v>47</v>
      </c>
      <c r="O352" s="23">
        <v>127</v>
      </c>
      <c r="P352" s="23">
        <v>174</v>
      </c>
    </row>
    <row r="353" spans="1:16" ht="15.75" customHeight="1" x14ac:dyDescent="0.3">
      <c r="A353" s="23">
        <v>962</v>
      </c>
      <c r="B353" s="24">
        <v>40586</v>
      </c>
      <c r="C353" s="23">
        <v>1</v>
      </c>
      <c r="D353" s="23">
        <v>0</v>
      </c>
      <c r="E353" s="23">
        <v>2</v>
      </c>
      <c r="F353" s="23">
        <v>16</v>
      </c>
      <c r="G353" s="23" t="b">
        <v>0</v>
      </c>
      <c r="H353" s="23">
        <v>6</v>
      </c>
      <c r="I353" s="23">
        <v>1</v>
      </c>
      <c r="J353" s="23">
        <v>0.34</v>
      </c>
      <c r="K353" s="23">
        <v>0.30299999999999999</v>
      </c>
      <c r="L353" s="23">
        <v>0.28999999999999998</v>
      </c>
      <c r="M353" s="23">
        <v>0.41789999999999999</v>
      </c>
      <c r="N353" s="23">
        <v>42</v>
      </c>
      <c r="O353" s="23">
        <v>103</v>
      </c>
      <c r="P353" s="23">
        <v>145</v>
      </c>
    </row>
    <row r="354" spans="1:16" ht="15.75" customHeight="1" x14ac:dyDescent="0.3">
      <c r="A354" s="23">
        <v>963</v>
      </c>
      <c r="B354" s="24">
        <v>40586</v>
      </c>
      <c r="C354" s="23">
        <v>1</v>
      </c>
      <c r="D354" s="23">
        <v>0</v>
      </c>
      <c r="E354" s="23">
        <v>2</v>
      </c>
      <c r="F354" s="23">
        <v>17</v>
      </c>
      <c r="G354" s="23" t="b">
        <v>0</v>
      </c>
      <c r="H354" s="23">
        <v>6</v>
      </c>
      <c r="I354" s="23">
        <v>1</v>
      </c>
      <c r="J354" s="23">
        <v>0.32</v>
      </c>
      <c r="K354" s="23">
        <v>0.28789999999999999</v>
      </c>
      <c r="L354" s="23">
        <v>0.31</v>
      </c>
      <c r="M354" s="23">
        <v>0.52239999999999998</v>
      </c>
      <c r="N354" s="23">
        <v>24</v>
      </c>
      <c r="O354" s="23">
        <v>113</v>
      </c>
      <c r="P354" s="23">
        <v>137</v>
      </c>
    </row>
    <row r="355" spans="1:16" ht="15.75" customHeight="1" x14ac:dyDescent="0.3">
      <c r="A355" s="23">
        <v>964</v>
      </c>
      <c r="B355" s="24">
        <v>40586</v>
      </c>
      <c r="C355" s="23">
        <v>1</v>
      </c>
      <c r="D355" s="23">
        <v>0</v>
      </c>
      <c r="E355" s="23">
        <v>2</v>
      </c>
      <c r="F355" s="23">
        <v>18</v>
      </c>
      <c r="G355" s="23" t="b">
        <v>0</v>
      </c>
      <c r="H355" s="23">
        <v>6</v>
      </c>
      <c r="I355" s="23">
        <v>1</v>
      </c>
      <c r="J355" s="23">
        <v>0.28000000000000003</v>
      </c>
      <c r="K355" s="23">
        <v>0.2576</v>
      </c>
      <c r="L355" s="23">
        <v>0.38</v>
      </c>
      <c r="M355" s="23">
        <v>0.32840000000000003</v>
      </c>
      <c r="N355" s="23">
        <v>4</v>
      </c>
      <c r="O355" s="23">
        <v>60</v>
      </c>
      <c r="P355" s="23">
        <v>64</v>
      </c>
    </row>
    <row r="356" spans="1:16" ht="15.75" customHeight="1" x14ac:dyDescent="0.3">
      <c r="A356" s="23">
        <v>965</v>
      </c>
      <c r="B356" s="24">
        <v>40586</v>
      </c>
      <c r="C356" s="23">
        <v>1</v>
      </c>
      <c r="D356" s="23">
        <v>0</v>
      </c>
      <c r="E356" s="23">
        <v>2</v>
      </c>
      <c r="F356" s="23">
        <v>19</v>
      </c>
      <c r="G356" s="23" t="b">
        <v>0</v>
      </c>
      <c r="H356" s="23">
        <v>6</v>
      </c>
      <c r="I356" s="23">
        <v>1</v>
      </c>
      <c r="J356" s="23">
        <v>0.28000000000000003</v>
      </c>
      <c r="K356" s="23">
        <v>0.2727</v>
      </c>
      <c r="L356" s="23">
        <v>0.38</v>
      </c>
      <c r="M356" s="23">
        <v>0.16420000000000001</v>
      </c>
      <c r="N356" s="23">
        <v>2</v>
      </c>
      <c r="O356" s="23">
        <v>39</v>
      </c>
      <c r="P356" s="23">
        <v>41</v>
      </c>
    </row>
    <row r="357" spans="1:16" ht="15.75" customHeight="1" x14ac:dyDescent="0.3">
      <c r="A357" s="23">
        <v>966</v>
      </c>
      <c r="B357" s="24">
        <v>40586</v>
      </c>
      <c r="C357" s="23">
        <v>1</v>
      </c>
      <c r="D357" s="23">
        <v>0</v>
      </c>
      <c r="E357" s="23">
        <v>2</v>
      </c>
      <c r="F357" s="23">
        <v>20</v>
      </c>
      <c r="G357" s="23" t="b">
        <v>0</v>
      </c>
      <c r="H357" s="23">
        <v>6</v>
      </c>
      <c r="I357" s="23">
        <v>1</v>
      </c>
      <c r="J357" s="23">
        <v>0.26</v>
      </c>
      <c r="K357" s="23">
        <v>0.2576</v>
      </c>
      <c r="L357" s="23">
        <v>0.41</v>
      </c>
      <c r="M357" s="23">
        <v>0.22389999999999999</v>
      </c>
      <c r="N357" s="23">
        <v>1</v>
      </c>
      <c r="O357" s="23">
        <v>39</v>
      </c>
      <c r="P357" s="23">
        <v>40</v>
      </c>
    </row>
    <row r="358" spans="1:16" ht="15.75" customHeight="1" x14ac:dyDescent="0.3">
      <c r="A358" s="23">
        <v>967</v>
      </c>
      <c r="B358" s="24">
        <v>40586</v>
      </c>
      <c r="C358" s="23">
        <v>1</v>
      </c>
      <c r="D358" s="23">
        <v>0</v>
      </c>
      <c r="E358" s="23">
        <v>2</v>
      </c>
      <c r="F358" s="23">
        <v>21</v>
      </c>
      <c r="G358" s="23" t="b">
        <v>0</v>
      </c>
      <c r="H358" s="23">
        <v>6</v>
      </c>
      <c r="I358" s="23">
        <v>1</v>
      </c>
      <c r="J358" s="23">
        <v>0.26</v>
      </c>
      <c r="K358" s="23">
        <v>0.30299999999999999</v>
      </c>
      <c r="L358" s="23">
        <v>0.41</v>
      </c>
      <c r="M358" s="23">
        <v>0</v>
      </c>
      <c r="N358" s="23">
        <v>9</v>
      </c>
      <c r="O358" s="23">
        <v>42</v>
      </c>
      <c r="P358" s="23">
        <v>51</v>
      </c>
    </row>
    <row r="359" spans="1:16" ht="15.75" customHeight="1" x14ac:dyDescent="0.3">
      <c r="A359" s="23">
        <v>968</v>
      </c>
      <c r="B359" s="24">
        <v>40586</v>
      </c>
      <c r="C359" s="23">
        <v>1</v>
      </c>
      <c r="D359" s="23">
        <v>0</v>
      </c>
      <c r="E359" s="23">
        <v>2</v>
      </c>
      <c r="F359" s="23">
        <v>22</v>
      </c>
      <c r="G359" s="23" t="b">
        <v>0</v>
      </c>
      <c r="H359" s="23">
        <v>6</v>
      </c>
      <c r="I359" s="23">
        <v>1</v>
      </c>
      <c r="J359" s="23">
        <v>0.24</v>
      </c>
      <c r="K359" s="23">
        <v>0.2576</v>
      </c>
      <c r="L359" s="23">
        <v>0.44</v>
      </c>
      <c r="M359" s="23">
        <v>8.9599999999999999E-2</v>
      </c>
      <c r="N359" s="23">
        <v>6</v>
      </c>
      <c r="O359" s="23">
        <v>39</v>
      </c>
      <c r="P359" s="23">
        <v>45</v>
      </c>
    </row>
    <row r="360" spans="1:16" ht="15.75" customHeight="1" x14ac:dyDescent="0.3">
      <c r="A360" s="23">
        <v>969</v>
      </c>
      <c r="B360" s="24">
        <v>40586</v>
      </c>
      <c r="C360" s="23">
        <v>1</v>
      </c>
      <c r="D360" s="23">
        <v>0</v>
      </c>
      <c r="E360" s="23">
        <v>2</v>
      </c>
      <c r="F360" s="23">
        <v>23</v>
      </c>
      <c r="G360" s="23" t="b">
        <v>0</v>
      </c>
      <c r="H360" s="23">
        <v>6</v>
      </c>
      <c r="I360" s="23">
        <v>1</v>
      </c>
      <c r="J360" s="23">
        <v>0.22</v>
      </c>
      <c r="K360" s="23">
        <v>0.2273</v>
      </c>
      <c r="L360" s="23">
        <v>0.51</v>
      </c>
      <c r="M360" s="23">
        <v>0.1343</v>
      </c>
      <c r="N360" s="23">
        <v>1</v>
      </c>
      <c r="O360" s="23">
        <v>31</v>
      </c>
      <c r="P360" s="23">
        <v>32</v>
      </c>
    </row>
    <row r="361" spans="1:16" ht="15.75" customHeight="1" x14ac:dyDescent="0.3">
      <c r="A361" s="23">
        <v>970</v>
      </c>
      <c r="B361" s="24">
        <v>40587</v>
      </c>
      <c r="C361" s="23">
        <v>1</v>
      </c>
      <c r="D361" s="23">
        <v>0</v>
      </c>
      <c r="E361" s="23">
        <v>2</v>
      </c>
      <c r="F361" s="23">
        <v>0</v>
      </c>
      <c r="G361" s="23" t="b">
        <v>0</v>
      </c>
      <c r="H361" s="23">
        <v>0</v>
      </c>
      <c r="I361" s="23">
        <v>1</v>
      </c>
      <c r="J361" s="23">
        <v>0.2</v>
      </c>
      <c r="K361" s="23">
        <v>0.2273</v>
      </c>
      <c r="L361" s="23">
        <v>0.64</v>
      </c>
      <c r="M361" s="23">
        <v>0.1045</v>
      </c>
      <c r="N361" s="23">
        <v>5</v>
      </c>
      <c r="O361" s="23">
        <v>34</v>
      </c>
      <c r="P361" s="23">
        <v>39</v>
      </c>
    </row>
    <row r="362" spans="1:16" ht="15.75" customHeight="1" x14ac:dyDescent="0.3">
      <c r="A362" s="23">
        <v>971</v>
      </c>
      <c r="B362" s="24">
        <v>40587</v>
      </c>
      <c r="C362" s="23">
        <v>1</v>
      </c>
      <c r="D362" s="23">
        <v>0</v>
      </c>
      <c r="E362" s="23">
        <v>2</v>
      </c>
      <c r="F362" s="23">
        <v>1</v>
      </c>
      <c r="G362" s="23" t="b">
        <v>0</v>
      </c>
      <c r="H362" s="23">
        <v>0</v>
      </c>
      <c r="I362" s="23">
        <v>1</v>
      </c>
      <c r="J362" s="23">
        <v>0.2</v>
      </c>
      <c r="K362" s="23">
        <v>0.2273</v>
      </c>
      <c r="L362" s="23">
        <v>0.59</v>
      </c>
      <c r="M362" s="23">
        <v>8.9599999999999999E-2</v>
      </c>
      <c r="N362" s="23">
        <v>1</v>
      </c>
      <c r="O362" s="23">
        <v>23</v>
      </c>
      <c r="P362" s="23">
        <v>24</v>
      </c>
    </row>
    <row r="363" spans="1:16" ht="15.75" customHeight="1" x14ac:dyDescent="0.3">
      <c r="A363" s="23">
        <v>972</v>
      </c>
      <c r="B363" s="24">
        <v>40587</v>
      </c>
      <c r="C363" s="23">
        <v>1</v>
      </c>
      <c r="D363" s="23">
        <v>0</v>
      </c>
      <c r="E363" s="23">
        <v>2</v>
      </c>
      <c r="F363" s="23">
        <v>2</v>
      </c>
      <c r="G363" s="23" t="b">
        <v>0</v>
      </c>
      <c r="H363" s="23">
        <v>0</v>
      </c>
      <c r="I363" s="23">
        <v>2</v>
      </c>
      <c r="J363" s="23">
        <v>0.2</v>
      </c>
      <c r="K363" s="23">
        <v>0.2273</v>
      </c>
      <c r="L363" s="23">
        <v>0.75</v>
      </c>
      <c r="M363" s="23">
        <v>8.9599999999999999E-2</v>
      </c>
      <c r="N363" s="23">
        <v>1</v>
      </c>
      <c r="O363" s="23">
        <v>19</v>
      </c>
      <c r="P363" s="23">
        <v>20</v>
      </c>
    </row>
    <row r="364" spans="1:16" ht="15.75" customHeight="1" x14ac:dyDescent="0.3">
      <c r="A364" s="23">
        <v>973</v>
      </c>
      <c r="B364" s="24">
        <v>40587</v>
      </c>
      <c r="C364" s="23">
        <v>1</v>
      </c>
      <c r="D364" s="23">
        <v>0</v>
      </c>
      <c r="E364" s="23">
        <v>2</v>
      </c>
      <c r="F364" s="23">
        <v>3</v>
      </c>
      <c r="G364" s="23" t="b">
        <v>0</v>
      </c>
      <c r="H364" s="23">
        <v>0</v>
      </c>
      <c r="I364" s="23">
        <v>2</v>
      </c>
      <c r="J364" s="23">
        <v>0.2</v>
      </c>
      <c r="K364" s="23">
        <v>0.2273</v>
      </c>
      <c r="L364" s="23">
        <v>0.69</v>
      </c>
      <c r="M364" s="23">
        <v>0.1045</v>
      </c>
      <c r="N364" s="23">
        <v>4</v>
      </c>
      <c r="O364" s="23">
        <v>8</v>
      </c>
      <c r="P364" s="23">
        <v>12</v>
      </c>
    </row>
    <row r="365" spans="1:16" ht="15.75" customHeight="1" x14ac:dyDescent="0.3">
      <c r="A365" s="23">
        <v>974</v>
      </c>
      <c r="B365" s="24">
        <v>40587</v>
      </c>
      <c r="C365" s="23">
        <v>1</v>
      </c>
      <c r="D365" s="23">
        <v>0</v>
      </c>
      <c r="E365" s="23">
        <v>2</v>
      </c>
      <c r="F365" s="23">
        <v>4</v>
      </c>
      <c r="G365" s="23" t="b">
        <v>0</v>
      </c>
      <c r="H365" s="23">
        <v>0</v>
      </c>
      <c r="I365" s="23">
        <v>2</v>
      </c>
      <c r="J365" s="23">
        <v>0.2</v>
      </c>
      <c r="K365" s="23">
        <v>0.21210000000000001</v>
      </c>
      <c r="L365" s="23">
        <v>0.69</v>
      </c>
      <c r="M365" s="23">
        <v>0.16420000000000001</v>
      </c>
      <c r="N365" s="23">
        <v>0</v>
      </c>
      <c r="O365" s="23">
        <v>2</v>
      </c>
      <c r="P365" s="23">
        <v>2</v>
      </c>
    </row>
    <row r="366" spans="1:16" ht="15.75" customHeight="1" x14ac:dyDescent="0.3">
      <c r="A366" s="23">
        <v>975</v>
      </c>
      <c r="B366" s="24">
        <v>40587</v>
      </c>
      <c r="C366" s="23">
        <v>1</v>
      </c>
      <c r="D366" s="23">
        <v>0</v>
      </c>
      <c r="E366" s="23">
        <v>2</v>
      </c>
      <c r="F366" s="23">
        <v>6</v>
      </c>
      <c r="G366" s="23" t="b">
        <v>0</v>
      </c>
      <c r="H366" s="23">
        <v>0</v>
      </c>
      <c r="I366" s="23">
        <v>2</v>
      </c>
      <c r="J366" s="23">
        <v>0.2</v>
      </c>
      <c r="K366" s="23">
        <v>0.21210000000000001</v>
      </c>
      <c r="L366" s="23">
        <v>0.69</v>
      </c>
      <c r="M366" s="23">
        <v>0.1343</v>
      </c>
      <c r="N366" s="23">
        <v>2</v>
      </c>
      <c r="O366" s="23">
        <v>3</v>
      </c>
      <c r="P366" s="23">
        <v>5</v>
      </c>
    </row>
    <row r="367" spans="1:16" ht="15.75" customHeight="1" x14ac:dyDescent="0.3">
      <c r="A367" s="23">
        <v>976</v>
      </c>
      <c r="B367" s="24">
        <v>40587</v>
      </c>
      <c r="C367" s="23">
        <v>1</v>
      </c>
      <c r="D367" s="23">
        <v>0</v>
      </c>
      <c r="E367" s="23">
        <v>2</v>
      </c>
      <c r="F367" s="23">
        <v>7</v>
      </c>
      <c r="G367" s="23" t="b">
        <v>0</v>
      </c>
      <c r="H367" s="23">
        <v>0</v>
      </c>
      <c r="I367" s="23">
        <v>2</v>
      </c>
      <c r="J367" s="23">
        <v>0.22</v>
      </c>
      <c r="K367" s="23">
        <v>0.2727</v>
      </c>
      <c r="L367" s="23">
        <v>0.55000000000000004</v>
      </c>
      <c r="M367" s="23">
        <v>0</v>
      </c>
      <c r="N367" s="23">
        <v>0</v>
      </c>
      <c r="O367" s="23">
        <v>3</v>
      </c>
      <c r="P367" s="23">
        <v>3</v>
      </c>
    </row>
    <row r="368" spans="1:16" ht="15.75" customHeight="1" x14ac:dyDescent="0.3">
      <c r="A368" s="23">
        <v>977</v>
      </c>
      <c r="B368" s="24">
        <v>40587</v>
      </c>
      <c r="C368" s="23">
        <v>1</v>
      </c>
      <c r="D368" s="23">
        <v>0</v>
      </c>
      <c r="E368" s="23">
        <v>2</v>
      </c>
      <c r="F368" s="23">
        <v>8</v>
      </c>
      <c r="G368" s="23" t="b">
        <v>0</v>
      </c>
      <c r="H368" s="23">
        <v>0</v>
      </c>
      <c r="I368" s="23">
        <v>2</v>
      </c>
      <c r="J368" s="23">
        <v>0.22</v>
      </c>
      <c r="K368" s="23">
        <v>0.2273</v>
      </c>
      <c r="L368" s="23">
        <v>0.64</v>
      </c>
      <c r="M368" s="23">
        <v>0.19400000000000001</v>
      </c>
      <c r="N368" s="23">
        <v>1</v>
      </c>
      <c r="O368" s="23">
        <v>11</v>
      </c>
      <c r="P368" s="23">
        <v>12</v>
      </c>
    </row>
    <row r="369" spans="1:16" ht="15.75" customHeight="1" x14ac:dyDescent="0.3">
      <c r="A369" s="23">
        <v>978</v>
      </c>
      <c r="B369" s="24">
        <v>40587</v>
      </c>
      <c r="C369" s="23">
        <v>1</v>
      </c>
      <c r="D369" s="23">
        <v>0</v>
      </c>
      <c r="E369" s="23">
        <v>2</v>
      </c>
      <c r="F369" s="23">
        <v>9</v>
      </c>
      <c r="G369" s="23" t="b">
        <v>0</v>
      </c>
      <c r="H369" s="23">
        <v>0</v>
      </c>
      <c r="I369" s="23">
        <v>2</v>
      </c>
      <c r="J369" s="23">
        <v>0.24</v>
      </c>
      <c r="K369" s="23">
        <v>0.2273</v>
      </c>
      <c r="L369" s="23">
        <v>0.6</v>
      </c>
      <c r="M369" s="23">
        <v>0.22389999999999999</v>
      </c>
      <c r="N369" s="23">
        <v>12</v>
      </c>
      <c r="O369" s="23">
        <v>35</v>
      </c>
      <c r="P369" s="23">
        <v>47</v>
      </c>
    </row>
    <row r="370" spans="1:16" ht="15.75" customHeight="1" x14ac:dyDescent="0.3">
      <c r="A370" s="23">
        <v>979</v>
      </c>
      <c r="B370" s="24">
        <v>40587</v>
      </c>
      <c r="C370" s="23">
        <v>1</v>
      </c>
      <c r="D370" s="23">
        <v>0</v>
      </c>
      <c r="E370" s="23">
        <v>2</v>
      </c>
      <c r="F370" s="23">
        <v>10</v>
      </c>
      <c r="G370" s="23" t="b">
        <v>0</v>
      </c>
      <c r="H370" s="23">
        <v>0</v>
      </c>
      <c r="I370" s="23">
        <v>1</v>
      </c>
      <c r="J370" s="23">
        <v>0.3</v>
      </c>
      <c r="K370" s="23">
        <v>0.2727</v>
      </c>
      <c r="L370" s="23">
        <v>0.45</v>
      </c>
      <c r="M370" s="23">
        <v>0.32840000000000003</v>
      </c>
      <c r="N370" s="23">
        <v>19</v>
      </c>
      <c r="O370" s="23">
        <v>86</v>
      </c>
      <c r="P370" s="23">
        <v>105</v>
      </c>
    </row>
    <row r="371" spans="1:16" ht="15.75" customHeight="1" x14ac:dyDescent="0.3">
      <c r="A371" s="23">
        <v>980</v>
      </c>
      <c r="B371" s="24">
        <v>40587</v>
      </c>
      <c r="C371" s="23">
        <v>1</v>
      </c>
      <c r="D371" s="23">
        <v>0</v>
      </c>
      <c r="E371" s="23">
        <v>2</v>
      </c>
      <c r="F371" s="23">
        <v>11</v>
      </c>
      <c r="G371" s="23" t="b">
        <v>0</v>
      </c>
      <c r="H371" s="23">
        <v>0</v>
      </c>
      <c r="I371" s="23">
        <v>1</v>
      </c>
      <c r="J371" s="23">
        <v>0.32</v>
      </c>
      <c r="K371" s="23">
        <v>0.28789999999999999</v>
      </c>
      <c r="L371" s="23">
        <v>0.39</v>
      </c>
      <c r="M371" s="23">
        <v>0.44779999999999998</v>
      </c>
      <c r="N371" s="23">
        <v>26</v>
      </c>
      <c r="O371" s="23">
        <v>86</v>
      </c>
      <c r="P371" s="23">
        <v>112</v>
      </c>
    </row>
    <row r="372" spans="1:16" ht="15.75" customHeight="1" x14ac:dyDescent="0.3">
      <c r="A372" s="23">
        <v>981</v>
      </c>
      <c r="B372" s="24">
        <v>40587</v>
      </c>
      <c r="C372" s="23">
        <v>1</v>
      </c>
      <c r="D372" s="23">
        <v>0</v>
      </c>
      <c r="E372" s="23">
        <v>2</v>
      </c>
      <c r="F372" s="23">
        <v>12</v>
      </c>
      <c r="G372" s="23" t="b">
        <v>0</v>
      </c>
      <c r="H372" s="23">
        <v>0</v>
      </c>
      <c r="I372" s="23">
        <v>1</v>
      </c>
      <c r="J372" s="23">
        <v>0.36</v>
      </c>
      <c r="K372" s="23">
        <v>0.31819999999999998</v>
      </c>
      <c r="L372" s="23">
        <v>0.32</v>
      </c>
      <c r="M372" s="23">
        <v>0.4627</v>
      </c>
      <c r="N372" s="23">
        <v>58</v>
      </c>
      <c r="O372" s="23">
        <v>94</v>
      </c>
      <c r="P372" s="23">
        <v>152</v>
      </c>
    </row>
    <row r="373" spans="1:16" ht="15.75" customHeight="1" x14ac:dyDescent="0.3">
      <c r="A373" s="23">
        <v>982</v>
      </c>
      <c r="B373" s="24">
        <v>40587</v>
      </c>
      <c r="C373" s="23">
        <v>1</v>
      </c>
      <c r="D373" s="23">
        <v>0</v>
      </c>
      <c r="E373" s="23">
        <v>2</v>
      </c>
      <c r="F373" s="23">
        <v>13</v>
      </c>
      <c r="G373" s="23" t="b">
        <v>0</v>
      </c>
      <c r="H373" s="23">
        <v>0</v>
      </c>
      <c r="I373" s="23">
        <v>1</v>
      </c>
      <c r="J373" s="23">
        <v>0.38</v>
      </c>
      <c r="K373" s="23">
        <v>0.39389999999999997</v>
      </c>
      <c r="L373" s="23">
        <v>0.28999999999999998</v>
      </c>
      <c r="M373" s="23">
        <v>0.35820000000000002</v>
      </c>
      <c r="N373" s="23">
        <v>62</v>
      </c>
      <c r="O373" s="23">
        <v>92</v>
      </c>
      <c r="P373" s="23">
        <v>154</v>
      </c>
    </row>
    <row r="374" spans="1:16" ht="15.75" customHeight="1" x14ac:dyDescent="0.3">
      <c r="A374" s="23">
        <v>983</v>
      </c>
      <c r="B374" s="24">
        <v>40587</v>
      </c>
      <c r="C374" s="23">
        <v>1</v>
      </c>
      <c r="D374" s="23">
        <v>0</v>
      </c>
      <c r="E374" s="23">
        <v>2</v>
      </c>
      <c r="F374" s="23">
        <v>14</v>
      </c>
      <c r="G374" s="23" t="b">
        <v>0</v>
      </c>
      <c r="H374" s="23">
        <v>0</v>
      </c>
      <c r="I374" s="23">
        <v>2</v>
      </c>
      <c r="J374" s="23">
        <v>0.4</v>
      </c>
      <c r="K374" s="23">
        <v>0.40910000000000002</v>
      </c>
      <c r="L374" s="23">
        <v>0.3</v>
      </c>
      <c r="M374" s="23">
        <v>0.41789999999999999</v>
      </c>
      <c r="N374" s="23">
        <v>51</v>
      </c>
      <c r="O374" s="23">
        <v>110</v>
      </c>
      <c r="P374" s="23">
        <v>161</v>
      </c>
    </row>
    <row r="375" spans="1:16" ht="15.75" customHeight="1" x14ac:dyDescent="0.3">
      <c r="A375" s="23">
        <v>984</v>
      </c>
      <c r="B375" s="24">
        <v>40587</v>
      </c>
      <c r="C375" s="23">
        <v>1</v>
      </c>
      <c r="D375" s="23">
        <v>0</v>
      </c>
      <c r="E375" s="23">
        <v>2</v>
      </c>
      <c r="F375" s="23">
        <v>15</v>
      </c>
      <c r="G375" s="23" t="b">
        <v>0</v>
      </c>
      <c r="H375" s="23">
        <v>0</v>
      </c>
      <c r="I375" s="23">
        <v>2</v>
      </c>
      <c r="J375" s="23">
        <v>0.4</v>
      </c>
      <c r="K375" s="23">
        <v>0.40910000000000002</v>
      </c>
      <c r="L375" s="23">
        <v>0.3</v>
      </c>
      <c r="M375" s="23">
        <v>0.29849999999999999</v>
      </c>
      <c r="N375" s="23">
        <v>40</v>
      </c>
      <c r="O375" s="23">
        <v>122</v>
      </c>
      <c r="P375" s="23">
        <v>162</v>
      </c>
    </row>
    <row r="376" spans="1:16" ht="15.75" customHeight="1" x14ac:dyDescent="0.3">
      <c r="A376" s="23">
        <v>985</v>
      </c>
      <c r="B376" s="24">
        <v>40587</v>
      </c>
      <c r="C376" s="23">
        <v>1</v>
      </c>
      <c r="D376" s="23">
        <v>0</v>
      </c>
      <c r="E376" s="23">
        <v>2</v>
      </c>
      <c r="F376" s="23">
        <v>16</v>
      </c>
      <c r="G376" s="23" t="b">
        <v>0</v>
      </c>
      <c r="H376" s="23">
        <v>0</v>
      </c>
      <c r="I376" s="23">
        <v>2</v>
      </c>
      <c r="J376" s="23">
        <v>0.42</v>
      </c>
      <c r="K376" s="23">
        <v>0.42420000000000002</v>
      </c>
      <c r="L376" s="23">
        <v>0.28000000000000003</v>
      </c>
      <c r="M376" s="23">
        <v>0.32840000000000003</v>
      </c>
      <c r="N376" s="23">
        <v>28</v>
      </c>
      <c r="O376" s="23">
        <v>106</v>
      </c>
      <c r="P376" s="23">
        <v>134</v>
      </c>
    </row>
    <row r="377" spans="1:16" ht="15.75" customHeight="1" x14ac:dyDescent="0.3">
      <c r="A377" s="23">
        <v>986</v>
      </c>
      <c r="B377" s="24">
        <v>40587</v>
      </c>
      <c r="C377" s="23">
        <v>1</v>
      </c>
      <c r="D377" s="23">
        <v>0</v>
      </c>
      <c r="E377" s="23">
        <v>2</v>
      </c>
      <c r="F377" s="23">
        <v>17</v>
      </c>
      <c r="G377" s="23" t="b">
        <v>0</v>
      </c>
      <c r="H377" s="23">
        <v>0</v>
      </c>
      <c r="I377" s="23">
        <v>1</v>
      </c>
      <c r="J377" s="23">
        <v>0.42</v>
      </c>
      <c r="K377" s="23">
        <v>0.42420000000000002</v>
      </c>
      <c r="L377" s="23">
        <v>0.28000000000000003</v>
      </c>
      <c r="M377" s="23">
        <v>0.32840000000000003</v>
      </c>
      <c r="N377" s="23">
        <v>30</v>
      </c>
      <c r="O377" s="23">
        <v>95</v>
      </c>
      <c r="P377" s="23">
        <v>125</v>
      </c>
    </row>
    <row r="378" spans="1:16" ht="15.75" customHeight="1" x14ac:dyDescent="0.3">
      <c r="A378" s="23">
        <v>987</v>
      </c>
      <c r="B378" s="24">
        <v>40587</v>
      </c>
      <c r="C378" s="23">
        <v>1</v>
      </c>
      <c r="D378" s="23">
        <v>0</v>
      </c>
      <c r="E378" s="23">
        <v>2</v>
      </c>
      <c r="F378" s="23">
        <v>18</v>
      </c>
      <c r="G378" s="23" t="b">
        <v>0</v>
      </c>
      <c r="H378" s="23">
        <v>0</v>
      </c>
      <c r="I378" s="23">
        <v>1</v>
      </c>
      <c r="J378" s="23">
        <v>0.4</v>
      </c>
      <c r="K378" s="23">
        <v>0.40910000000000002</v>
      </c>
      <c r="L378" s="23">
        <v>0.32</v>
      </c>
      <c r="M378" s="23">
        <v>0.29849999999999999</v>
      </c>
      <c r="N378" s="23">
        <v>17</v>
      </c>
      <c r="O378" s="23">
        <v>78</v>
      </c>
      <c r="P378" s="23">
        <v>95</v>
      </c>
    </row>
    <row r="379" spans="1:16" ht="15.75" customHeight="1" x14ac:dyDescent="0.3">
      <c r="A379" s="23">
        <v>988</v>
      </c>
      <c r="B379" s="24">
        <v>40587</v>
      </c>
      <c r="C379" s="23">
        <v>1</v>
      </c>
      <c r="D379" s="23">
        <v>0</v>
      </c>
      <c r="E379" s="23">
        <v>2</v>
      </c>
      <c r="F379" s="23">
        <v>19</v>
      </c>
      <c r="G379" s="23" t="b">
        <v>0</v>
      </c>
      <c r="H379" s="23">
        <v>0</v>
      </c>
      <c r="I379" s="23">
        <v>1</v>
      </c>
      <c r="J379" s="23">
        <v>0.4</v>
      </c>
      <c r="K379" s="23">
        <v>0.40910000000000002</v>
      </c>
      <c r="L379" s="23">
        <v>0.35</v>
      </c>
      <c r="M379" s="23">
        <v>0.28360000000000002</v>
      </c>
      <c r="N379" s="23">
        <v>11</v>
      </c>
      <c r="O379" s="23">
        <v>50</v>
      </c>
      <c r="P379" s="23">
        <v>61</v>
      </c>
    </row>
    <row r="380" spans="1:16" ht="15.75" customHeight="1" x14ac:dyDescent="0.3">
      <c r="A380" s="23">
        <v>989</v>
      </c>
      <c r="B380" s="24">
        <v>40587</v>
      </c>
      <c r="C380" s="23">
        <v>1</v>
      </c>
      <c r="D380" s="23">
        <v>0</v>
      </c>
      <c r="E380" s="23">
        <v>2</v>
      </c>
      <c r="F380" s="23">
        <v>20</v>
      </c>
      <c r="G380" s="23" t="b">
        <v>0</v>
      </c>
      <c r="H380" s="23">
        <v>0</v>
      </c>
      <c r="I380" s="23">
        <v>1</v>
      </c>
      <c r="J380" s="23">
        <v>0.4</v>
      </c>
      <c r="K380" s="23">
        <v>0.40910000000000002</v>
      </c>
      <c r="L380" s="23">
        <v>0.35</v>
      </c>
      <c r="M380" s="23">
        <v>0.32840000000000003</v>
      </c>
      <c r="N380" s="23">
        <v>15</v>
      </c>
      <c r="O380" s="23">
        <v>32</v>
      </c>
      <c r="P380" s="23">
        <v>47</v>
      </c>
    </row>
    <row r="381" spans="1:16" ht="15.75" customHeight="1" x14ac:dyDescent="0.3">
      <c r="A381" s="23">
        <v>990</v>
      </c>
      <c r="B381" s="24">
        <v>40587</v>
      </c>
      <c r="C381" s="23">
        <v>1</v>
      </c>
      <c r="D381" s="23">
        <v>0</v>
      </c>
      <c r="E381" s="23">
        <v>2</v>
      </c>
      <c r="F381" s="23">
        <v>21</v>
      </c>
      <c r="G381" s="23" t="b">
        <v>0</v>
      </c>
      <c r="H381" s="23">
        <v>0</v>
      </c>
      <c r="I381" s="23">
        <v>1</v>
      </c>
      <c r="J381" s="23">
        <v>0.4</v>
      </c>
      <c r="K381" s="23">
        <v>0.40910000000000002</v>
      </c>
      <c r="L381" s="23">
        <v>0.35</v>
      </c>
      <c r="M381" s="23">
        <v>0.35820000000000002</v>
      </c>
      <c r="N381" s="23">
        <v>6</v>
      </c>
      <c r="O381" s="23">
        <v>45</v>
      </c>
      <c r="P381" s="23">
        <v>51</v>
      </c>
    </row>
    <row r="382" spans="1:16" ht="15.75" customHeight="1" x14ac:dyDescent="0.3">
      <c r="A382" s="23">
        <v>991</v>
      </c>
      <c r="B382" s="24">
        <v>40587</v>
      </c>
      <c r="C382" s="23">
        <v>1</v>
      </c>
      <c r="D382" s="23">
        <v>0</v>
      </c>
      <c r="E382" s="23">
        <v>2</v>
      </c>
      <c r="F382" s="23">
        <v>22</v>
      </c>
      <c r="G382" s="23" t="b">
        <v>0</v>
      </c>
      <c r="H382" s="23">
        <v>0</v>
      </c>
      <c r="I382" s="23">
        <v>1</v>
      </c>
      <c r="J382" s="23">
        <v>0.4</v>
      </c>
      <c r="K382" s="23">
        <v>0.40910000000000002</v>
      </c>
      <c r="L382" s="23">
        <v>0.35</v>
      </c>
      <c r="M382" s="23">
        <v>0.29849999999999999</v>
      </c>
      <c r="N382" s="23">
        <v>5</v>
      </c>
      <c r="O382" s="23">
        <v>31</v>
      </c>
      <c r="P382" s="23">
        <v>36</v>
      </c>
    </row>
    <row r="383" spans="1:16" ht="15.75" customHeight="1" x14ac:dyDescent="0.3">
      <c r="A383" s="23">
        <v>992</v>
      </c>
      <c r="B383" s="24">
        <v>40587</v>
      </c>
      <c r="C383" s="23">
        <v>1</v>
      </c>
      <c r="D383" s="23">
        <v>0</v>
      </c>
      <c r="E383" s="23">
        <v>2</v>
      </c>
      <c r="F383" s="23">
        <v>23</v>
      </c>
      <c r="G383" s="23" t="b">
        <v>0</v>
      </c>
      <c r="H383" s="23">
        <v>0</v>
      </c>
      <c r="I383" s="23">
        <v>1</v>
      </c>
      <c r="J383" s="23">
        <v>0.4</v>
      </c>
      <c r="K383" s="23">
        <v>0.40910000000000002</v>
      </c>
      <c r="L383" s="23">
        <v>0.35</v>
      </c>
      <c r="M383" s="23">
        <v>0.35820000000000002</v>
      </c>
      <c r="N383" s="23">
        <v>3</v>
      </c>
      <c r="O383" s="23">
        <v>27</v>
      </c>
      <c r="P383" s="23">
        <v>30</v>
      </c>
    </row>
    <row r="384" spans="1:16" ht="15.75" customHeight="1" x14ac:dyDescent="0.3">
      <c r="A384" s="23">
        <v>993</v>
      </c>
      <c r="B384" s="24">
        <v>40588</v>
      </c>
      <c r="C384" s="23">
        <v>1</v>
      </c>
      <c r="D384" s="23">
        <v>0</v>
      </c>
      <c r="E384" s="23">
        <v>2</v>
      </c>
      <c r="F384" s="23">
        <v>0</v>
      </c>
      <c r="G384" s="23" t="b">
        <v>0</v>
      </c>
      <c r="H384" s="23">
        <v>1</v>
      </c>
      <c r="I384" s="23">
        <v>1</v>
      </c>
      <c r="J384" s="23">
        <v>0.38</v>
      </c>
      <c r="K384" s="23">
        <v>0.39389999999999997</v>
      </c>
      <c r="L384" s="23">
        <v>0.37</v>
      </c>
      <c r="M384" s="23">
        <v>0.35820000000000002</v>
      </c>
      <c r="N384" s="23">
        <v>3</v>
      </c>
      <c r="O384" s="23">
        <v>8</v>
      </c>
      <c r="P384" s="23">
        <v>11</v>
      </c>
    </row>
    <row r="385" spans="1:16" ht="15.75" customHeight="1" x14ac:dyDescent="0.3">
      <c r="A385" s="23">
        <v>994</v>
      </c>
      <c r="B385" s="24">
        <v>40588</v>
      </c>
      <c r="C385" s="23">
        <v>1</v>
      </c>
      <c r="D385" s="23">
        <v>0</v>
      </c>
      <c r="E385" s="23">
        <v>2</v>
      </c>
      <c r="F385" s="23">
        <v>1</v>
      </c>
      <c r="G385" s="23" t="b">
        <v>0</v>
      </c>
      <c r="H385" s="23">
        <v>1</v>
      </c>
      <c r="I385" s="23">
        <v>1</v>
      </c>
      <c r="J385" s="23">
        <v>0.38</v>
      </c>
      <c r="K385" s="23">
        <v>0.39389999999999997</v>
      </c>
      <c r="L385" s="23">
        <v>0.37</v>
      </c>
      <c r="M385" s="23">
        <v>0.35820000000000002</v>
      </c>
      <c r="N385" s="23">
        <v>1</v>
      </c>
      <c r="O385" s="23">
        <v>6</v>
      </c>
      <c r="P385" s="23">
        <v>7</v>
      </c>
    </row>
    <row r="386" spans="1:16" ht="15.75" customHeight="1" x14ac:dyDescent="0.3">
      <c r="A386" s="23">
        <v>995</v>
      </c>
      <c r="B386" s="24">
        <v>40588</v>
      </c>
      <c r="C386" s="23">
        <v>1</v>
      </c>
      <c r="D386" s="23">
        <v>0</v>
      </c>
      <c r="E386" s="23">
        <v>2</v>
      </c>
      <c r="F386" s="23">
        <v>2</v>
      </c>
      <c r="G386" s="23" t="b">
        <v>0</v>
      </c>
      <c r="H386" s="23">
        <v>1</v>
      </c>
      <c r="I386" s="23">
        <v>1</v>
      </c>
      <c r="J386" s="23">
        <v>0.36</v>
      </c>
      <c r="K386" s="23">
        <v>0.33329999999999999</v>
      </c>
      <c r="L386" s="23">
        <v>0.4</v>
      </c>
      <c r="M386" s="23">
        <v>0.29849999999999999</v>
      </c>
      <c r="N386" s="23">
        <v>0</v>
      </c>
      <c r="O386" s="23">
        <v>2</v>
      </c>
      <c r="P386" s="23">
        <v>2</v>
      </c>
    </row>
    <row r="387" spans="1:16" ht="15.75" customHeight="1" x14ac:dyDescent="0.3">
      <c r="A387" s="23">
        <v>996</v>
      </c>
      <c r="B387" s="24">
        <v>40588</v>
      </c>
      <c r="C387" s="23">
        <v>1</v>
      </c>
      <c r="D387" s="23">
        <v>0</v>
      </c>
      <c r="E387" s="23">
        <v>2</v>
      </c>
      <c r="F387" s="23">
        <v>3</v>
      </c>
      <c r="G387" s="23" t="b">
        <v>0</v>
      </c>
      <c r="H387" s="23">
        <v>1</v>
      </c>
      <c r="I387" s="23">
        <v>1</v>
      </c>
      <c r="J387" s="23">
        <v>0.34</v>
      </c>
      <c r="K387" s="23">
        <v>0.31819999999999998</v>
      </c>
      <c r="L387" s="23">
        <v>0.46</v>
      </c>
      <c r="M387" s="23">
        <v>0.22389999999999999</v>
      </c>
      <c r="N387" s="23">
        <v>1</v>
      </c>
      <c r="O387" s="23">
        <v>1</v>
      </c>
      <c r="P387" s="23">
        <v>2</v>
      </c>
    </row>
    <row r="388" spans="1:16" ht="15.75" customHeight="1" x14ac:dyDescent="0.3">
      <c r="A388" s="23">
        <v>997</v>
      </c>
      <c r="B388" s="24">
        <v>40588</v>
      </c>
      <c r="C388" s="23">
        <v>1</v>
      </c>
      <c r="D388" s="23">
        <v>0</v>
      </c>
      <c r="E388" s="23">
        <v>2</v>
      </c>
      <c r="F388" s="23">
        <v>4</v>
      </c>
      <c r="G388" s="23" t="b">
        <v>0</v>
      </c>
      <c r="H388" s="23">
        <v>1</v>
      </c>
      <c r="I388" s="23">
        <v>1</v>
      </c>
      <c r="J388" s="23">
        <v>0.32</v>
      </c>
      <c r="K388" s="23">
        <v>0.30299999999999999</v>
      </c>
      <c r="L388" s="23">
        <v>0.53</v>
      </c>
      <c r="M388" s="23">
        <v>0.28360000000000002</v>
      </c>
      <c r="N388" s="23">
        <v>0</v>
      </c>
      <c r="O388" s="23">
        <v>2</v>
      </c>
      <c r="P388" s="23">
        <v>2</v>
      </c>
    </row>
    <row r="389" spans="1:16" ht="15.75" customHeight="1" x14ac:dyDescent="0.3">
      <c r="A389" s="23">
        <v>998</v>
      </c>
      <c r="B389" s="24">
        <v>40588</v>
      </c>
      <c r="C389" s="23">
        <v>1</v>
      </c>
      <c r="D389" s="23">
        <v>0</v>
      </c>
      <c r="E389" s="23">
        <v>2</v>
      </c>
      <c r="F389" s="23">
        <v>5</v>
      </c>
      <c r="G389" s="23" t="b">
        <v>0</v>
      </c>
      <c r="H389" s="23">
        <v>1</v>
      </c>
      <c r="I389" s="23">
        <v>1</v>
      </c>
      <c r="J389" s="23">
        <v>0.32</v>
      </c>
      <c r="K389" s="23">
        <v>0.30299999999999999</v>
      </c>
      <c r="L389" s="23">
        <v>0.53</v>
      </c>
      <c r="M389" s="23">
        <v>0.28360000000000002</v>
      </c>
      <c r="N389" s="23">
        <v>0</v>
      </c>
      <c r="O389" s="23">
        <v>3</v>
      </c>
      <c r="P389" s="23">
        <v>3</v>
      </c>
    </row>
    <row r="390" spans="1:16" ht="15.75" customHeight="1" x14ac:dyDescent="0.3">
      <c r="A390" s="23">
        <v>999</v>
      </c>
      <c r="B390" s="24">
        <v>40588</v>
      </c>
      <c r="C390" s="23">
        <v>1</v>
      </c>
      <c r="D390" s="23">
        <v>0</v>
      </c>
      <c r="E390" s="23">
        <v>2</v>
      </c>
      <c r="F390" s="23">
        <v>6</v>
      </c>
      <c r="G390" s="23" t="b">
        <v>0</v>
      </c>
      <c r="H390" s="23">
        <v>1</v>
      </c>
      <c r="I390" s="23">
        <v>1</v>
      </c>
      <c r="J390" s="23">
        <v>0.34</v>
      </c>
      <c r="K390" s="23">
        <v>0.30299999999999999</v>
      </c>
      <c r="L390" s="23">
        <v>0.46</v>
      </c>
      <c r="M390" s="23">
        <v>0.29849999999999999</v>
      </c>
      <c r="N390" s="23">
        <v>1</v>
      </c>
      <c r="O390" s="23">
        <v>25</v>
      </c>
      <c r="P390" s="23">
        <v>26</v>
      </c>
    </row>
    <row r="391" spans="1:16" ht="15.75" customHeight="1" x14ac:dyDescent="0.3">
      <c r="A391" s="23">
        <v>1000</v>
      </c>
      <c r="B391" s="24">
        <v>40588</v>
      </c>
      <c r="C391" s="23">
        <v>1</v>
      </c>
      <c r="D391" s="23">
        <v>0</v>
      </c>
      <c r="E391" s="23">
        <v>2</v>
      </c>
      <c r="F391" s="23">
        <v>7</v>
      </c>
      <c r="G391" s="23" t="b">
        <v>0</v>
      </c>
      <c r="H391" s="23">
        <v>1</v>
      </c>
      <c r="I391" s="23">
        <v>1</v>
      </c>
      <c r="J391" s="23">
        <v>0.34</v>
      </c>
      <c r="K391" s="23">
        <v>0.30299999999999999</v>
      </c>
      <c r="L391" s="23">
        <v>0.46</v>
      </c>
      <c r="M391" s="23">
        <v>0.29849999999999999</v>
      </c>
      <c r="N391" s="23">
        <v>2</v>
      </c>
      <c r="O391" s="23">
        <v>96</v>
      </c>
      <c r="P391" s="23">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F0F7-084F-48AC-98CA-A54A8887CC04}">
  <sheetPr codeName="Sheet2"/>
  <dimension ref="A1:J611"/>
  <sheetViews>
    <sheetView workbookViewId="0">
      <selection sqref="A1:J611"/>
    </sheetView>
  </sheetViews>
  <sheetFormatPr defaultRowHeight="14.4" x14ac:dyDescent="0.3"/>
  <cols>
    <col min="2" max="2" width="10.33203125" bestFit="1" customWidth="1"/>
    <col min="3" max="3" width="9.109375" customWidth="1"/>
    <col min="7" max="7" width="9.109375" customWidth="1"/>
    <col min="8" max="8" width="10.44140625" customWidth="1"/>
    <col min="9" max="9" width="12" customWidth="1"/>
  </cols>
  <sheetData>
    <row r="1" spans="1:10" ht="15" thickBot="1" x14ac:dyDescent="0.35">
      <c r="A1" s="8" t="s">
        <v>0</v>
      </c>
      <c r="B1" s="9" t="s">
        <v>1</v>
      </c>
      <c r="C1" s="9" t="s">
        <v>2</v>
      </c>
      <c r="D1" s="9" t="s">
        <v>3</v>
      </c>
      <c r="E1" s="9" t="s">
        <v>4</v>
      </c>
      <c r="F1" s="9" t="s">
        <v>5</v>
      </c>
      <c r="G1" s="9" t="s">
        <v>6</v>
      </c>
      <c r="H1" s="9" t="s">
        <v>7</v>
      </c>
      <c r="I1" s="9" t="s">
        <v>8</v>
      </c>
      <c r="J1" s="10" t="s">
        <v>9</v>
      </c>
    </row>
    <row r="2" spans="1:10" ht="15" thickBot="1" x14ac:dyDescent="0.35">
      <c r="A2" s="6">
        <v>1</v>
      </c>
      <c r="B2" s="4">
        <v>40544</v>
      </c>
      <c r="C2" s="3">
        <v>1</v>
      </c>
      <c r="D2" s="3">
        <v>0</v>
      </c>
      <c r="E2" s="3">
        <v>1</v>
      </c>
      <c r="F2" s="3">
        <v>0</v>
      </c>
      <c r="G2" s="5" t="b">
        <v>0</v>
      </c>
      <c r="H2" s="3">
        <v>6</v>
      </c>
      <c r="I2" s="3">
        <v>1</v>
      </c>
      <c r="J2" s="7">
        <v>0.24</v>
      </c>
    </row>
    <row r="3" spans="1:10" ht="15" thickBot="1" x14ac:dyDescent="0.35">
      <c r="A3" s="6">
        <v>2</v>
      </c>
      <c r="B3" s="4">
        <v>40544</v>
      </c>
      <c r="C3" s="3">
        <v>1</v>
      </c>
      <c r="D3" s="3">
        <v>0</v>
      </c>
      <c r="E3" s="3">
        <v>1</v>
      </c>
      <c r="F3" s="3">
        <v>1</v>
      </c>
      <c r="G3" s="5" t="b">
        <v>0</v>
      </c>
      <c r="H3" s="3">
        <v>6</v>
      </c>
      <c r="I3" s="3">
        <v>1</v>
      </c>
      <c r="J3" s="7">
        <v>0.22</v>
      </c>
    </row>
    <row r="4" spans="1:10" ht="15" thickBot="1" x14ac:dyDescent="0.35">
      <c r="A4" s="6">
        <v>3</v>
      </c>
      <c r="B4" s="4">
        <v>40544</v>
      </c>
      <c r="C4" s="3">
        <v>1</v>
      </c>
      <c r="D4" s="3">
        <v>0</v>
      </c>
      <c r="E4" s="3">
        <v>1</v>
      </c>
      <c r="F4" s="3">
        <v>2</v>
      </c>
      <c r="G4" s="5" t="b">
        <v>0</v>
      </c>
      <c r="H4" s="3">
        <v>6</v>
      </c>
      <c r="I4" s="3">
        <v>1</v>
      </c>
      <c r="J4" s="7">
        <v>0.22</v>
      </c>
    </row>
    <row r="5" spans="1:10" ht="15" thickBot="1" x14ac:dyDescent="0.35">
      <c r="A5" s="6">
        <v>4</v>
      </c>
      <c r="B5" s="4">
        <v>40544</v>
      </c>
      <c r="C5" s="3">
        <v>1</v>
      </c>
      <c r="D5" s="3">
        <v>0</v>
      </c>
      <c r="E5" s="3">
        <v>1</v>
      </c>
      <c r="F5" s="3">
        <v>3</v>
      </c>
      <c r="G5" s="5" t="b">
        <v>0</v>
      </c>
      <c r="H5" s="3">
        <v>6</v>
      </c>
      <c r="I5" s="3">
        <v>1</v>
      </c>
      <c r="J5" s="7">
        <v>0.24</v>
      </c>
    </row>
    <row r="6" spans="1:10" ht="15" thickBot="1" x14ac:dyDescent="0.35">
      <c r="A6" s="6">
        <v>5</v>
      </c>
      <c r="B6" s="4">
        <v>40544</v>
      </c>
      <c r="C6" s="3">
        <v>1</v>
      </c>
      <c r="D6" s="3">
        <v>0</v>
      </c>
      <c r="E6" s="3">
        <v>1</v>
      </c>
      <c r="F6" s="3">
        <v>4</v>
      </c>
      <c r="G6" s="5" t="b">
        <v>0</v>
      </c>
      <c r="H6" s="3">
        <v>6</v>
      </c>
      <c r="I6" s="3">
        <v>1</v>
      </c>
      <c r="J6" s="7">
        <v>0.24</v>
      </c>
    </row>
    <row r="7" spans="1:10" ht="15" thickBot="1" x14ac:dyDescent="0.35">
      <c r="A7" s="6">
        <v>6</v>
      </c>
      <c r="B7" s="4">
        <v>40544</v>
      </c>
      <c r="C7" s="3">
        <v>1</v>
      </c>
      <c r="D7" s="3">
        <v>0</v>
      </c>
      <c r="E7" s="3">
        <v>1</v>
      </c>
      <c r="F7" s="3">
        <v>5</v>
      </c>
      <c r="G7" s="5" t="b">
        <v>0</v>
      </c>
      <c r="H7" s="3">
        <v>6</v>
      </c>
      <c r="I7" s="3">
        <v>2</v>
      </c>
      <c r="J7" s="7">
        <v>0.24</v>
      </c>
    </row>
    <row r="8" spans="1:10" ht="15" thickBot="1" x14ac:dyDescent="0.35">
      <c r="A8" s="6">
        <v>7</v>
      </c>
      <c r="B8" s="4">
        <v>40544</v>
      </c>
      <c r="C8" s="3">
        <v>1</v>
      </c>
      <c r="D8" s="3">
        <v>0</v>
      </c>
      <c r="E8" s="3">
        <v>1</v>
      </c>
      <c r="F8" s="3">
        <v>6</v>
      </c>
      <c r="G8" s="5" t="b">
        <v>0</v>
      </c>
      <c r="H8" s="3">
        <v>6</v>
      </c>
      <c r="I8" s="3">
        <v>1</v>
      </c>
      <c r="J8" s="7">
        <v>0.22</v>
      </c>
    </row>
    <row r="9" spans="1:10" ht="15" thickBot="1" x14ac:dyDescent="0.35">
      <c r="A9" s="6">
        <v>8</v>
      </c>
      <c r="B9" s="4">
        <v>40544</v>
      </c>
      <c r="C9" s="3">
        <v>1</v>
      </c>
      <c r="D9" s="3">
        <v>0</v>
      </c>
      <c r="E9" s="3">
        <v>1</v>
      </c>
      <c r="F9" s="3">
        <v>7</v>
      </c>
      <c r="G9" s="5" t="b">
        <v>0</v>
      </c>
      <c r="H9" s="3">
        <v>6</v>
      </c>
      <c r="I9" s="3">
        <v>1</v>
      </c>
      <c r="J9" s="7">
        <v>0.2</v>
      </c>
    </row>
    <row r="10" spans="1:10" ht="15" thickBot="1" x14ac:dyDescent="0.35">
      <c r="A10" s="6">
        <v>9</v>
      </c>
      <c r="B10" s="4">
        <v>40544</v>
      </c>
      <c r="C10" s="3">
        <v>1</v>
      </c>
      <c r="D10" s="3">
        <v>0</v>
      </c>
      <c r="E10" s="3">
        <v>1</v>
      </c>
      <c r="F10" s="3">
        <v>8</v>
      </c>
      <c r="G10" s="5" t="b">
        <v>0</v>
      </c>
      <c r="H10" s="3">
        <v>6</v>
      </c>
      <c r="I10" s="3">
        <v>1</v>
      </c>
      <c r="J10" s="7">
        <v>0.24</v>
      </c>
    </row>
    <row r="11" spans="1:10" ht="15" thickBot="1" x14ac:dyDescent="0.35">
      <c r="A11" s="6">
        <v>10</v>
      </c>
      <c r="B11" s="4">
        <v>40544</v>
      </c>
      <c r="C11" s="3">
        <v>1</v>
      </c>
      <c r="D11" s="3">
        <v>0</v>
      </c>
      <c r="E11" s="3">
        <v>1</v>
      </c>
      <c r="F11" s="3">
        <v>9</v>
      </c>
      <c r="G11" s="5" t="b">
        <v>0</v>
      </c>
      <c r="H11" s="3">
        <v>6</v>
      </c>
      <c r="I11" s="3">
        <v>1</v>
      </c>
      <c r="J11" s="7">
        <v>0.32</v>
      </c>
    </row>
    <row r="12" spans="1:10" ht="15" thickBot="1" x14ac:dyDescent="0.35">
      <c r="A12" s="6">
        <v>11</v>
      </c>
      <c r="B12" s="4">
        <v>40544</v>
      </c>
      <c r="C12" s="3">
        <v>1</v>
      </c>
      <c r="D12" s="3">
        <v>0</v>
      </c>
      <c r="E12" s="3">
        <v>1</v>
      </c>
      <c r="F12" s="3">
        <v>10</v>
      </c>
      <c r="G12" s="5" t="b">
        <v>0</v>
      </c>
      <c r="H12" s="3">
        <v>6</v>
      </c>
      <c r="I12" s="3">
        <v>1</v>
      </c>
      <c r="J12" s="7">
        <v>0.38</v>
      </c>
    </row>
    <row r="13" spans="1:10" ht="15" thickBot="1" x14ac:dyDescent="0.35">
      <c r="A13" s="6">
        <v>12</v>
      </c>
      <c r="B13" s="4">
        <v>40544</v>
      </c>
      <c r="C13" s="3">
        <v>1</v>
      </c>
      <c r="D13" s="3">
        <v>0</v>
      </c>
      <c r="E13" s="3">
        <v>1</v>
      </c>
      <c r="F13" s="3">
        <v>11</v>
      </c>
      <c r="G13" s="5" t="b">
        <v>0</v>
      </c>
      <c r="H13" s="3">
        <v>6</v>
      </c>
      <c r="I13" s="3">
        <v>1</v>
      </c>
      <c r="J13" s="7">
        <v>0.36</v>
      </c>
    </row>
    <row r="14" spans="1:10" ht="15" thickBot="1" x14ac:dyDescent="0.35">
      <c r="A14" s="6">
        <v>13</v>
      </c>
      <c r="B14" s="4">
        <v>40544</v>
      </c>
      <c r="C14" s="3">
        <v>1</v>
      </c>
      <c r="D14" s="3">
        <v>0</v>
      </c>
      <c r="E14" s="3">
        <v>1</v>
      </c>
      <c r="F14" s="3">
        <v>12</v>
      </c>
      <c r="G14" s="5" t="b">
        <v>0</v>
      </c>
      <c r="H14" s="3">
        <v>6</v>
      </c>
      <c r="I14" s="3">
        <v>1</v>
      </c>
      <c r="J14" s="7">
        <v>0.42</v>
      </c>
    </row>
    <row r="15" spans="1:10" ht="15" thickBot="1" x14ac:dyDescent="0.35">
      <c r="A15" s="6">
        <v>14</v>
      </c>
      <c r="B15" s="4">
        <v>40544</v>
      </c>
      <c r="C15" s="3">
        <v>1</v>
      </c>
      <c r="D15" s="3">
        <v>0</v>
      </c>
      <c r="E15" s="3">
        <v>1</v>
      </c>
      <c r="F15" s="3">
        <v>13</v>
      </c>
      <c r="G15" s="5" t="b">
        <v>0</v>
      </c>
      <c r="H15" s="3">
        <v>6</v>
      </c>
      <c r="I15" s="3">
        <v>2</v>
      </c>
      <c r="J15" s="7">
        <v>0.46</v>
      </c>
    </row>
    <row r="16" spans="1:10" ht="15" thickBot="1" x14ac:dyDescent="0.35">
      <c r="A16" s="6">
        <v>15</v>
      </c>
      <c r="B16" s="4">
        <v>40544</v>
      </c>
      <c r="C16" s="3">
        <v>1</v>
      </c>
      <c r="D16" s="3">
        <v>0</v>
      </c>
      <c r="E16" s="3">
        <v>1</v>
      </c>
      <c r="F16" s="3">
        <v>14</v>
      </c>
      <c r="G16" s="5" t="b">
        <v>0</v>
      </c>
      <c r="H16" s="3">
        <v>6</v>
      </c>
      <c r="I16" s="3">
        <v>2</v>
      </c>
      <c r="J16" s="7">
        <v>0.46</v>
      </c>
    </row>
    <row r="17" spans="1:10" ht="15" thickBot="1" x14ac:dyDescent="0.35">
      <c r="A17" s="6">
        <v>16</v>
      </c>
      <c r="B17" s="4">
        <v>40544</v>
      </c>
      <c r="C17" s="3">
        <v>1</v>
      </c>
      <c r="D17" s="3">
        <v>0</v>
      </c>
      <c r="E17" s="3">
        <v>1</v>
      </c>
      <c r="F17" s="3">
        <v>15</v>
      </c>
      <c r="G17" s="5" t="b">
        <v>0</v>
      </c>
      <c r="H17" s="3">
        <v>6</v>
      </c>
      <c r="I17" s="3">
        <v>2</v>
      </c>
      <c r="J17" s="7">
        <v>0.44</v>
      </c>
    </row>
    <row r="18" spans="1:10" ht="15" thickBot="1" x14ac:dyDescent="0.35">
      <c r="A18" s="6">
        <v>17</v>
      </c>
      <c r="B18" s="4">
        <v>40544</v>
      </c>
      <c r="C18" s="3">
        <v>1</v>
      </c>
      <c r="D18" s="3">
        <v>0</v>
      </c>
      <c r="E18" s="3">
        <v>1</v>
      </c>
      <c r="F18" s="3">
        <v>16</v>
      </c>
      <c r="G18" s="5" t="b">
        <v>0</v>
      </c>
      <c r="H18" s="3">
        <v>6</v>
      </c>
      <c r="I18" s="3">
        <v>2</v>
      </c>
      <c r="J18" s="7">
        <v>0.42</v>
      </c>
    </row>
    <row r="19" spans="1:10" ht="15" thickBot="1" x14ac:dyDescent="0.35">
      <c r="A19" s="6">
        <v>18</v>
      </c>
      <c r="B19" s="4">
        <v>40544</v>
      </c>
      <c r="C19" s="3">
        <v>1</v>
      </c>
      <c r="D19" s="3">
        <v>0</v>
      </c>
      <c r="E19" s="3">
        <v>1</v>
      </c>
      <c r="F19" s="3">
        <v>17</v>
      </c>
      <c r="G19" s="5" t="b">
        <v>0</v>
      </c>
      <c r="H19" s="3">
        <v>6</v>
      </c>
      <c r="I19" s="3">
        <v>2</v>
      </c>
      <c r="J19" s="7">
        <v>0.44</v>
      </c>
    </row>
    <row r="20" spans="1:10" ht="15" thickBot="1" x14ac:dyDescent="0.35">
      <c r="A20" s="6">
        <v>19</v>
      </c>
      <c r="B20" s="4">
        <v>40544</v>
      </c>
      <c r="C20" s="3">
        <v>1</v>
      </c>
      <c r="D20" s="3">
        <v>0</v>
      </c>
      <c r="E20" s="3">
        <v>1</v>
      </c>
      <c r="F20" s="3">
        <v>18</v>
      </c>
      <c r="G20" s="5" t="b">
        <v>0</v>
      </c>
      <c r="H20" s="3">
        <v>6</v>
      </c>
      <c r="I20" s="3">
        <v>3</v>
      </c>
      <c r="J20" s="7">
        <v>0.42</v>
      </c>
    </row>
    <row r="21" spans="1:10" ht="15" thickBot="1" x14ac:dyDescent="0.35">
      <c r="A21" s="6">
        <v>20</v>
      </c>
      <c r="B21" s="4">
        <v>40544</v>
      </c>
      <c r="C21" s="3">
        <v>1</v>
      </c>
      <c r="D21" s="3">
        <v>0</v>
      </c>
      <c r="E21" s="3">
        <v>1</v>
      </c>
      <c r="F21" s="3">
        <v>19</v>
      </c>
      <c r="G21" s="5" t="b">
        <v>0</v>
      </c>
      <c r="H21" s="3">
        <v>6</v>
      </c>
      <c r="I21" s="3">
        <v>3</v>
      </c>
      <c r="J21" s="7">
        <v>0.42</v>
      </c>
    </row>
    <row r="22" spans="1:10" ht="15" thickBot="1" x14ac:dyDescent="0.35">
      <c r="A22" s="6">
        <v>21</v>
      </c>
      <c r="B22" s="4">
        <v>40544</v>
      </c>
      <c r="C22" s="3">
        <v>1</v>
      </c>
      <c r="D22" s="3">
        <v>0</v>
      </c>
      <c r="E22" s="3">
        <v>1</v>
      </c>
      <c r="F22" s="3">
        <v>20</v>
      </c>
      <c r="G22" s="5" t="b">
        <v>0</v>
      </c>
      <c r="H22" s="3">
        <v>6</v>
      </c>
      <c r="I22" s="3">
        <v>2</v>
      </c>
      <c r="J22" s="7">
        <v>0.4</v>
      </c>
    </row>
    <row r="23" spans="1:10" ht="15" thickBot="1" x14ac:dyDescent="0.35">
      <c r="A23" s="6">
        <v>22</v>
      </c>
      <c r="B23" s="4">
        <v>40544</v>
      </c>
      <c r="C23" s="3">
        <v>1</v>
      </c>
      <c r="D23" s="3">
        <v>0</v>
      </c>
      <c r="E23" s="3">
        <v>1</v>
      </c>
      <c r="F23" s="3">
        <v>21</v>
      </c>
      <c r="G23" s="5" t="b">
        <v>0</v>
      </c>
      <c r="H23" s="3">
        <v>6</v>
      </c>
      <c r="I23" s="3">
        <v>2</v>
      </c>
      <c r="J23" s="7">
        <v>0.4</v>
      </c>
    </row>
    <row r="24" spans="1:10" ht="15" thickBot="1" x14ac:dyDescent="0.35">
      <c r="A24" s="6">
        <v>23</v>
      </c>
      <c r="B24" s="4">
        <v>40544</v>
      </c>
      <c r="C24" s="3">
        <v>1</v>
      </c>
      <c r="D24" s="3">
        <v>0</v>
      </c>
      <c r="E24" s="3">
        <v>1</v>
      </c>
      <c r="F24" s="3">
        <v>22</v>
      </c>
      <c r="G24" s="5" t="b">
        <v>0</v>
      </c>
      <c r="H24" s="3">
        <v>6</v>
      </c>
      <c r="I24" s="3">
        <v>2</v>
      </c>
      <c r="J24" s="7">
        <v>0.4</v>
      </c>
    </row>
    <row r="25" spans="1:10" ht="15" thickBot="1" x14ac:dyDescent="0.35">
      <c r="A25" s="6">
        <v>24</v>
      </c>
      <c r="B25" s="4">
        <v>40544</v>
      </c>
      <c r="C25" s="3">
        <v>1</v>
      </c>
      <c r="D25" s="3">
        <v>0</v>
      </c>
      <c r="E25" s="3">
        <v>1</v>
      </c>
      <c r="F25" s="3">
        <v>23</v>
      </c>
      <c r="G25" s="5" t="b">
        <v>0</v>
      </c>
      <c r="H25" s="3">
        <v>6</v>
      </c>
      <c r="I25" s="3">
        <v>2</v>
      </c>
      <c r="J25" s="7">
        <v>0.46</v>
      </c>
    </row>
    <row r="26" spans="1:10" ht="15" thickBot="1" x14ac:dyDescent="0.35">
      <c r="A26" s="6">
        <v>25</v>
      </c>
      <c r="B26" s="4">
        <v>40545</v>
      </c>
      <c r="C26" s="3">
        <v>1</v>
      </c>
      <c r="D26" s="3">
        <v>0</v>
      </c>
      <c r="E26" s="3">
        <v>1</v>
      </c>
      <c r="F26" s="3">
        <v>0</v>
      </c>
      <c r="G26" s="5" t="b">
        <v>0</v>
      </c>
      <c r="H26" s="3">
        <v>0</v>
      </c>
      <c r="I26" s="3">
        <v>2</v>
      </c>
      <c r="J26" s="7">
        <v>0.46</v>
      </c>
    </row>
    <row r="27" spans="1:10" ht="15" thickBot="1" x14ac:dyDescent="0.35">
      <c r="A27" s="6">
        <v>26</v>
      </c>
      <c r="B27" s="4">
        <v>40545</v>
      </c>
      <c r="C27" s="3">
        <v>1</v>
      </c>
      <c r="D27" s="3">
        <v>0</v>
      </c>
      <c r="E27" s="3">
        <v>1</v>
      </c>
      <c r="F27" s="3">
        <v>1</v>
      </c>
      <c r="G27" s="5" t="b">
        <v>0</v>
      </c>
      <c r="H27" s="3">
        <v>0</v>
      </c>
      <c r="I27" s="3">
        <v>2</v>
      </c>
      <c r="J27" s="7">
        <v>0.44</v>
      </c>
    </row>
    <row r="28" spans="1:10" ht="15" thickBot="1" x14ac:dyDescent="0.35">
      <c r="A28" s="6">
        <v>27</v>
      </c>
      <c r="B28" s="4">
        <v>40545</v>
      </c>
      <c r="C28" s="3">
        <v>1</v>
      </c>
      <c r="D28" s="3">
        <v>0</v>
      </c>
      <c r="E28" s="3">
        <v>1</v>
      </c>
      <c r="F28" s="3">
        <v>2</v>
      </c>
      <c r="G28" s="5" t="b">
        <v>0</v>
      </c>
      <c r="H28" s="3">
        <v>0</v>
      </c>
      <c r="I28" s="3">
        <v>2</v>
      </c>
      <c r="J28" s="7">
        <v>0.42</v>
      </c>
    </row>
    <row r="29" spans="1:10" ht="15" thickBot="1" x14ac:dyDescent="0.35">
      <c r="A29" s="6">
        <v>28</v>
      </c>
      <c r="B29" s="4">
        <v>40545</v>
      </c>
      <c r="C29" s="3">
        <v>1</v>
      </c>
      <c r="D29" s="3">
        <v>0</v>
      </c>
      <c r="E29" s="3">
        <v>1</v>
      </c>
      <c r="F29" s="3">
        <v>3</v>
      </c>
      <c r="G29" s="5" t="b">
        <v>0</v>
      </c>
      <c r="H29" s="3">
        <v>0</v>
      </c>
      <c r="I29" s="3">
        <v>2</v>
      </c>
      <c r="J29" s="7">
        <v>0.46</v>
      </c>
    </row>
    <row r="30" spans="1:10" ht="15" thickBot="1" x14ac:dyDescent="0.35">
      <c r="A30" s="6">
        <v>29</v>
      </c>
      <c r="B30" s="4">
        <v>40545</v>
      </c>
      <c r="C30" s="3">
        <v>1</v>
      </c>
      <c r="D30" s="3">
        <v>0</v>
      </c>
      <c r="E30" s="3">
        <v>1</v>
      </c>
      <c r="F30" s="3">
        <v>4</v>
      </c>
      <c r="G30" s="5" t="b">
        <v>0</v>
      </c>
      <c r="H30" s="3">
        <v>0</v>
      </c>
      <c r="I30" s="3">
        <v>2</v>
      </c>
      <c r="J30" s="7">
        <v>0.46</v>
      </c>
    </row>
    <row r="31" spans="1:10" ht="15" thickBot="1" x14ac:dyDescent="0.35">
      <c r="A31" s="6">
        <v>30</v>
      </c>
      <c r="B31" s="4">
        <v>40545</v>
      </c>
      <c r="C31" s="3">
        <v>1</v>
      </c>
      <c r="D31" s="3">
        <v>0</v>
      </c>
      <c r="E31" s="3">
        <v>1</v>
      </c>
      <c r="F31" s="3">
        <v>6</v>
      </c>
      <c r="G31" s="5" t="b">
        <v>0</v>
      </c>
      <c r="H31" s="3">
        <v>0</v>
      </c>
      <c r="I31" s="3">
        <v>3</v>
      </c>
      <c r="J31" s="7">
        <v>0.42</v>
      </c>
    </row>
    <row r="32" spans="1:10" ht="15" thickBot="1" x14ac:dyDescent="0.35">
      <c r="A32" s="6">
        <v>31</v>
      </c>
      <c r="B32" s="4">
        <v>40545</v>
      </c>
      <c r="C32" s="3">
        <v>1</v>
      </c>
      <c r="D32" s="3">
        <v>0</v>
      </c>
      <c r="E32" s="3">
        <v>1</v>
      </c>
      <c r="F32" s="3">
        <v>7</v>
      </c>
      <c r="G32" s="5" t="b">
        <v>0</v>
      </c>
      <c r="H32" s="3">
        <v>0</v>
      </c>
      <c r="I32" s="3">
        <v>2</v>
      </c>
      <c r="J32" s="7">
        <v>0.4</v>
      </c>
    </row>
    <row r="33" spans="1:10" ht="15" thickBot="1" x14ac:dyDescent="0.35">
      <c r="A33" s="6">
        <v>32</v>
      </c>
      <c r="B33" s="4">
        <v>40545</v>
      </c>
      <c r="C33" s="3">
        <v>1</v>
      </c>
      <c r="D33" s="3">
        <v>0</v>
      </c>
      <c r="E33" s="3">
        <v>1</v>
      </c>
      <c r="F33" s="3">
        <v>8</v>
      </c>
      <c r="G33" s="5" t="b">
        <v>0</v>
      </c>
      <c r="H33" s="3">
        <v>0</v>
      </c>
      <c r="I33" s="3">
        <v>3</v>
      </c>
      <c r="J33" s="7">
        <v>0.4</v>
      </c>
    </row>
    <row r="34" spans="1:10" ht="15" thickBot="1" x14ac:dyDescent="0.35">
      <c r="A34" s="6">
        <v>33</v>
      </c>
      <c r="B34" s="4">
        <v>40545</v>
      </c>
      <c r="C34" s="3">
        <v>1</v>
      </c>
      <c r="D34" s="3">
        <v>0</v>
      </c>
      <c r="E34" s="3">
        <v>1</v>
      </c>
      <c r="F34" s="3">
        <v>9</v>
      </c>
      <c r="G34" s="5" t="b">
        <v>0</v>
      </c>
      <c r="H34" s="3">
        <v>0</v>
      </c>
      <c r="I34" s="3">
        <v>2</v>
      </c>
      <c r="J34" s="7">
        <v>0.38</v>
      </c>
    </row>
    <row r="35" spans="1:10" ht="15" thickBot="1" x14ac:dyDescent="0.35">
      <c r="A35" s="6">
        <v>34</v>
      </c>
      <c r="B35" s="4">
        <v>40545</v>
      </c>
      <c r="C35" s="3">
        <v>1</v>
      </c>
      <c r="D35" s="3">
        <v>0</v>
      </c>
      <c r="E35" s="3">
        <v>1</v>
      </c>
      <c r="F35" s="3">
        <v>10</v>
      </c>
      <c r="G35" s="5" t="b">
        <v>0</v>
      </c>
      <c r="H35" s="3">
        <v>0</v>
      </c>
      <c r="I35" s="3">
        <v>2</v>
      </c>
      <c r="J35" s="7">
        <v>0.36</v>
      </c>
    </row>
    <row r="36" spans="1:10" ht="15" thickBot="1" x14ac:dyDescent="0.35">
      <c r="A36" s="6">
        <v>35</v>
      </c>
      <c r="B36" s="4">
        <v>40545</v>
      </c>
      <c r="C36" s="3">
        <v>1</v>
      </c>
      <c r="D36" s="3">
        <v>0</v>
      </c>
      <c r="E36" s="3">
        <v>1</v>
      </c>
      <c r="F36" s="3">
        <v>11</v>
      </c>
      <c r="G36" s="5" t="b">
        <v>0</v>
      </c>
      <c r="H36" s="3">
        <v>0</v>
      </c>
      <c r="I36" s="3">
        <v>2</v>
      </c>
      <c r="J36" s="7">
        <v>0.36</v>
      </c>
    </row>
    <row r="37" spans="1:10" ht="15" thickBot="1" x14ac:dyDescent="0.35">
      <c r="A37" s="6">
        <v>36</v>
      </c>
      <c r="B37" s="4">
        <v>40545</v>
      </c>
      <c r="C37" s="3">
        <v>1</v>
      </c>
      <c r="D37" s="3">
        <v>0</v>
      </c>
      <c r="E37" s="3">
        <v>1</v>
      </c>
      <c r="F37" s="3">
        <v>12</v>
      </c>
      <c r="G37" s="5" t="b">
        <v>0</v>
      </c>
      <c r="H37" s="3">
        <v>0</v>
      </c>
      <c r="I37" s="3">
        <v>2</v>
      </c>
      <c r="J37" s="7">
        <v>0.36</v>
      </c>
    </row>
    <row r="38" spans="1:10" ht="15" thickBot="1" x14ac:dyDescent="0.35">
      <c r="A38" s="6">
        <v>37</v>
      </c>
      <c r="B38" s="4">
        <v>40545</v>
      </c>
      <c r="C38" s="3">
        <v>1</v>
      </c>
      <c r="D38" s="3">
        <v>0</v>
      </c>
      <c r="E38" s="3">
        <v>1</v>
      </c>
      <c r="F38" s="3">
        <v>13</v>
      </c>
      <c r="G38" s="5" t="b">
        <v>0</v>
      </c>
      <c r="H38" s="3">
        <v>0</v>
      </c>
      <c r="I38" s="3">
        <v>2</v>
      </c>
      <c r="J38" s="7">
        <v>0.36</v>
      </c>
    </row>
    <row r="39" spans="1:10" ht="15" thickBot="1" x14ac:dyDescent="0.35">
      <c r="A39" s="6">
        <v>38</v>
      </c>
      <c r="B39" s="4">
        <v>40545</v>
      </c>
      <c r="C39" s="3">
        <v>1</v>
      </c>
      <c r="D39" s="3">
        <v>0</v>
      </c>
      <c r="E39" s="3">
        <v>1</v>
      </c>
      <c r="F39" s="3">
        <v>14</v>
      </c>
      <c r="G39" s="5" t="b">
        <v>0</v>
      </c>
      <c r="H39" s="3">
        <v>0</v>
      </c>
      <c r="I39" s="3">
        <v>3</v>
      </c>
      <c r="J39" s="7">
        <v>0.36</v>
      </c>
    </row>
    <row r="40" spans="1:10" ht="15" thickBot="1" x14ac:dyDescent="0.35">
      <c r="A40" s="6">
        <v>39</v>
      </c>
      <c r="B40" s="4">
        <v>40545</v>
      </c>
      <c r="C40" s="3">
        <v>1</v>
      </c>
      <c r="D40" s="3">
        <v>0</v>
      </c>
      <c r="E40" s="3">
        <v>1</v>
      </c>
      <c r="F40" s="3">
        <v>15</v>
      </c>
      <c r="G40" s="5" t="b">
        <v>0</v>
      </c>
      <c r="H40" s="3">
        <v>0</v>
      </c>
      <c r="I40" s="3">
        <v>3</v>
      </c>
      <c r="J40" s="7">
        <v>0.34</v>
      </c>
    </row>
    <row r="41" spans="1:10" ht="15" thickBot="1" x14ac:dyDescent="0.35">
      <c r="A41" s="6">
        <v>40</v>
      </c>
      <c r="B41" s="4">
        <v>40545</v>
      </c>
      <c r="C41" s="3">
        <v>1</v>
      </c>
      <c r="D41" s="3">
        <v>0</v>
      </c>
      <c r="E41" s="3">
        <v>1</v>
      </c>
      <c r="F41" s="3">
        <v>16</v>
      </c>
      <c r="G41" s="5" t="b">
        <v>0</v>
      </c>
      <c r="H41" s="3">
        <v>0</v>
      </c>
      <c r="I41" s="3">
        <v>3</v>
      </c>
      <c r="J41" s="7">
        <v>0.34</v>
      </c>
    </row>
    <row r="42" spans="1:10" ht="15" thickBot="1" x14ac:dyDescent="0.35">
      <c r="A42" s="6">
        <v>41</v>
      </c>
      <c r="B42" s="4">
        <v>40545</v>
      </c>
      <c r="C42" s="3">
        <v>1</v>
      </c>
      <c r="D42" s="3">
        <v>0</v>
      </c>
      <c r="E42" s="3">
        <v>1</v>
      </c>
      <c r="F42" s="3">
        <v>17</v>
      </c>
      <c r="G42" s="5" t="b">
        <v>0</v>
      </c>
      <c r="H42" s="3">
        <v>0</v>
      </c>
      <c r="I42" s="3">
        <v>1</v>
      </c>
      <c r="J42" s="7">
        <v>0.34</v>
      </c>
    </row>
    <row r="43" spans="1:10" ht="15" thickBot="1" x14ac:dyDescent="0.35">
      <c r="A43" s="6">
        <v>42</v>
      </c>
      <c r="B43" s="4">
        <v>40545</v>
      </c>
      <c r="C43" s="3">
        <v>1</v>
      </c>
      <c r="D43" s="3">
        <v>0</v>
      </c>
      <c r="E43" s="3">
        <v>1</v>
      </c>
      <c r="F43" s="3">
        <v>18</v>
      </c>
      <c r="G43" s="5" t="b">
        <v>0</v>
      </c>
      <c r="H43" s="3">
        <v>0</v>
      </c>
      <c r="I43" s="3">
        <v>2</v>
      </c>
      <c r="J43" s="7">
        <v>0.36</v>
      </c>
    </row>
    <row r="44" spans="1:10" ht="15" thickBot="1" x14ac:dyDescent="0.35">
      <c r="A44" s="6">
        <v>43</v>
      </c>
      <c r="B44" s="4">
        <v>40545</v>
      </c>
      <c r="C44" s="3">
        <v>1</v>
      </c>
      <c r="D44" s="3">
        <v>0</v>
      </c>
      <c r="E44" s="3">
        <v>1</v>
      </c>
      <c r="F44" s="3">
        <v>19</v>
      </c>
      <c r="G44" s="5" t="b">
        <v>0</v>
      </c>
      <c r="H44" s="3">
        <v>0</v>
      </c>
      <c r="I44" s="3">
        <v>1</v>
      </c>
      <c r="J44" s="7">
        <v>0.32</v>
      </c>
    </row>
    <row r="45" spans="1:10" ht="15" thickBot="1" x14ac:dyDescent="0.35">
      <c r="A45" s="6">
        <v>44</v>
      </c>
      <c r="B45" s="4">
        <v>40545</v>
      </c>
      <c r="C45" s="3">
        <v>1</v>
      </c>
      <c r="D45" s="3">
        <v>0</v>
      </c>
      <c r="E45" s="3">
        <v>1</v>
      </c>
      <c r="F45" s="3">
        <v>20</v>
      </c>
      <c r="G45" s="5" t="b">
        <v>0</v>
      </c>
      <c r="H45" s="3">
        <v>0</v>
      </c>
      <c r="I45" s="3">
        <v>1</v>
      </c>
      <c r="J45" s="7">
        <v>0.3</v>
      </c>
    </row>
    <row r="46" spans="1:10" ht="15" thickBot="1" x14ac:dyDescent="0.35">
      <c r="A46" s="6">
        <v>45</v>
      </c>
      <c r="B46" s="4">
        <v>40545</v>
      </c>
      <c r="C46" s="3">
        <v>1</v>
      </c>
      <c r="D46" s="3">
        <v>0</v>
      </c>
      <c r="E46" s="3">
        <v>1</v>
      </c>
      <c r="F46" s="3">
        <v>21</v>
      </c>
      <c r="G46" s="5" t="b">
        <v>0</v>
      </c>
      <c r="H46" s="3">
        <v>0</v>
      </c>
      <c r="I46" s="3">
        <v>1</v>
      </c>
      <c r="J46" s="7">
        <v>0.26</v>
      </c>
    </row>
    <row r="47" spans="1:10" ht="15" thickBot="1" x14ac:dyDescent="0.35">
      <c r="A47" s="6">
        <v>46</v>
      </c>
      <c r="B47" s="4">
        <v>40545</v>
      </c>
      <c r="C47" s="3">
        <v>1</v>
      </c>
      <c r="D47" s="3">
        <v>0</v>
      </c>
      <c r="E47" s="3">
        <v>1</v>
      </c>
      <c r="F47" s="3">
        <v>22</v>
      </c>
      <c r="G47" s="5" t="b">
        <v>0</v>
      </c>
      <c r="H47" s="3">
        <v>0</v>
      </c>
      <c r="I47" s="3">
        <v>1</v>
      </c>
      <c r="J47" s="7">
        <v>0.24</v>
      </c>
    </row>
    <row r="48" spans="1:10" ht="15" thickBot="1" x14ac:dyDescent="0.35">
      <c r="A48" s="6">
        <v>47</v>
      </c>
      <c r="B48" s="4">
        <v>40545</v>
      </c>
      <c r="C48" s="3">
        <v>1</v>
      </c>
      <c r="D48" s="3">
        <v>0</v>
      </c>
      <c r="E48" s="3">
        <v>1</v>
      </c>
      <c r="F48" s="3">
        <v>23</v>
      </c>
      <c r="G48" s="5" t="b">
        <v>0</v>
      </c>
      <c r="H48" s="3">
        <v>0</v>
      </c>
      <c r="I48" s="3">
        <v>1</v>
      </c>
      <c r="J48" s="7">
        <v>0.22</v>
      </c>
    </row>
    <row r="49" spans="1:10" ht="15" thickBot="1" x14ac:dyDescent="0.35">
      <c r="A49" s="6">
        <v>48</v>
      </c>
      <c r="B49" s="4">
        <v>40546</v>
      </c>
      <c r="C49" s="3">
        <v>1</v>
      </c>
      <c r="D49" s="3">
        <v>0</v>
      </c>
      <c r="E49" s="3">
        <v>1</v>
      </c>
      <c r="F49" s="3">
        <v>0</v>
      </c>
      <c r="G49" s="5" t="b">
        <v>0</v>
      </c>
      <c r="H49" s="3">
        <v>1</v>
      </c>
      <c r="I49" s="3">
        <v>1</v>
      </c>
      <c r="J49" s="7">
        <v>0.22</v>
      </c>
    </row>
    <row r="50" spans="1:10" ht="15" thickBot="1" x14ac:dyDescent="0.35">
      <c r="A50" s="6">
        <v>49</v>
      </c>
      <c r="B50" s="4">
        <v>40546</v>
      </c>
      <c r="C50" s="3">
        <v>1</v>
      </c>
      <c r="D50" s="3">
        <v>0</v>
      </c>
      <c r="E50" s="3">
        <v>1</v>
      </c>
      <c r="F50" s="3">
        <v>1</v>
      </c>
      <c r="G50" s="5" t="b">
        <v>0</v>
      </c>
      <c r="H50" s="3">
        <v>1</v>
      </c>
      <c r="I50" s="3">
        <v>1</v>
      </c>
      <c r="J50" s="7">
        <v>0.2</v>
      </c>
    </row>
    <row r="51" spans="1:10" ht="15" thickBot="1" x14ac:dyDescent="0.35">
      <c r="A51" s="6">
        <v>50</v>
      </c>
      <c r="B51" s="4">
        <v>40546</v>
      </c>
      <c r="C51" s="3">
        <v>1</v>
      </c>
      <c r="D51" s="3">
        <v>0</v>
      </c>
      <c r="E51" s="3">
        <v>1</v>
      </c>
      <c r="F51" s="3">
        <v>4</v>
      </c>
      <c r="G51" s="5" t="b">
        <v>0</v>
      </c>
      <c r="H51" s="3">
        <v>1</v>
      </c>
      <c r="I51" s="3">
        <v>1</v>
      </c>
      <c r="J51" s="7">
        <v>0.16</v>
      </c>
    </row>
    <row r="52" spans="1:10" ht="15" thickBot="1" x14ac:dyDescent="0.35">
      <c r="A52" s="6">
        <v>51</v>
      </c>
      <c r="B52" s="4">
        <v>40546</v>
      </c>
      <c r="C52" s="3">
        <v>1</v>
      </c>
      <c r="D52" s="3">
        <v>0</v>
      </c>
      <c r="E52" s="3">
        <v>1</v>
      </c>
      <c r="F52" s="3">
        <v>5</v>
      </c>
      <c r="G52" s="5" t="b">
        <v>0</v>
      </c>
      <c r="H52" s="3">
        <v>1</v>
      </c>
      <c r="I52" s="3">
        <v>1</v>
      </c>
      <c r="J52" s="7">
        <v>0.16</v>
      </c>
    </row>
    <row r="53" spans="1:10" ht="15" thickBot="1" x14ac:dyDescent="0.35">
      <c r="A53" s="6">
        <v>52</v>
      </c>
      <c r="B53" s="4">
        <v>40546</v>
      </c>
      <c r="C53" s="3">
        <v>1</v>
      </c>
      <c r="D53" s="3">
        <v>0</v>
      </c>
      <c r="E53" s="3">
        <v>1</v>
      </c>
      <c r="F53" s="3">
        <v>6</v>
      </c>
      <c r="G53" s="5" t="b">
        <v>0</v>
      </c>
      <c r="H53" s="3">
        <v>1</v>
      </c>
      <c r="I53" s="3">
        <v>1</v>
      </c>
      <c r="J53" s="7">
        <v>0.14000000000000001</v>
      </c>
    </row>
    <row r="54" spans="1:10" ht="15" thickBot="1" x14ac:dyDescent="0.35">
      <c r="A54" s="6">
        <v>53</v>
      </c>
      <c r="B54" s="4">
        <v>40546</v>
      </c>
      <c r="C54" s="3">
        <v>1</v>
      </c>
      <c r="D54" s="3">
        <v>0</v>
      </c>
      <c r="E54" s="3">
        <v>1</v>
      </c>
      <c r="F54" s="3">
        <v>7</v>
      </c>
      <c r="G54" s="5" t="b">
        <v>0</v>
      </c>
      <c r="H54" s="3">
        <v>1</v>
      </c>
      <c r="I54" s="3">
        <v>1</v>
      </c>
      <c r="J54" s="7">
        <v>0.14000000000000001</v>
      </c>
    </row>
    <row r="55" spans="1:10" ht="15" thickBot="1" x14ac:dyDescent="0.35">
      <c r="A55" s="6">
        <v>54</v>
      </c>
      <c r="B55" s="4">
        <v>40546</v>
      </c>
      <c r="C55" s="3">
        <v>1</v>
      </c>
      <c r="D55" s="3">
        <v>0</v>
      </c>
      <c r="E55" s="3">
        <v>1</v>
      </c>
      <c r="F55" s="3">
        <v>8</v>
      </c>
      <c r="G55" s="5" t="b">
        <v>0</v>
      </c>
      <c r="H55" s="3">
        <v>1</v>
      </c>
      <c r="I55" s="3">
        <v>1</v>
      </c>
      <c r="J55" s="7">
        <v>0.14000000000000001</v>
      </c>
    </row>
    <row r="56" spans="1:10" ht="15" thickBot="1" x14ac:dyDescent="0.35">
      <c r="A56" s="6">
        <v>55</v>
      </c>
      <c r="B56" s="4">
        <v>40546</v>
      </c>
      <c r="C56" s="3">
        <v>1</v>
      </c>
      <c r="D56" s="3">
        <v>0</v>
      </c>
      <c r="E56" s="3">
        <v>1</v>
      </c>
      <c r="F56" s="3">
        <v>9</v>
      </c>
      <c r="G56" s="5" t="b">
        <v>0</v>
      </c>
      <c r="H56" s="3">
        <v>1</v>
      </c>
      <c r="I56" s="3">
        <v>1</v>
      </c>
      <c r="J56" s="7">
        <v>0.16</v>
      </c>
    </row>
    <row r="57" spans="1:10" ht="15" thickBot="1" x14ac:dyDescent="0.35">
      <c r="A57" s="6">
        <v>56</v>
      </c>
      <c r="B57" s="4">
        <v>40546</v>
      </c>
      <c r="C57" s="3">
        <v>1</v>
      </c>
      <c r="D57" s="3">
        <v>0</v>
      </c>
      <c r="E57" s="3">
        <v>1</v>
      </c>
      <c r="F57" s="3">
        <v>10</v>
      </c>
      <c r="G57" s="5" t="b">
        <v>0</v>
      </c>
      <c r="H57" s="3">
        <v>1</v>
      </c>
      <c r="I57" s="3">
        <v>1</v>
      </c>
      <c r="J57" s="7">
        <v>0.18</v>
      </c>
    </row>
    <row r="58" spans="1:10" ht="15" thickBot="1" x14ac:dyDescent="0.35">
      <c r="A58" s="6">
        <v>57</v>
      </c>
      <c r="B58" s="4">
        <v>40546</v>
      </c>
      <c r="C58" s="3">
        <v>1</v>
      </c>
      <c r="D58" s="3">
        <v>0</v>
      </c>
      <c r="E58" s="3">
        <v>1</v>
      </c>
      <c r="F58" s="3">
        <v>11</v>
      </c>
      <c r="G58" s="5" t="b">
        <v>0</v>
      </c>
      <c r="H58" s="3">
        <v>1</v>
      </c>
      <c r="I58" s="3">
        <v>1</v>
      </c>
      <c r="J58" s="7">
        <v>0.2</v>
      </c>
    </row>
    <row r="59" spans="1:10" ht="15" thickBot="1" x14ac:dyDescent="0.35">
      <c r="A59" s="6">
        <v>58</v>
      </c>
      <c r="B59" s="4">
        <v>40546</v>
      </c>
      <c r="C59" s="3">
        <v>1</v>
      </c>
      <c r="D59" s="3">
        <v>0</v>
      </c>
      <c r="E59" s="3">
        <v>1</v>
      </c>
      <c r="F59" s="3">
        <v>12</v>
      </c>
      <c r="G59" s="5" t="b">
        <v>0</v>
      </c>
      <c r="H59" s="3">
        <v>1</v>
      </c>
      <c r="I59" s="3">
        <v>1</v>
      </c>
      <c r="J59" s="7">
        <v>0.22</v>
      </c>
    </row>
    <row r="60" spans="1:10" ht="15" thickBot="1" x14ac:dyDescent="0.35">
      <c r="A60" s="6">
        <v>59</v>
      </c>
      <c r="B60" s="4">
        <v>40546</v>
      </c>
      <c r="C60" s="3">
        <v>1</v>
      </c>
      <c r="D60" s="3">
        <v>0</v>
      </c>
      <c r="E60" s="3">
        <v>1</v>
      </c>
      <c r="F60" s="3">
        <v>13</v>
      </c>
      <c r="G60" s="5" t="b">
        <v>0</v>
      </c>
      <c r="H60" s="3">
        <v>1</v>
      </c>
      <c r="I60" s="3">
        <v>1</v>
      </c>
      <c r="J60" s="7">
        <v>0.24</v>
      </c>
    </row>
    <row r="61" spans="1:10" ht="15" thickBot="1" x14ac:dyDescent="0.35">
      <c r="A61" s="6">
        <v>60</v>
      </c>
      <c r="B61" s="4">
        <v>40546</v>
      </c>
      <c r="C61" s="3">
        <v>1</v>
      </c>
      <c r="D61" s="3">
        <v>0</v>
      </c>
      <c r="E61" s="3">
        <v>1</v>
      </c>
      <c r="F61" s="3">
        <v>14</v>
      </c>
      <c r="G61" s="5" t="b">
        <v>0</v>
      </c>
      <c r="H61" s="3">
        <v>1</v>
      </c>
      <c r="I61" s="3">
        <v>1</v>
      </c>
      <c r="J61" s="7">
        <v>0.26</v>
      </c>
    </row>
    <row r="62" spans="1:10" ht="15" thickBot="1" x14ac:dyDescent="0.35">
      <c r="A62" s="6">
        <v>61</v>
      </c>
      <c r="B62" s="4">
        <v>40546</v>
      </c>
      <c r="C62" s="3">
        <v>1</v>
      </c>
      <c r="D62" s="3">
        <v>0</v>
      </c>
      <c r="E62" s="3">
        <v>1</v>
      </c>
      <c r="F62" s="3">
        <v>15</v>
      </c>
      <c r="G62" s="5" t="b">
        <v>0</v>
      </c>
      <c r="H62" s="3">
        <v>1</v>
      </c>
      <c r="I62" s="3">
        <v>1</v>
      </c>
      <c r="J62" s="7">
        <v>0.26</v>
      </c>
    </row>
    <row r="63" spans="1:10" ht="15" thickBot="1" x14ac:dyDescent="0.35">
      <c r="A63" s="6">
        <v>62</v>
      </c>
      <c r="B63" s="4">
        <v>40546</v>
      </c>
      <c r="C63" s="3">
        <v>1</v>
      </c>
      <c r="D63" s="3">
        <v>0</v>
      </c>
      <c r="E63" s="3">
        <v>1</v>
      </c>
      <c r="F63" s="3">
        <v>16</v>
      </c>
      <c r="G63" s="5" t="b">
        <v>0</v>
      </c>
      <c r="H63" s="3">
        <v>1</v>
      </c>
      <c r="I63" s="3">
        <v>1</v>
      </c>
      <c r="J63" s="7">
        <v>0.26</v>
      </c>
    </row>
    <row r="64" spans="1:10" ht="15" thickBot="1" x14ac:dyDescent="0.35">
      <c r="A64" s="6">
        <v>63</v>
      </c>
      <c r="B64" s="4">
        <v>40546</v>
      </c>
      <c r="C64" s="3">
        <v>1</v>
      </c>
      <c r="D64" s="3">
        <v>0</v>
      </c>
      <c r="E64" s="3">
        <v>1</v>
      </c>
      <c r="F64" s="3">
        <v>17</v>
      </c>
      <c r="G64" s="5" t="b">
        <v>0</v>
      </c>
      <c r="H64" s="3">
        <v>1</v>
      </c>
      <c r="I64" s="3">
        <v>1</v>
      </c>
      <c r="J64" s="7">
        <v>0.24</v>
      </c>
    </row>
    <row r="65" spans="1:10" ht="15" thickBot="1" x14ac:dyDescent="0.35">
      <c r="A65" s="6">
        <v>64</v>
      </c>
      <c r="B65" s="4">
        <v>40546</v>
      </c>
      <c r="C65" s="3">
        <v>1</v>
      </c>
      <c r="D65" s="3">
        <v>0</v>
      </c>
      <c r="E65" s="3">
        <v>1</v>
      </c>
      <c r="F65" s="3">
        <v>18</v>
      </c>
      <c r="G65" s="5" t="b">
        <v>0</v>
      </c>
      <c r="H65" s="3">
        <v>1</v>
      </c>
      <c r="I65" s="3">
        <v>1</v>
      </c>
      <c r="J65" s="7">
        <v>0.24</v>
      </c>
    </row>
    <row r="66" spans="1:10" ht="15" thickBot="1" x14ac:dyDescent="0.35">
      <c r="A66" s="6">
        <v>65</v>
      </c>
      <c r="B66" s="4">
        <v>40546</v>
      </c>
      <c r="C66" s="3">
        <v>1</v>
      </c>
      <c r="D66" s="3">
        <v>0</v>
      </c>
      <c r="E66" s="3">
        <v>1</v>
      </c>
      <c r="F66" s="3">
        <v>19</v>
      </c>
      <c r="G66" s="5" t="b">
        <v>0</v>
      </c>
      <c r="H66" s="3">
        <v>1</v>
      </c>
      <c r="I66" s="3">
        <v>1</v>
      </c>
      <c r="J66" s="7">
        <v>0.2</v>
      </c>
    </row>
    <row r="67" spans="1:10" ht="15" thickBot="1" x14ac:dyDescent="0.35">
      <c r="A67" s="6">
        <v>66</v>
      </c>
      <c r="B67" s="4">
        <v>40546</v>
      </c>
      <c r="C67" s="3">
        <v>1</v>
      </c>
      <c r="D67" s="3">
        <v>0</v>
      </c>
      <c r="E67" s="3">
        <v>1</v>
      </c>
      <c r="F67" s="3">
        <v>20</v>
      </c>
      <c r="G67" s="5" t="b">
        <v>0</v>
      </c>
      <c r="H67" s="3">
        <v>1</v>
      </c>
      <c r="I67" s="3">
        <v>1</v>
      </c>
      <c r="J67" s="7">
        <v>0.2</v>
      </c>
    </row>
    <row r="68" spans="1:10" ht="15" thickBot="1" x14ac:dyDescent="0.35">
      <c r="A68" s="6">
        <v>67</v>
      </c>
      <c r="B68" s="4">
        <v>40546</v>
      </c>
      <c r="C68" s="3">
        <v>1</v>
      </c>
      <c r="D68" s="3">
        <v>0</v>
      </c>
      <c r="E68" s="3">
        <v>1</v>
      </c>
      <c r="F68" s="3">
        <v>21</v>
      </c>
      <c r="G68" s="5" t="b">
        <v>0</v>
      </c>
      <c r="H68" s="3">
        <v>1</v>
      </c>
      <c r="I68" s="3">
        <v>1</v>
      </c>
      <c r="J68" s="7">
        <v>0.18</v>
      </c>
    </row>
    <row r="69" spans="1:10" ht="15" thickBot="1" x14ac:dyDescent="0.35">
      <c r="A69" s="6">
        <v>68</v>
      </c>
      <c r="B69" s="4">
        <v>40546</v>
      </c>
      <c r="C69" s="3">
        <v>1</v>
      </c>
      <c r="D69" s="3">
        <v>0</v>
      </c>
      <c r="E69" s="3">
        <v>1</v>
      </c>
      <c r="F69" s="3">
        <v>22</v>
      </c>
      <c r="G69" s="5" t="b">
        <v>0</v>
      </c>
      <c r="H69" s="3">
        <v>1</v>
      </c>
      <c r="I69" s="3">
        <v>1</v>
      </c>
      <c r="J69" s="7">
        <v>0.14000000000000001</v>
      </c>
    </row>
    <row r="70" spans="1:10" ht="15" thickBot="1" x14ac:dyDescent="0.35">
      <c r="A70" s="6">
        <v>69</v>
      </c>
      <c r="B70" s="4">
        <v>40546</v>
      </c>
      <c r="C70" s="3">
        <v>1</v>
      </c>
      <c r="D70" s="3">
        <v>0</v>
      </c>
      <c r="E70" s="3">
        <v>1</v>
      </c>
      <c r="F70" s="3">
        <v>23</v>
      </c>
      <c r="G70" s="5" t="b">
        <v>0</v>
      </c>
      <c r="H70" s="3">
        <v>1</v>
      </c>
      <c r="I70" s="3">
        <v>1</v>
      </c>
      <c r="J70" s="7">
        <v>0.18</v>
      </c>
    </row>
    <row r="71" spans="1:10" ht="15" thickBot="1" x14ac:dyDescent="0.35">
      <c r="A71" s="6">
        <v>70</v>
      </c>
      <c r="B71" s="4">
        <v>40547</v>
      </c>
      <c r="C71" s="3">
        <v>1</v>
      </c>
      <c r="D71" s="3">
        <v>0</v>
      </c>
      <c r="E71" s="3">
        <v>1</v>
      </c>
      <c r="F71" s="3">
        <v>0</v>
      </c>
      <c r="G71" s="5" t="b">
        <v>0</v>
      </c>
      <c r="H71" s="3">
        <v>2</v>
      </c>
      <c r="I71" s="3">
        <v>1</v>
      </c>
      <c r="J71" s="7">
        <v>0.16</v>
      </c>
    </row>
    <row r="72" spans="1:10" ht="15" thickBot="1" x14ac:dyDescent="0.35">
      <c r="A72" s="6">
        <v>71</v>
      </c>
      <c r="B72" s="4">
        <v>40547</v>
      </c>
      <c r="C72" s="3">
        <v>1</v>
      </c>
      <c r="D72" s="3">
        <v>0</v>
      </c>
      <c r="E72" s="3">
        <v>1</v>
      </c>
      <c r="F72" s="3">
        <v>1</v>
      </c>
      <c r="G72" s="5" t="b">
        <v>0</v>
      </c>
      <c r="H72" s="3">
        <v>2</v>
      </c>
      <c r="I72" s="3">
        <v>1</v>
      </c>
      <c r="J72" s="7">
        <v>0.16</v>
      </c>
    </row>
    <row r="73" spans="1:10" ht="15" thickBot="1" x14ac:dyDescent="0.35">
      <c r="A73" s="6">
        <v>72</v>
      </c>
      <c r="B73" s="4">
        <v>40547</v>
      </c>
      <c r="C73" s="3">
        <v>1</v>
      </c>
      <c r="D73" s="3">
        <v>0</v>
      </c>
      <c r="E73" s="3">
        <v>1</v>
      </c>
      <c r="F73" s="3">
        <v>2</v>
      </c>
      <c r="G73" s="5" t="b">
        <v>0</v>
      </c>
      <c r="H73" s="3">
        <v>2</v>
      </c>
      <c r="I73" s="3">
        <v>1</v>
      </c>
      <c r="J73" s="7">
        <v>0.14000000000000001</v>
      </c>
    </row>
    <row r="74" spans="1:10" ht="15" thickBot="1" x14ac:dyDescent="0.35">
      <c r="A74" s="6">
        <v>73</v>
      </c>
      <c r="B74" s="4">
        <v>40547</v>
      </c>
      <c r="C74" s="3">
        <v>1</v>
      </c>
      <c r="D74" s="3">
        <v>0</v>
      </c>
      <c r="E74" s="3">
        <v>1</v>
      </c>
      <c r="F74" s="3">
        <v>4</v>
      </c>
      <c r="G74" s="5" t="b">
        <v>0</v>
      </c>
      <c r="H74" s="3">
        <v>2</v>
      </c>
      <c r="I74" s="3">
        <v>1</v>
      </c>
      <c r="J74" s="7">
        <v>0.14000000000000001</v>
      </c>
    </row>
    <row r="75" spans="1:10" ht="15" thickBot="1" x14ac:dyDescent="0.35">
      <c r="A75" s="6">
        <v>74</v>
      </c>
      <c r="B75" s="4">
        <v>40547</v>
      </c>
      <c r="C75" s="3">
        <v>1</v>
      </c>
      <c r="D75" s="3">
        <v>0</v>
      </c>
      <c r="E75" s="3">
        <v>1</v>
      </c>
      <c r="F75" s="3">
        <v>5</v>
      </c>
      <c r="G75" s="5" t="b">
        <v>0</v>
      </c>
      <c r="H75" s="3">
        <v>2</v>
      </c>
      <c r="I75" s="3">
        <v>1</v>
      </c>
      <c r="J75" s="7">
        <v>0.12</v>
      </c>
    </row>
    <row r="76" spans="1:10" ht="15" thickBot="1" x14ac:dyDescent="0.35">
      <c r="A76" s="6">
        <v>75</v>
      </c>
      <c r="B76" s="4">
        <v>40547</v>
      </c>
      <c r="C76" s="3">
        <v>1</v>
      </c>
      <c r="D76" s="3">
        <v>0</v>
      </c>
      <c r="E76" s="3">
        <v>1</v>
      </c>
      <c r="F76" s="3">
        <v>6</v>
      </c>
      <c r="G76" s="5" t="b">
        <v>0</v>
      </c>
      <c r="H76" s="3">
        <v>2</v>
      </c>
      <c r="I76" s="3">
        <v>1</v>
      </c>
      <c r="J76" s="7">
        <v>0.12</v>
      </c>
    </row>
    <row r="77" spans="1:10" ht="15" thickBot="1" x14ac:dyDescent="0.35">
      <c r="A77" s="6">
        <v>76</v>
      </c>
      <c r="B77" s="4">
        <v>40547</v>
      </c>
      <c r="C77" s="3">
        <v>1</v>
      </c>
      <c r="D77" s="3">
        <v>0</v>
      </c>
      <c r="E77" s="3">
        <v>1</v>
      </c>
      <c r="F77" s="3">
        <v>7</v>
      </c>
      <c r="G77" s="5" t="b">
        <v>0</v>
      </c>
      <c r="H77" s="3">
        <v>2</v>
      </c>
      <c r="I77" s="3">
        <v>1</v>
      </c>
      <c r="J77" s="7">
        <v>0.12</v>
      </c>
    </row>
    <row r="78" spans="1:10" ht="15" thickBot="1" x14ac:dyDescent="0.35">
      <c r="A78" s="6">
        <v>77</v>
      </c>
      <c r="B78" s="4">
        <v>40547</v>
      </c>
      <c r="C78" s="3">
        <v>1</v>
      </c>
      <c r="D78" s="3">
        <v>0</v>
      </c>
      <c r="E78" s="3">
        <v>1</v>
      </c>
      <c r="F78" s="3">
        <v>8</v>
      </c>
      <c r="G78" s="5" t="b">
        <v>0</v>
      </c>
      <c r="H78" s="3">
        <v>2</v>
      </c>
      <c r="I78" s="3">
        <v>1</v>
      </c>
      <c r="J78" s="7">
        <v>0.14000000000000001</v>
      </c>
    </row>
    <row r="79" spans="1:10" ht="15" thickBot="1" x14ac:dyDescent="0.35">
      <c r="A79" s="6">
        <v>78</v>
      </c>
      <c r="B79" s="4">
        <v>40547</v>
      </c>
      <c r="C79" s="3">
        <v>1</v>
      </c>
      <c r="D79" s="3">
        <v>0</v>
      </c>
      <c r="E79" s="3">
        <v>1</v>
      </c>
      <c r="F79" s="3">
        <v>9</v>
      </c>
      <c r="G79" s="5" t="b">
        <v>0</v>
      </c>
      <c r="H79" s="3">
        <v>2</v>
      </c>
      <c r="I79" s="3">
        <v>1</v>
      </c>
      <c r="J79" s="7">
        <v>0.16</v>
      </c>
    </row>
    <row r="80" spans="1:10" ht="15" thickBot="1" x14ac:dyDescent="0.35">
      <c r="A80" s="6">
        <v>79</v>
      </c>
      <c r="B80" s="4">
        <v>40547</v>
      </c>
      <c r="C80" s="3">
        <v>1</v>
      </c>
      <c r="D80" s="3">
        <v>0</v>
      </c>
      <c r="E80" s="3">
        <v>1</v>
      </c>
      <c r="F80" s="3">
        <v>10</v>
      </c>
      <c r="G80" s="5" t="b">
        <v>0</v>
      </c>
      <c r="H80" s="3">
        <v>2</v>
      </c>
      <c r="I80" s="3">
        <v>2</v>
      </c>
      <c r="J80" s="7">
        <v>0.16</v>
      </c>
    </row>
    <row r="81" spans="1:10" ht="15" thickBot="1" x14ac:dyDescent="0.35">
      <c r="A81" s="6">
        <v>80</v>
      </c>
      <c r="B81" s="4">
        <v>40547</v>
      </c>
      <c r="C81" s="3">
        <v>1</v>
      </c>
      <c r="D81" s="3">
        <v>0</v>
      </c>
      <c r="E81" s="3">
        <v>1</v>
      </c>
      <c r="F81" s="3">
        <v>11</v>
      </c>
      <c r="G81" s="5" t="b">
        <v>0</v>
      </c>
      <c r="H81" s="3">
        <v>2</v>
      </c>
      <c r="I81" s="3">
        <v>1</v>
      </c>
      <c r="J81" s="7">
        <v>0.22</v>
      </c>
    </row>
    <row r="82" spans="1:10" ht="15" thickBot="1" x14ac:dyDescent="0.35">
      <c r="A82" s="6">
        <v>81</v>
      </c>
      <c r="B82" s="4">
        <v>40547</v>
      </c>
      <c r="C82" s="3">
        <v>1</v>
      </c>
      <c r="D82" s="3">
        <v>0</v>
      </c>
      <c r="E82" s="3">
        <v>1</v>
      </c>
      <c r="F82" s="3">
        <v>12</v>
      </c>
      <c r="G82" s="5" t="b">
        <v>0</v>
      </c>
      <c r="H82" s="3">
        <v>2</v>
      </c>
      <c r="I82" s="3">
        <v>1</v>
      </c>
      <c r="J82" s="7">
        <v>0.22</v>
      </c>
    </row>
    <row r="83" spans="1:10" ht="15" thickBot="1" x14ac:dyDescent="0.35">
      <c r="A83" s="6">
        <v>82</v>
      </c>
      <c r="B83" s="4">
        <v>40547</v>
      </c>
      <c r="C83" s="3">
        <v>1</v>
      </c>
      <c r="D83" s="3">
        <v>0</v>
      </c>
      <c r="E83" s="3">
        <v>1</v>
      </c>
      <c r="F83" s="3">
        <v>13</v>
      </c>
      <c r="G83" s="5" t="b">
        <v>0</v>
      </c>
      <c r="H83" s="3">
        <v>2</v>
      </c>
      <c r="I83" s="3">
        <v>1</v>
      </c>
      <c r="J83" s="7">
        <v>0.24</v>
      </c>
    </row>
    <row r="84" spans="1:10" ht="15" thickBot="1" x14ac:dyDescent="0.35">
      <c r="A84" s="6">
        <v>83</v>
      </c>
      <c r="B84" s="4">
        <v>40547</v>
      </c>
      <c r="C84" s="3">
        <v>1</v>
      </c>
      <c r="D84" s="3">
        <v>0</v>
      </c>
      <c r="E84" s="3">
        <v>1</v>
      </c>
      <c r="F84" s="3">
        <v>14</v>
      </c>
      <c r="G84" s="5" t="b">
        <v>0</v>
      </c>
      <c r="H84" s="3">
        <v>2</v>
      </c>
      <c r="I84" s="3">
        <v>1</v>
      </c>
      <c r="J84" s="7">
        <v>0.26</v>
      </c>
    </row>
    <row r="85" spans="1:10" ht="15" thickBot="1" x14ac:dyDescent="0.35">
      <c r="A85" s="6">
        <v>84</v>
      </c>
      <c r="B85" s="4">
        <v>40547</v>
      </c>
      <c r="C85" s="3">
        <v>1</v>
      </c>
      <c r="D85" s="3">
        <v>0</v>
      </c>
      <c r="E85" s="3">
        <v>1</v>
      </c>
      <c r="F85" s="3">
        <v>15</v>
      </c>
      <c r="G85" s="5" t="b">
        <v>0</v>
      </c>
      <c r="H85" s="3">
        <v>2</v>
      </c>
      <c r="I85" s="3">
        <v>1</v>
      </c>
      <c r="J85" s="7">
        <v>0.28000000000000003</v>
      </c>
    </row>
    <row r="86" spans="1:10" ht="15" thickBot="1" x14ac:dyDescent="0.35">
      <c r="A86" s="6">
        <v>85</v>
      </c>
      <c r="B86" s="4">
        <v>40547</v>
      </c>
      <c r="C86" s="3">
        <v>1</v>
      </c>
      <c r="D86" s="3">
        <v>0</v>
      </c>
      <c r="E86" s="3">
        <v>1</v>
      </c>
      <c r="F86" s="3">
        <v>16</v>
      </c>
      <c r="G86" s="5" t="b">
        <v>0</v>
      </c>
      <c r="H86" s="3">
        <v>2</v>
      </c>
      <c r="I86" s="3">
        <v>1</v>
      </c>
      <c r="J86" s="7">
        <v>0.3</v>
      </c>
    </row>
    <row r="87" spans="1:10" ht="15" thickBot="1" x14ac:dyDescent="0.35">
      <c r="A87" s="6">
        <v>86</v>
      </c>
      <c r="B87" s="4">
        <v>40547</v>
      </c>
      <c r="C87" s="3">
        <v>1</v>
      </c>
      <c r="D87" s="3">
        <v>0</v>
      </c>
      <c r="E87" s="3">
        <v>1</v>
      </c>
      <c r="F87" s="3">
        <v>17</v>
      </c>
      <c r="G87" s="5" t="b">
        <v>0</v>
      </c>
      <c r="H87" s="3">
        <v>2</v>
      </c>
      <c r="I87" s="3">
        <v>1</v>
      </c>
      <c r="J87" s="7">
        <v>0.28000000000000003</v>
      </c>
    </row>
    <row r="88" spans="1:10" ht="15" thickBot="1" x14ac:dyDescent="0.35">
      <c r="A88" s="6">
        <v>87</v>
      </c>
      <c r="B88" s="4">
        <v>40547</v>
      </c>
      <c r="C88" s="3">
        <v>1</v>
      </c>
      <c r="D88" s="3">
        <v>0</v>
      </c>
      <c r="E88" s="3">
        <v>1</v>
      </c>
      <c r="F88" s="3">
        <v>18</v>
      </c>
      <c r="G88" s="5" t="b">
        <v>0</v>
      </c>
      <c r="H88" s="3">
        <v>2</v>
      </c>
      <c r="I88" s="3">
        <v>1</v>
      </c>
      <c r="J88" s="7">
        <v>0.26</v>
      </c>
    </row>
    <row r="89" spans="1:10" ht="15" thickBot="1" x14ac:dyDescent="0.35">
      <c r="A89" s="6">
        <v>88</v>
      </c>
      <c r="B89" s="4">
        <v>40547</v>
      </c>
      <c r="C89" s="3">
        <v>1</v>
      </c>
      <c r="D89" s="3">
        <v>0</v>
      </c>
      <c r="E89" s="3">
        <v>1</v>
      </c>
      <c r="F89" s="3">
        <v>19</v>
      </c>
      <c r="G89" s="5" t="b">
        <v>0</v>
      </c>
      <c r="H89" s="3">
        <v>2</v>
      </c>
      <c r="I89" s="3">
        <v>1</v>
      </c>
      <c r="J89" s="7">
        <v>0.24</v>
      </c>
    </row>
    <row r="90" spans="1:10" ht="15" thickBot="1" x14ac:dyDescent="0.35">
      <c r="A90" s="6">
        <v>89</v>
      </c>
      <c r="B90" s="4">
        <v>40547</v>
      </c>
      <c r="C90" s="3">
        <v>1</v>
      </c>
      <c r="D90" s="3">
        <v>0</v>
      </c>
      <c r="E90" s="3">
        <v>1</v>
      </c>
      <c r="F90" s="3">
        <v>20</v>
      </c>
      <c r="G90" s="5" t="b">
        <v>0</v>
      </c>
      <c r="H90" s="3">
        <v>2</v>
      </c>
      <c r="I90" s="3">
        <v>1</v>
      </c>
      <c r="J90" s="7">
        <v>0.24</v>
      </c>
    </row>
    <row r="91" spans="1:10" ht="15" thickBot="1" x14ac:dyDescent="0.35">
      <c r="A91" s="6">
        <v>90</v>
      </c>
      <c r="B91" s="4">
        <v>40547</v>
      </c>
      <c r="C91" s="3">
        <v>1</v>
      </c>
      <c r="D91" s="3">
        <v>0</v>
      </c>
      <c r="E91" s="3">
        <v>1</v>
      </c>
      <c r="F91" s="3">
        <v>21</v>
      </c>
      <c r="G91" s="5" t="b">
        <v>0</v>
      </c>
      <c r="H91" s="3">
        <v>2</v>
      </c>
      <c r="I91" s="3">
        <v>1</v>
      </c>
      <c r="J91" s="7">
        <v>0.22</v>
      </c>
    </row>
    <row r="92" spans="1:10" ht="15" thickBot="1" x14ac:dyDescent="0.35">
      <c r="A92" s="6">
        <v>91</v>
      </c>
      <c r="B92" s="4">
        <v>40547</v>
      </c>
      <c r="C92" s="3">
        <v>1</v>
      </c>
      <c r="D92" s="3">
        <v>0</v>
      </c>
      <c r="E92" s="3">
        <v>1</v>
      </c>
      <c r="F92" s="3">
        <v>22</v>
      </c>
      <c r="G92" s="5" t="b">
        <v>0</v>
      </c>
      <c r="H92" s="3">
        <v>2</v>
      </c>
      <c r="I92" s="3">
        <v>1</v>
      </c>
      <c r="J92" s="7">
        <v>0.22</v>
      </c>
    </row>
    <row r="93" spans="1:10" ht="15" thickBot="1" x14ac:dyDescent="0.35">
      <c r="A93" s="6">
        <v>92</v>
      </c>
      <c r="B93" s="4">
        <v>40547</v>
      </c>
      <c r="C93" s="3">
        <v>1</v>
      </c>
      <c r="D93" s="3">
        <v>0</v>
      </c>
      <c r="E93" s="3">
        <v>1</v>
      </c>
      <c r="F93" s="3">
        <v>23</v>
      </c>
      <c r="G93" s="5" t="b">
        <v>0</v>
      </c>
      <c r="H93" s="3">
        <v>2</v>
      </c>
      <c r="I93" s="3">
        <v>1</v>
      </c>
      <c r="J93" s="7">
        <v>0.2</v>
      </c>
    </row>
    <row r="94" spans="1:10" ht="15" thickBot="1" x14ac:dyDescent="0.35">
      <c r="A94" s="6">
        <v>93</v>
      </c>
      <c r="B94" s="4">
        <v>40548</v>
      </c>
      <c r="C94" s="3">
        <v>1</v>
      </c>
      <c r="D94" s="3">
        <v>0</v>
      </c>
      <c r="E94" s="3">
        <v>1</v>
      </c>
      <c r="F94" s="3">
        <v>0</v>
      </c>
      <c r="G94" s="5" t="b">
        <v>0</v>
      </c>
      <c r="H94" s="3">
        <v>3</v>
      </c>
      <c r="I94" s="3">
        <v>1</v>
      </c>
      <c r="J94" s="7">
        <v>0.2</v>
      </c>
    </row>
    <row r="95" spans="1:10" ht="15" thickBot="1" x14ac:dyDescent="0.35">
      <c r="A95" s="6">
        <v>94</v>
      </c>
      <c r="B95" s="4">
        <v>40548</v>
      </c>
      <c r="C95" s="3">
        <v>1</v>
      </c>
      <c r="D95" s="3">
        <v>0</v>
      </c>
      <c r="E95" s="3">
        <v>1</v>
      </c>
      <c r="F95" s="3">
        <v>1</v>
      </c>
      <c r="G95" s="5" t="b">
        <v>0</v>
      </c>
      <c r="H95" s="3">
        <v>3</v>
      </c>
      <c r="I95" s="3">
        <v>1</v>
      </c>
      <c r="J95" s="7">
        <v>0.16</v>
      </c>
    </row>
    <row r="96" spans="1:10" ht="15" thickBot="1" x14ac:dyDescent="0.35">
      <c r="A96" s="6">
        <v>95</v>
      </c>
      <c r="B96" s="4">
        <v>40548</v>
      </c>
      <c r="C96" s="3">
        <v>1</v>
      </c>
      <c r="D96" s="3">
        <v>0</v>
      </c>
      <c r="E96" s="3">
        <v>1</v>
      </c>
      <c r="F96" s="3">
        <v>2</v>
      </c>
      <c r="G96" s="5" t="b">
        <v>0</v>
      </c>
      <c r="H96" s="3">
        <v>3</v>
      </c>
      <c r="I96" s="3">
        <v>1</v>
      </c>
      <c r="J96" s="7">
        <v>0.16</v>
      </c>
    </row>
    <row r="97" spans="1:10" ht="15" thickBot="1" x14ac:dyDescent="0.35">
      <c r="A97" s="6">
        <v>96</v>
      </c>
      <c r="B97" s="4">
        <v>40548</v>
      </c>
      <c r="C97" s="3">
        <v>1</v>
      </c>
      <c r="D97" s="3">
        <v>0</v>
      </c>
      <c r="E97" s="3">
        <v>1</v>
      </c>
      <c r="F97" s="3">
        <v>4</v>
      </c>
      <c r="G97" s="5" t="b">
        <v>0</v>
      </c>
      <c r="H97" s="3">
        <v>3</v>
      </c>
      <c r="I97" s="3">
        <v>1</v>
      </c>
      <c r="J97" s="7">
        <v>0.24</v>
      </c>
    </row>
    <row r="98" spans="1:10" ht="15" thickBot="1" x14ac:dyDescent="0.35">
      <c r="A98" s="6">
        <v>97</v>
      </c>
      <c r="B98" s="4">
        <v>40548</v>
      </c>
      <c r="C98" s="3">
        <v>1</v>
      </c>
      <c r="D98" s="3">
        <v>0</v>
      </c>
      <c r="E98" s="3">
        <v>1</v>
      </c>
      <c r="F98" s="3">
        <v>5</v>
      </c>
      <c r="G98" s="5" t="b">
        <v>0</v>
      </c>
      <c r="H98" s="3">
        <v>3</v>
      </c>
      <c r="I98" s="3">
        <v>1</v>
      </c>
      <c r="J98" s="7">
        <v>0.22</v>
      </c>
    </row>
    <row r="99" spans="1:10" ht="15" thickBot="1" x14ac:dyDescent="0.35">
      <c r="A99" s="6">
        <v>98</v>
      </c>
      <c r="B99" s="4">
        <v>40548</v>
      </c>
      <c r="C99" s="3">
        <v>1</v>
      </c>
      <c r="D99" s="3">
        <v>0</v>
      </c>
      <c r="E99" s="3">
        <v>1</v>
      </c>
      <c r="F99" s="3">
        <v>6</v>
      </c>
      <c r="G99" s="5" t="b">
        <v>0</v>
      </c>
      <c r="H99" s="3">
        <v>3</v>
      </c>
      <c r="I99" s="3">
        <v>1</v>
      </c>
      <c r="J99" s="7">
        <v>0.2</v>
      </c>
    </row>
    <row r="100" spans="1:10" ht="15" thickBot="1" x14ac:dyDescent="0.35">
      <c r="A100" s="6">
        <v>99</v>
      </c>
      <c r="B100" s="4">
        <v>40548</v>
      </c>
      <c r="C100" s="3">
        <v>1</v>
      </c>
      <c r="D100" s="3">
        <v>0</v>
      </c>
      <c r="E100" s="3">
        <v>1</v>
      </c>
      <c r="F100" s="3">
        <v>7</v>
      </c>
      <c r="G100" s="5" t="b">
        <v>0</v>
      </c>
      <c r="H100" s="3">
        <v>3</v>
      </c>
      <c r="I100" s="3">
        <v>1</v>
      </c>
      <c r="J100" s="7">
        <v>0.18</v>
      </c>
    </row>
    <row r="101" spans="1:10" ht="15" thickBot="1" x14ac:dyDescent="0.35">
      <c r="A101" s="6">
        <v>100</v>
      </c>
      <c r="B101" s="4">
        <v>40548</v>
      </c>
      <c r="C101" s="3">
        <v>1</v>
      </c>
      <c r="D101" s="3">
        <v>0</v>
      </c>
      <c r="E101" s="3">
        <v>1</v>
      </c>
      <c r="F101" s="3">
        <v>8</v>
      </c>
      <c r="G101" s="5" t="b">
        <v>0</v>
      </c>
      <c r="H101" s="3">
        <v>3</v>
      </c>
      <c r="I101" s="3">
        <v>1</v>
      </c>
      <c r="J101" s="7">
        <v>0.2</v>
      </c>
    </row>
    <row r="102" spans="1:10" ht="15" thickBot="1" x14ac:dyDescent="0.35">
      <c r="A102" s="6">
        <v>101</v>
      </c>
      <c r="B102" s="4">
        <v>40548</v>
      </c>
      <c r="C102" s="3">
        <v>1</v>
      </c>
      <c r="D102" s="3">
        <v>0</v>
      </c>
      <c r="E102" s="3">
        <v>1</v>
      </c>
      <c r="F102" s="3">
        <v>9</v>
      </c>
      <c r="G102" s="5" t="b">
        <v>0</v>
      </c>
      <c r="H102" s="3">
        <v>3</v>
      </c>
      <c r="I102" s="3">
        <v>1</v>
      </c>
      <c r="J102" s="7">
        <v>0.22</v>
      </c>
    </row>
    <row r="103" spans="1:10" ht="15" thickBot="1" x14ac:dyDescent="0.35">
      <c r="A103" s="6">
        <v>102</v>
      </c>
      <c r="B103" s="4">
        <v>40548</v>
      </c>
      <c r="C103" s="3">
        <v>1</v>
      </c>
      <c r="D103" s="3">
        <v>0</v>
      </c>
      <c r="E103" s="3">
        <v>1</v>
      </c>
      <c r="F103" s="3">
        <v>10</v>
      </c>
      <c r="G103" s="5" t="b">
        <v>0</v>
      </c>
      <c r="H103" s="3">
        <v>3</v>
      </c>
      <c r="I103" s="3">
        <v>1</v>
      </c>
      <c r="J103" s="7">
        <v>0.22</v>
      </c>
    </row>
    <row r="104" spans="1:10" ht="15" thickBot="1" x14ac:dyDescent="0.35">
      <c r="A104" s="6">
        <v>103</v>
      </c>
      <c r="B104" s="4">
        <v>40548</v>
      </c>
      <c r="C104" s="3">
        <v>1</v>
      </c>
      <c r="D104" s="3">
        <v>0</v>
      </c>
      <c r="E104" s="3">
        <v>1</v>
      </c>
      <c r="F104" s="3">
        <v>11</v>
      </c>
      <c r="G104" s="5" t="b">
        <v>0</v>
      </c>
      <c r="H104" s="3">
        <v>3</v>
      </c>
      <c r="I104" s="3">
        <v>1</v>
      </c>
      <c r="J104" s="7">
        <v>0.26</v>
      </c>
    </row>
    <row r="105" spans="1:10" ht="15" thickBot="1" x14ac:dyDescent="0.35">
      <c r="A105" s="6">
        <v>104</v>
      </c>
      <c r="B105" s="4">
        <v>40548</v>
      </c>
      <c r="C105" s="3">
        <v>1</v>
      </c>
      <c r="D105" s="3">
        <v>0</v>
      </c>
      <c r="E105" s="3">
        <v>1</v>
      </c>
      <c r="F105" s="3">
        <v>12</v>
      </c>
      <c r="G105" s="5" t="b">
        <v>0</v>
      </c>
      <c r="H105" s="3">
        <v>3</v>
      </c>
      <c r="I105" s="3">
        <v>1</v>
      </c>
      <c r="J105" s="7">
        <v>0.26</v>
      </c>
    </row>
    <row r="106" spans="1:10" ht="15" thickBot="1" x14ac:dyDescent="0.35">
      <c r="A106" s="6">
        <v>105</v>
      </c>
      <c r="B106" s="4">
        <v>40548</v>
      </c>
      <c r="C106" s="3">
        <v>1</v>
      </c>
      <c r="D106" s="3">
        <v>0</v>
      </c>
      <c r="E106" s="3">
        <v>1</v>
      </c>
      <c r="F106" s="3">
        <v>13</v>
      </c>
      <c r="G106" s="5" t="b">
        <v>0</v>
      </c>
      <c r="H106" s="3">
        <v>3</v>
      </c>
      <c r="I106" s="3">
        <v>1</v>
      </c>
      <c r="J106" s="7">
        <v>0.28000000000000003</v>
      </c>
    </row>
    <row r="107" spans="1:10" ht="15" thickBot="1" x14ac:dyDescent="0.35">
      <c r="A107" s="6">
        <v>106</v>
      </c>
      <c r="B107" s="4">
        <v>40548</v>
      </c>
      <c r="C107" s="3">
        <v>1</v>
      </c>
      <c r="D107" s="3">
        <v>0</v>
      </c>
      <c r="E107" s="3">
        <v>1</v>
      </c>
      <c r="F107" s="3">
        <v>14</v>
      </c>
      <c r="G107" s="5" t="b">
        <v>0</v>
      </c>
      <c r="H107" s="3">
        <v>3</v>
      </c>
      <c r="I107" s="3">
        <v>1</v>
      </c>
      <c r="J107" s="7">
        <v>0.3</v>
      </c>
    </row>
    <row r="108" spans="1:10" ht="15" thickBot="1" x14ac:dyDescent="0.35">
      <c r="A108" s="6">
        <v>107</v>
      </c>
      <c r="B108" s="4">
        <v>40548</v>
      </c>
      <c r="C108" s="3">
        <v>1</v>
      </c>
      <c r="D108" s="3">
        <v>0</v>
      </c>
      <c r="E108" s="3">
        <v>1</v>
      </c>
      <c r="F108" s="3">
        <v>15</v>
      </c>
      <c r="G108" s="5" t="b">
        <v>0</v>
      </c>
      <c r="H108" s="3">
        <v>3</v>
      </c>
      <c r="I108" s="3">
        <v>1</v>
      </c>
      <c r="J108" s="7">
        <v>0.3</v>
      </c>
    </row>
    <row r="109" spans="1:10" ht="15" thickBot="1" x14ac:dyDescent="0.35">
      <c r="A109" s="6">
        <v>108</v>
      </c>
      <c r="B109" s="4">
        <v>40548</v>
      </c>
      <c r="C109" s="3">
        <v>1</v>
      </c>
      <c r="D109" s="3">
        <v>0</v>
      </c>
      <c r="E109" s="3">
        <v>1</v>
      </c>
      <c r="F109" s="3">
        <v>16</v>
      </c>
      <c r="G109" s="5" t="b">
        <v>0</v>
      </c>
      <c r="H109" s="3">
        <v>3</v>
      </c>
      <c r="I109" s="3">
        <v>1</v>
      </c>
      <c r="J109" s="7">
        <v>0.3</v>
      </c>
    </row>
    <row r="110" spans="1:10" ht="15" thickBot="1" x14ac:dyDescent="0.35">
      <c r="A110" s="6">
        <v>109</v>
      </c>
      <c r="B110" s="4">
        <v>40548</v>
      </c>
      <c r="C110" s="3">
        <v>1</v>
      </c>
      <c r="D110" s="3">
        <v>0</v>
      </c>
      <c r="E110" s="3">
        <v>1</v>
      </c>
      <c r="F110" s="3">
        <v>17</v>
      </c>
      <c r="G110" s="5" t="b">
        <v>0</v>
      </c>
      <c r="H110" s="3">
        <v>3</v>
      </c>
      <c r="I110" s="3">
        <v>1</v>
      </c>
      <c r="J110" s="7">
        <v>0.24</v>
      </c>
    </row>
    <row r="111" spans="1:10" ht="15" thickBot="1" x14ac:dyDescent="0.35">
      <c r="A111" s="6">
        <v>110</v>
      </c>
      <c r="B111" s="4">
        <v>40548</v>
      </c>
      <c r="C111" s="3">
        <v>1</v>
      </c>
      <c r="D111" s="3">
        <v>0</v>
      </c>
      <c r="E111" s="3">
        <v>1</v>
      </c>
      <c r="F111" s="3">
        <v>18</v>
      </c>
      <c r="G111" s="5" t="b">
        <v>0</v>
      </c>
      <c r="H111" s="3">
        <v>3</v>
      </c>
      <c r="I111" s="3">
        <v>1</v>
      </c>
      <c r="J111" s="7">
        <v>0.24</v>
      </c>
    </row>
    <row r="112" spans="1:10" ht="15" thickBot="1" x14ac:dyDescent="0.35">
      <c r="A112" s="6">
        <v>111</v>
      </c>
      <c r="B112" s="4">
        <v>40548</v>
      </c>
      <c r="C112" s="3">
        <v>1</v>
      </c>
      <c r="D112" s="3">
        <v>0</v>
      </c>
      <c r="E112" s="3">
        <v>1</v>
      </c>
      <c r="F112" s="3">
        <v>19</v>
      </c>
      <c r="G112" s="5" t="b">
        <v>0</v>
      </c>
      <c r="H112" s="3">
        <v>3</v>
      </c>
      <c r="I112" s="3">
        <v>1</v>
      </c>
      <c r="J112" s="7">
        <v>0.24</v>
      </c>
    </row>
    <row r="113" spans="1:10" ht="15" thickBot="1" x14ac:dyDescent="0.35">
      <c r="A113" s="6">
        <v>112</v>
      </c>
      <c r="B113" s="4">
        <v>40548</v>
      </c>
      <c r="C113" s="3">
        <v>1</v>
      </c>
      <c r="D113" s="3">
        <v>0</v>
      </c>
      <c r="E113" s="3">
        <v>1</v>
      </c>
      <c r="F113" s="3">
        <v>20</v>
      </c>
      <c r="G113" s="5" t="b">
        <v>0</v>
      </c>
      <c r="H113" s="3">
        <v>3</v>
      </c>
      <c r="I113" s="3">
        <v>1</v>
      </c>
      <c r="J113" s="7">
        <v>0.22</v>
      </c>
    </row>
    <row r="114" spans="1:10" ht="15" thickBot="1" x14ac:dyDescent="0.35">
      <c r="A114" s="6">
        <v>113</v>
      </c>
      <c r="B114" s="4">
        <v>40548</v>
      </c>
      <c r="C114" s="3">
        <v>1</v>
      </c>
      <c r="D114" s="3">
        <v>0</v>
      </c>
      <c r="E114" s="3">
        <v>1</v>
      </c>
      <c r="F114" s="3">
        <v>21</v>
      </c>
      <c r="G114" s="5" t="b">
        <v>0</v>
      </c>
      <c r="H114" s="3">
        <v>3</v>
      </c>
      <c r="I114" s="3">
        <v>1</v>
      </c>
      <c r="J114" s="7">
        <v>0.2</v>
      </c>
    </row>
    <row r="115" spans="1:10" ht="15" thickBot="1" x14ac:dyDescent="0.35">
      <c r="A115" s="6">
        <v>114</v>
      </c>
      <c r="B115" s="4">
        <v>40548</v>
      </c>
      <c r="C115" s="3">
        <v>1</v>
      </c>
      <c r="D115" s="3">
        <v>0</v>
      </c>
      <c r="E115" s="3">
        <v>1</v>
      </c>
      <c r="F115" s="3">
        <v>22</v>
      </c>
      <c r="G115" s="5" t="b">
        <v>0</v>
      </c>
      <c r="H115" s="3">
        <v>3</v>
      </c>
      <c r="I115" s="3">
        <v>1</v>
      </c>
      <c r="J115" s="7">
        <v>0.18</v>
      </c>
    </row>
    <row r="116" spans="1:10" ht="15" thickBot="1" x14ac:dyDescent="0.35">
      <c r="A116" s="6">
        <v>115</v>
      </c>
      <c r="B116" s="4">
        <v>40548</v>
      </c>
      <c r="C116" s="3">
        <v>1</v>
      </c>
      <c r="D116" s="3">
        <v>0</v>
      </c>
      <c r="E116" s="3">
        <v>1</v>
      </c>
      <c r="F116" s="3">
        <v>23</v>
      </c>
      <c r="G116" s="5" t="b">
        <v>0</v>
      </c>
      <c r="H116" s="3">
        <v>3</v>
      </c>
      <c r="I116" s="3">
        <v>1</v>
      </c>
      <c r="J116" s="7">
        <v>0.2</v>
      </c>
    </row>
    <row r="117" spans="1:10" ht="15" thickBot="1" x14ac:dyDescent="0.35">
      <c r="A117" s="6">
        <v>116</v>
      </c>
      <c r="B117" s="4">
        <v>40549</v>
      </c>
      <c r="C117" s="3">
        <v>1</v>
      </c>
      <c r="D117" s="3">
        <v>0</v>
      </c>
      <c r="E117" s="3">
        <v>1</v>
      </c>
      <c r="F117" s="3">
        <v>0</v>
      </c>
      <c r="G117" s="5" t="b">
        <v>0</v>
      </c>
      <c r="H117" s="3">
        <v>4</v>
      </c>
      <c r="I117" s="3">
        <v>1</v>
      </c>
      <c r="J117" s="7">
        <v>0.18</v>
      </c>
    </row>
    <row r="118" spans="1:10" ht="15" thickBot="1" x14ac:dyDescent="0.35">
      <c r="A118" s="6">
        <v>117</v>
      </c>
      <c r="B118" s="4">
        <v>40549</v>
      </c>
      <c r="C118" s="3">
        <v>1</v>
      </c>
      <c r="D118" s="3">
        <v>0</v>
      </c>
      <c r="E118" s="3">
        <v>1</v>
      </c>
      <c r="F118" s="3">
        <v>1</v>
      </c>
      <c r="G118" s="5" t="b">
        <v>0</v>
      </c>
      <c r="H118" s="3">
        <v>4</v>
      </c>
      <c r="I118" s="3">
        <v>1</v>
      </c>
      <c r="J118" s="7">
        <v>0.16</v>
      </c>
    </row>
    <row r="119" spans="1:10" ht="15" thickBot="1" x14ac:dyDescent="0.35">
      <c r="A119" s="6">
        <v>118</v>
      </c>
      <c r="B119" s="4">
        <v>40549</v>
      </c>
      <c r="C119" s="3">
        <v>1</v>
      </c>
      <c r="D119" s="3">
        <v>0</v>
      </c>
      <c r="E119" s="3">
        <v>1</v>
      </c>
      <c r="F119" s="3">
        <v>2</v>
      </c>
      <c r="G119" s="5" t="b">
        <v>0</v>
      </c>
      <c r="H119" s="3">
        <v>4</v>
      </c>
      <c r="I119" s="3">
        <v>1</v>
      </c>
      <c r="J119" s="7">
        <v>0.16</v>
      </c>
    </row>
    <row r="120" spans="1:10" ht="15" thickBot="1" x14ac:dyDescent="0.35">
      <c r="A120" s="6">
        <v>119</v>
      </c>
      <c r="B120" s="4">
        <v>40549</v>
      </c>
      <c r="C120" s="3">
        <v>1</v>
      </c>
      <c r="D120" s="3">
        <v>0</v>
      </c>
      <c r="E120" s="3">
        <v>1</v>
      </c>
      <c r="F120" s="3">
        <v>4</v>
      </c>
      <c r="G120" s="5" t="b">
        <v>0</v>
      </c>
      <c r="H120" s="3">
        <v>4</v>
      </c>
      <c r="I120" s="3">
        <v>2</v>
      </c>
      <c r="J120" s="7">
        <v>0.16</v>
      </c>
    </row>
    <row r="121" spans="1:10" ht="15" thickBot="1" x14ac:dyDescent="0.35">
      <c r="A121" s="6">
        <v>120</v>
      </c>
      <c r="B121" s="4">
        <v>40549</v>
      </c>
      <c r="C121" s="3">
        <v>1</v>
      </c>
      <c r="D121" s="3">
        <v>0</v>
      </c>
      <c r="E121" s="3">
        <v>1</v>
      </c>
      <c r="F121" s="3">
        <v>5</v>
      </c>
      <c r="G121" s="5" t="b">
        <v>0</v>
      </c>
      <c r="H121" s="3">
        <v>4</v>
      </c>
      <c r="I121" s="3">
        <v>2</v>
      </c>
      <c r="J121" s="7">
        <v>0.14000000000000001</v>
      </c>
    </row>
    <row r="122" spans="1:10" ht="15" thickBot="1" x14ac:dyDescent="0.35">
      <c r="A122" s="6">
        <v>121</v>
      </c>
      <c r="B122" s="4">
        <v>40549</v>
      </c>
      <c r="C122" s="3">
        <v>1</v>
      </c>
      <c r="D122" s="3">
        <v>0</v>
      </c>
      <c r="E122" s="3">
        <v>1</v>
      </c>
      <c r="F122" s="3">
        <v>6</v>
      </c>
      <c r="G122" s="5" t="b">
        <v>0</v>
      </c>
      <c r="H122" s="3">
        <v>4</v>
      </c>
      <c r="I122" s="3">
        <v>2</v>
      </c>
      <c r="J122" s="7">
        <v>0.14000000000000001</v>
      </c>
    </row>
    <row r="123" spans="1:10" ht="15" thickBot="1" x14ac:dyDescent="0.35">
      <c r="A123" s="6">
        <v>122</v>
      </c>
      <c r="B123" s="4">
        <v>40549</v>
      </c>
      <c r="C123" s="3">
        <v>1</v>
      </c>
      <c r="D123" s="3">
        <v>0</v>
      </c>
      <c r="E123" s="3">
        <v>1</v>
      </c>
      <c r="F123" s="3">
        <v>7</v>
      </c>
      <c r="G123" s="5" t="b">
        <v>0</v>
      </c>
      <c r="H123" s="3">
        <v>4</v>
      </c>
      <c r="I123" s="3">
        <v>2</v>
      </c>
      <c r="J123" s="7">
        <v>0.16</v>
      </c>
    </row>
    <row r="124" spans="1:10" ht="15" thickBot="1" x14ac:dyDescent="0.35">
      <c r="A124" s="6">
        <v>123</v>
      </c>
      <c r="B124" s="4">
        <v>40549</v>
      </c>
      <c r="C124" s="3">
        <v>1</v>
      </c>
      <c r="D124" s="3">
        <v>0</v>
      </c>
      <c r="E124" s="3">
        <v>1</v>
      </c>
      <c r="F124" s="3">
        <v>8</v>
      </c>
      <c r="G124" s="5" t="b">
        <v>0</v>
      </c>
      <c r="H124" s="3">
        <v>4</v>
      </c>
      <c r="I124" s="3">
        <v>1</v>
      </c>
      <c r="J124" s="7">
        <v>0.16</v>
      </c>
    </row>
    <row r="125" spans="1:10" ht="15" thickBot="1" x14ac:dyDescent="0.35">
      <c r="A125" s="6">
        <v>124</v>
      </c>
      <c r="B125" s="4">
        <v>40549</v>
      </c>
      <c r="C125" s="3">
        <v>1</v>
      </c>
      <c r="D125" s="3">
        <v>0</v>
      </c>
      <c r="E125" s="3">
        <v>1</v>
      </c>
      <c r="F125" s="3">
        <v>9</v>
      </c>
      <c r="G125" s="5" t="b">
        <v>0</v>
      </c>
      <c r="H125" s="3">
        <v>4</v>
      </c>
      <c r="I125" s="3">
        <v>2</v>
      </c>
      <c r="J125" s="7">
        <v>0.18</v>
      </c>
    </row>
    <row r="126" spans="1:10" ht="15" thickBot="1" x14ac:dyDescent="0.35">
      <c r="A126" s="6">
        <v>125</v>
      </c>
      <c r="B126" s="4">
        <v>40549</v>
      </c>
      <c r="C126" s="3">
        <v>1</v>
      </c>
      <c r="D126" s="3">
        <v>0</v>
      </c>
      <c r="E126" s="3">
        <v>1</v>
      </c>
      <c r="F126" s="3">
        <v>10</v>
      </c>
      <c r="G126" s="5" t="b">
        <v>0</v>
      </c>
      <c r="H126" s="3">
        <v>4</v>
      </c>
      <c r="I126" s="3">
        <v>1</v>
      </c>
      <c r="J126" s="7">
        <v>0.2</v>
      </c>
    </row>
    <row r="127" spans="1:10" ht="15" thickBot="1" x14ac:dyDescent="0.35">
      <c r="A127" s="6">
        <v>126</v>
      </c>
      <c r="B127" s="4">
        <v>40549</v>
      </c>
      <c r="C127" s="3">
        <v>1</v>
      </c>
      <c r="D127" s="3">
        <v>0</v>
      </c>
      <c r="E127" s="3">
        <v>1</v>
      </c>
      <c r="F127" s="3">
        <v>11</v>
      </c>
      <c r="G127" s="5" t="b">
        <v>0</v>
      </c>
      <c r="H127" s="3">
        <v>4</v>
      </c>
      <c r="I127" s="3">
        <v>1</v>
      </c>
      <c r="J127" s="7">
        <v>0.22</v>
      </c>
    </row>
    <row r="128" spans="1:10" ht="15" thickBot="1" x14ac:dyDescent="0.35">
      <c r="A128" s="6">
        <v>127</v>
      </c>
      <c r="B128" s="4">
        <v>40549</v>
      </c>
      <c r="C128" s="3">
        <v>1</v>
      </c>
      <c r="D128" s="3">
        <v>0</v>
      </c>
      <c r="E128" s="3">
        <v>1</v>
      </c>
      <c r="F128" s="3">
        <v>12</v>
      </c>
      <c r="G128" s="5" t="b">
        <v>0</v>
      </c>
      <c r="H128" s="3">
        <v>4</v>
      </c>
      <c r="I128" s="3">
        <v>1</v>
      </c>
      <c r="J128" s="7">
        <v>0.26</v>
      </c>
    </row>
    <row r="129" spans="1:10" ht="15" thickBot="1" x14ac:dyDescent="0.35">
      <c r="A129" s="6">
        <v>128</v>
      </c>
      <c r="B129" s="4">
        <v>40549</v>
      </c>
      <c r="C129" s="3">
        <v>1</v>
      </c>
      <c r="D129" s="3">
        <v>0</v>
      </c>
      <c r="E129" s="3">
        <v>1</v>
      </c>
      <c r="F129" s="3">
        <v>13</v>
      </c>
      <c r="G129" s="5" t="b">
        <v>0</v>
      </c>
      <c r="H129" s="3">
        <v>4</v>
      </c>
      <c r="I129" s="3">
        <v>1</v>
      </c>
      <c r="J129" s="7">
        <v>0.26</v>
      </c>
    </row>
    <row r="130" spans="1:10" ht="15" thickBot="1" x14ac:dyDescent="0.35">
      <c r="A130" s="6">
        <v>129</v>
      </c>
      <c r="B130" s="4">
        <v>40549</v>
      </c>
      <c r="C130" s="3">
        <v>1</v>
      </c>
      <c r="D130" s="3">
        <v>0</v>
      </c>
      <c r="E130" s="3">
        <v>1</v>
      </c>
      <c r="F130" s="3">
        <v>14</v>
      </c>
      <c r="G130" s="5" t="b">
        <v>0</v>
      </c>
      <c r="H130" s="3">
        <v>4</v>
      </c>
      <c r="I130" s="3">
        <v>1</v>
      </c>
      <c r="J130" s="7">
        <v>0.28000000000000003</v>
      </c>
    </row>
    <row r="131" spans="1:10" ht="15" thickBot="1" x14ac:dyDescent="0.35">
      <c r="A131" s="6">
        <v>130</v>
      </c>
      <c r="B131" s="4">
        <v>40549</v>
      </c>
      <c r="C131" s="3">
        <v>1</v>
      </c>
      <c r="D131" s="3">
        <v>0</v>
      </c>
      <c r="E131" s="3">
        <v>1</v>
      </c>
      <c r="F131" s="3">
        <v>15</v>
      </c>
      <c r="G131" s="5" t="b">
        <v>0</v>
      </c>
      <c r="H131" s="3">
        <v>4</v>
      </c>
      <c r="I131" s="3">
        <v>1</v>
      </c>
      <c r="J131" s="7">
        <v>0.28000000000000003</v>
      </c>
    </row>
    <row r="132" spans="1:10" ht="15" thickBot="1" x14ac:dyDescent="0.35">
      <c r="A132" s="6">
        <v>131</v>
      </c>
      <c r="B132" s="4">
        <v>40549</v>
      </c>
      <c r="C132" s="3">
        <v>1</v>
      </c>
      <c r="D132" s="3">
        <v>0</v>
      </c>
      <c r="E132" s="3">
        <v>1</v>
      </c>
      <c r="F132" s="3">
        <v>16</v>
      </c>
      <c r="G132" s="5" t="b">
        <v>0</v>
      </c>
      <c r="H132" s="3">
        <v>4</v>
      </c>
      <c r="I132" s="3">
        <v>1</v>
      </c>
      <c r="J132" s="7">
        <v>0.26</v>
      </c>
    </row>
    <row r="133" spans="1:10" ht="15" thickBot="1" x14ac:dyDescent="0.35">
      <c r="A133" s="6">
        <v>132</v>
      </c>
      <c r="B133" s="4">
        <v>40549</v>
      </c>
      <c r="C133" s="3">
        <v>1</v>
      </c>
      <c r="D133" s="3">
        <v>0</v>
      </c>
      <c r="E133" s="3">
        <v>1</v>
      </c>
      <c r="F133" s="3">
        <v>17</v>
      </c>
      <c r="G133" s="5" t="b">
        <v>0</v>
      </c>
      <c r="H133" s="3">
        <v>4</v>
      </c>
      <c r="I133" s="3">
        <v>1</v>
      </c>
      <c r="J133" s="7">
        <v>0.22</v>
      </c>
    </row>
    <row r="134" spans="1:10" ht="15" thickBot="1" x14ac:dyDescent="0.35">
      <c r="A134" s="6">
        <v>133</v>
      </c>
      <c r="B134" s="4">
        <v>40549</v>
      </c>
      <c r="C134" s="3">
        <v>1</v>
      </c>
      <c r="D134" s="3">
        <v>0</v>
      </c>
      <c r="E134" s="3">
        <v>1</v>
      </c>
      <c r="F134" s="3">
        <v>18</v>
      </c>
      <c r="G134" s="5" t="b">
        <v>0</v>
      </c>
      <c r="H134" s="3">
        <v>4</v>
      </c>
      <c r="I134" s="3">
        <v>1</v>
      </c>
      <c r="J134" s="7">
        <v>0.22</v>
      </c>
    </row>
    <row r="135" spans="1:10" ht="15" thickBot="1" x14ac:dyDescent="0.35">
      <c r="A135" s="6">
        <v>134</v>
      </c>
      <c r="B135" s="4">
        <v>40549</v>
      </c>
      <c r="C135" s="3">
        <v>1</v>
      </c>
      <c r="D135" s="3">
        <v>0</v>
      </c>
      <c r="E135" s="3">
        <v>1</v>
      </c>
      <c r="F135" s="3">
        <v>19</v>
      </c>
      <c r="G135" s="5" t="b">
        <v>0</v>
      </c>
      <c r="H135" s="3">
        <v>4</v>
      </c>
      <c r="I135" s="3">
        <v>1</v>
      </c>
      <c r="J135" s="7">
        <v>0.22</v>
      </c>
    </row>
    <row r="136" spans="1:10" ht="15" thickBot="1" x14ac:dyDescent="0.35">
      <c r="A136" s="6">
        <v>135</v>
      </c>
      <c r="B136" s="4">
        <v>40549</v>
      </c>
      <c r="C136" s="3">
        <v>1</v>
      </c>
      <c r="D136" s="3">
        <v>0</v>
      </c>
      <c r="E136" s="3">
        <v>1</v>
      </c>
      <c r="F136" s="3">
        <v>20</v>
      </c>
      <c r="G136" s="5" t="b">
        <v>0</v>
      </c>
      <c r="H136" s="3">
        <v>4</v>
      </c>
      <c r="I136" s="3">
        <v>1</v>
      </c>
      <c r="J136" s="7">
        <v>0.2</v>
      </c>
    </row>
    <row r="137" spans="1:10" ht="15" thickBot="1" x14ac:dyDescent="0.35">
      <c r="A137" s="6">
        <v>136</v>
      </c>
      <c r="B137" s="4">
        <v>40549</v>
      </c>
      <c r="C137" s="3">
        <v>1</v>
      </c>
      <c r="D137" s="3">
        <v>0</v>
      </c>
      <c r="E137" s="3">
        <v>1</v>
      </c>
      <c r="F137" s="3">
        <v>21</v>
      </c>
      <c r="G137" s="5" t="b">
        <v>0</v>
      </c>
      <c r="H137" s="3">
        <v>4</v>
      </c>
      <c r="I137" s="3">
        <v>2</v>
      </c>
      <c r="J137" s="7">
        <v>0.22</v>
      </c>
    </row>
    <row r="138" spans="1:10" ht="15" thickBot="1" x14ac:dyDescent="0.35">
      <c r="A138" s="6">
        <v>137</v>
      </c>
      <c r="B138" s="4">
        <v>40549</v>
      </c>
      <c r="C138" s="3">
        <v>1</v>
      </c>
      <c r="D138" s="3">
        <v>0</v>
      </c>
      <c r="E138" s="3">
        <v>1</v>
      </c>
      <c r="F138" s="3">
        <v>22</v>
      </c>
      <c r="G138" s="5" t="b">
        <v>0</v>
      </c>
      <c r="H138" s="3">
        <v>4</v>
      </c>
      <c r="I138" s="3">
        <v>2</v>
      </c>
      <c r="J138" s="7">
        <v>0.22</v>
      </c>
    </row>
    <row r="139" spans="1:10" ht="15" thickBot="1" x14ac:dyDescent="0.35">
      <c r="A139" s="6">
        <v>138</v>
      </c>
      <c r="B139" s="4">
        <v>40549</v>
      </c>
      <c r="C139" s="3">
        <v>1</v>
      </c>
      <c r="D139" s="3">
        <v>0</v>
      </c>
      <c r="E139" s="3">
        <v>1</v>
      </c>
      <c r="F139" s="3">
        <v>23</v>
      </c>
      <c r="G139" s="5" t="b">
        <v>0</v>
      </c>
      <c r="H139" s="3">
        <v>4</v>
      </c>
      <c r="I139" s="3">
        <v>2</v>
      </c>
      <c r="J139" s="7">
        <v>0.2</v>
      </c>
    </row>
    <row r="140" spans="1:10" ht="15" thickBot="1" x14ac:dyDescent="0.35">
      <c r="A140" s="6">
        <v>139</v>
      </c>
      <c r="B140" s="4">
        <v>40550</v>
      </c>
      <c r="C140" s="3">
        <v>1</v>
      </c>
      <c r="D140" s="3">
        <v>0</v>
      </c>
      <c r="E140" s="3">
        <v>1</v>
      </c>
      <c r="F140" s="3">
        <v>0</v>
      </c>
      <c r="G140" s="5" t="b">
        <v>0</v>
      </c>
      <c r="H140" s="3">
        <v>5</v>
      </c>
      <c r="I140" s="3">
        <v>2</v>
      </c>
      <c r="J140" s="7">
        <v>0.2</v>
      </c>
    </row>
    <row r="141" spans="1:10" ht="15" thickBot="1" x14ac:dyDescent="0.35">
      <c r="A141" s="6">
        <v>140</v>
      </c>
      <c r="B141" s="4">
        <v>40550</v>
      </c>
      <c r="C141" s="3">
        <v>1</v>
      </c>
      <c r="D141" s="3">
        <v>0</v>
      </c>
      <c r="E141" s="3">
        <v>1</v>
      </c>
      <c r="F141" s="3">
        <v>1</v>
      </c>
      <c r="G141" s="5" t="b">
        <v>0</v>
      </c>
      <c r="H141" s="3">
        <v>5</v>
      </c>
      <c r="I141" s="3">
        <v>2</v>
      </c>
      <c r="J141" s="7">
        <v>0.2</v>
      </c>
    </row>
    <row r="142" spans="1:10" ht="15" thickBot="1" x14ac:dyDescent="0.35">
      <c r="A142" s="6">
        <v>141</v>
      </c>
      <c r="B142" s="4">
        <v>40550</v>
      </c>
      <c r="C142" s="3">
        <v>1</v>
      </c>
      <c r="D142" s="3">
        <v>0</v>
      </c>
      <c r="E142" s="3">
        <v>1</v>
      </c>
      <c r="F142" s="3">
        <v>2</v>
      </c>
      <c r="G142" s="5" t="b">
        <v>0</v>
      </c>
      <c r="H142" s="3">
        <v>5</v>
      </c>
      <c r="I142" s="3">
        <v>2</v>
      </c>
      <c r="J142" s="7">
        <v>0.2</v>
      </c>
    </row>
    <row r="143" spans="1:10" ht="15" thickBot="1" x14ac:dyDescent="0.35">
      <c r="A143" s="6">
        <v>142</v>
      </c>
      <c r="B143" s="4">
        <v>40550</v>
      </c>
      <c r="C143" s="3">
        <v>1</v>
      </c>
      <c r="D143" s="3">
        <v>0</v>
      </c>
      <c r="E143" s="3">
        <v>1</v>
      </c>
      <c r="F143" s="3">
        <v>4</v>
      </c>
      <c r="G143" s="5" t="b">
        <v>0</v>
      </c>
      <c r="H143" s="3">
        <v>5</v>
      </c>
      <c r="I143" s="3">
        <v>2</v>
      </c>
      <c r="J143" s="7">
        <v>0.2</v>
      </c>
    </row>
    <row r="144" spans="1:10" ht="15" thickBot="1" x14ac:dyDescent="0.35">
      <c r="A144" s="6">
        <v>143</v>
      </c>
      <c r="B144" s="4">
        <v>40550</v>
      </c>
      <c r="C144" s="3">
        <v>1</v>
      </c>
      <c r="D144" s="3">
        <v>0</v>
      </c>
      <c r="E144" s="3">
        <v>1</v>
      </c>
      <c r="F144" s="3">
        <v>5</v>
      </c>
      <c r="G144" s="5" t="b">
        <v>0</v>
      </c>
      <c r="H144" s="3">
        <v>5</v>
      </c>
      <c r="I144" s="3">
        <v>3</v>
      </c>
      <c r="J144" s="7">
        <v>0.22</v>
      </c>
    </row>
    <row r="145" spans="1:10" ht="15" thickBot="1" x14ac:dyDescent="0.35">
      <c r="A145" s="6">
        <v>144</v>
      </c>
      <c r="B145" s="4">
        <v>40550</v>
      </c>
      <c r="C145" s="3">
        <v>1</v>
      </c>
      <c r="D145" s="3">
        <v>0</v>
      </c>
      <c r="E145" s="3">
        <v>1</v>
      </c>
      <c r="F145" s="3">
        <v>6</v>
      </c>
      <c r="G145" s="5" t="b">
        <v>0</v>
      </c>
      <c r="H145" s="3">
        <v>5</v>
      </c>
      <c r="I145" s="3">
        <v>2</v>
      </c>
      <c r="J145" s="7">
        <v>0.2</v>
      </c>
    </row>
    <row r="146" spans="1:10" ht="15" thickBot="1" x14ac:dyDescent="0.35">
      <c r="A146" s="6">
        <v>145</v>
      </c>
      <c r="B146" s="4">
        <v>40550</v>
      </c>
      <c r="C146" s="3">
        <v>1</v>
      </c>
      <c r="D146" s="3">
        <v>0</v>
      </c>
      <c r="E146" s="3">
        <v>1</v>
      </c>
      <c r="F146" s="3">
        <v>7</v>
      </c>
      <c r="G146" s="5" t="b">
        <v>0</v>
      </c>
      <c r="H146" s="3">
        <v>5</v>
      </c>
      <c r="I146" s="3">
        <v>1</v>
      </c>
      <c r="J146" s="7">
        <v>0.2</v>
      </c>
    </row>
    <row r="147" spans="1:10" ht="15" thickBot="1" x14ac:dyDescent="0.35">
      <c r="A147" s="6">
        <v>146</v>
      </c>
      <c r="B147" s="4">
        <v>40550</v>
      </c>
      <c r="C147" s="3">
        <v>1</v>
      </c>
      <c r="D147" s="3">
        <v>0</v>
      </c>
      <c r="E147" s="3">
        <v>1</v>
      </c>
      <c r="F147" s="3">
        <v>8</v>
      </c>
      <c r="G147" s="5" t="b">
        <v>0</v>
      </c>
      <c r="H147" s="3">
        <v>5</v>
      </c>
      <c r="I147" s="3">
        <v>1</v>
      </c>
      <c r="J147" s="7">
        <v>0.2</v>
      </c>
    </row>
    <row r="148" spans="1:10" ht="15" thickBot="1" x14ac:dyDescent="0.35">
      <c r="A148" s="6">
        <v>147</v>
      </c>
      <c r="B148" s="4">
        <v>40550</v>
      </c>
      <c r="C148" s="3">
        <v>1</v>
      </c>
      <c r="D148" s="3">
        <v>0</v>
      </c>
      <c r="E148" s="3">
        <v>1</v>
      </c>
      <c r="F148" s="3">
        <v>9</v>
      </c>
      <c r="G148" s="5" t="b">
        <v>0</v>
      </c>
      <c r="H148" s="3">
        <v>5</v>
      </c>
      <c r="I148" s="3">
        <v>1</v>
      </c>
      <c r="J148" s="7">
        <v>0.2</v>
      </c>
    </row>
    <row r="149" spans="1:10" ht="15" thickBot="1" x14ac:dyDescent="0.35">
      <c r="A149" s="6">
        <v>148</v>
      </c>
      <c r="B149" s="4">
        <v>40550</v>
      </c>
      <c r="C149" s="3">
        <v>1</v>
      </c>
      <c r="D149" s="3">
        <v>0</v>
      </c>
      <c r="E149" s="3">
        <v>1</v>
      </c>
      <c r="F149" s="3">
        <v>10</v>
      </c>
      <c r="G149" s="5" t="b">
        <v>0</v>
      </c>
      <c r="H149" s="3">
        <v>5</v>
      </c>
      <c r="I149" s="3">
        <v>1</v>
      </c>
      <c r="J149" s="7">
        <v>0.22</v>
      </c>
    </row>
    <row r="150" spans="1:10" ht="15" thickBot="1" x14ac:dyDescent="0.35">
      <c r="A150" s="6">
        <v>149</v>
      </c>
      <c r="B150" s="4">
        <v>40550</v>
      </c>
      <c r="C150" s="3">
        <v>1</v>
      </c>
      <c r="D150" s="3">
        <v>0</v>
      </c>
      <c r="E150" s="3">
        <v>1</v>
      </c>
      <c r="F150" s="3">
        <v>11</v>
      </c>
      <c r="G150" s="5" t="b">
        <v>0</v>
      </c>
      <c r="H150" s="3">
        <v>5</v>
      </c>
      <c r="I150" s="3">
        <v>2</v>
      </c>
      <c r="J150" s="7">
        <v>0.2</v>
      </c>
    </row>
    <row r="151" spans="1:10" ht="15" thickBot="1" x14ac:dyDescent="0.35">
      <c r="A151" s="6">
        <v>150</v>
      </c>
      <c r="B151" s="4">
        <v>40550</v>
      </c>
      <c r="C151" s="3">
        <v>1</v>
      </c>
      <c r="D151" s="3">
        <v>0</v>
      </c>
      <c r="E151" s="3">
        <v>1</v>
      </c>
      <c r="F151" s="3">
        <v>12</v>
      </c>
      <c r="G151" s="5" t="b">
        <v>0</v>
      </c>
      <c r="H151" s="3">
        <v>5</v>
      </c>
      <c r="I151" s="3">
        <v>2</v>
      </c>
      <c r="J151" s="7">
        <v>0.2</v>
      </c>
    </row>
    <row r="152" spans="1:10" ht="15" thickBot="1" x14ac:dyDescent="0.35">
      <c r="A152" s="6">
        <v>151</v>
      </c>
      <c r="B152" s="4">
        <v>40550</v>
      </c>
      <c r="C152" s="3">
        <v>1</v>
      </c>
      <c r="D152" s="3">
        <v>0</v>
      </c>
      <c r="E152" s="3">
        <v>1</v>
      </c>
      <c r="F152" s="3">
        <v>13</v>
      </c>
      <c r="G152" s="5" t="b">
        <v>0</v>
      </c>
      <c r="H152" s="3">
        <v>5</v>
      </c>
      <c r="I152" s="3">
        <v>2</v>
      </c>
      <c r="J152" s="7">
        <v>0.2</v>
      </c>
    </row>
    <row r="153" spans="1:10" ht="15" thickBot="1" x14ac:dyDescent="0.35">
      <c r="A153" s="6">
        <v>152</v>
      </c>
      <c r="B153" s="4">
        <v>40550</v>
      </c>
      <c r="C153" s="3">
        <v>1</v>
      </c>
      <c r="D153" s="3">
        <v>0</v>
      </c>
      <c r="E153" s="3">
        <v>1</v>
      </c>
      <c r="F153" s="3">
        <v>14</v>
      </c>
      <c r="G153" s="5" t="b">
        <v>0</v>
      </c>
      <c r="H153" s="3">
        <v>5</v>
      </c>
      <c r="I153" s="3">
        <v>2</v>
      </c>
      <c r="J153" s="7">
        <v>0.2</v>
      </c>
    </row>
    <row r="154" spans="1:10" ht="15" thickBot="1" x14ac:dyDescent="0.35">
      <c r="A154" s="6">
        <v>153</v>
      </c>
      <c r="B154" s="4">
        <v>40550</v>
      </c>
      <c r="C154" s="3">
        <v>1</v>
      </c>
      <c r="D154" s="3">
        <v>0</v>
      </c>
      <c r="E154" s="3">
        <v>1</v>
      </c>
      <c r="F154" s="3">
        <v>15</v>
      </c>
      <c r="G154" s="5" t="b">
        <v>0</v>
      </c>
      <c r="H154" s="3">
        <v>5</v>
      </c>
      <c r="I154" s="3">
        <v>2</v>
      </c>
      <c r="J154" s="7">
        <v>0.2</v>
      </c>
    </row>
    <row r="155" spans="1:10" ht="15" thickBot="1" x14ac:dyDescent="0.35">
      <c r="A155" s="6">
        <v>154</v>
      </c>
      <c r="B155" s="4">
        <v>40550</v>
      </c>
      <c r="C155" s="3">
        <v>1</v>
      </c>
      <c r="D155" s="3">
        <v>0</v>
      </c>
      <c r="E155" s="3">
        <v>1</v>
      </c>
      <c r="F155" s="3">
        <v>16</v>
      </c>
      <c r="G155" s="5" t="b">
        <v>0</v>
      </c>
      <c r="H155" s="3">
        <v>5</v>
      </c>
      <c r="I155" s="3">
        <v>2</v>
      </c>
      <c r="J155" s="7">
        <v>0.2</v>
      </c>
    </row>
    <row r="156" spans="1:10" ht="15" thickBot="1" x14ac:dyDescent="0.35">
      <c r="A156" s="6">
        <v>155</v>
      </c>
      <c r="B156" s="4">
        <v>40550</v>
      </c>
      <c r="C156" s="3">
        <v>1</v>
      </c>
      <c r="D156" s="3">
        <v>0</v>
      </c>
      <c r="E156" s="3">
        <v>1</v>
      </c>
      <c r="F156" s="3">
        <v>17</v>
      </c>
      <c r="G156" s="5" t="b">
        <v>0</v>
      </c>
      <c r="H156" s="3">
        <v>5</v>
      </c>
      <c r="I156" s="3">
        <v>2</v>
      </c>
      <c r="J156" s="7">
        <v>0.2</v>
      </c>
    </row>
    <row r="157" spans="1:10" ht="15" thickBot="1" x14ac:dyDescent="0.35">
      <c r="A157" s="6">
        <v>156</v>
      </c>
      <c r="B157" s="4">
        <v>40550</v>
      </c>
      <c r="C157" s="3">
        <v>1</v>
      </c>
      <c r="D157" s="3">
        <v>0</v>
      </c>
      <c r="E157" s="3">
        <v>1</v>
      </c>
      <c r="F157" s="3">
        <v>18</v>
      </c>
      <c r="G157" s="5" t="b">
        <v>0</v>
      </c>
      <c r="H157" s="3">
        <v>5</v>
      </c>
      <c r="I157" s="3">
        <v>1</v>
      </c>
      <c r="J157" s="7">
        <v>0.2</v>
      </c>
    </row>
    <row r="158" spans="1:10" ht="15" thickBot="1" x14ac:dyDescent="0.35">
      <c r="A158" s="6">
        <v>157</v>
      </c>
      <c r="B158" s="4">
        <v>40550</v>
      </c>
      <c r="C158" s="3">
        <v>1</v>
      </c>
      <c r="D158" s="3">
        <v>0</v>
      </c>
      <c r="E158" s="3">
        <v>1</v>
      </c>
      <c r="F158" s="3">
        <v>19</v>
      </c>
      <c r="G158" s="5" t="b">
        <v>0</v>
      </c>
      <c r="H158" s="3">
        <v>5</v>
      </c>
      <c r="I158" s="3">
        <v>1</v>
      </c>
      <c r="J158" s="7">
        <v>0.16</v>
      </c>
    </row>
    <row r="159" spans="1:10" ht="15" thickBot="1" x14ac:dyDescent="0.35">
      <c r="A159" s="6">
        <v>158</v>
      </c>
      <c r="B159" s="4">
        <v>40550</v>
      </c>
      <c r="C159" s="3">
        <v>1</v>
      </c>
      <c r="D159" s="3">
        <v>0</v>
      </c>
      <c r="E159" s="3">
        <v>1</v>
      </c>
      <c r="F159" s="3">
        <v>20</v>
      </c>
      <c r="G159" s="5" t="b">
        <v>0</v>
      </c>
      <c r="H159" s="3">
        <v>5</v>
      </c>
      <c r="I159" s="3">
        <v>1</v>
      </c>
      <c r="J159" s="7">
        <v>0.18</v>
      </c>
    </row>
    <row r="160" spans="1:10" ht="15" thickBot="1" x14ac:dyDescent="0.35">
      <c r="A160" s="6">
        <v>159</v>
      </c>
      <c r="B160" s="4">
        <v>40550</v>
      </c>
      <c r="C160" s="3">
        <v>1</v>
      </c>
      <c r="D160" s="3">
        <v>0</v>
      </c>
      <c r="E160" s="3">
        <v>1</v>
      </c>
      <c r="F160" s="3">
        <v>21</v>
      </c>
      <c r="G160" s="5" t="b">
        <v>0</v>
      </c>
      <c r="H160" s="3">
        <v>5</v>
      </c>
      <c r="I160" s="3">
        <v>1</v>
      </c>
      <c r="J160" s="7">
        <v>0.18</v>
      </c>
    </row>
    <row r="161" spans="1:10" ht="15" thickBot="1" x14ac:dyDescent="0.35">
      <c r="A161" s="6">
        <v>160</v>
      </c>
      <c r="B161" s="4">
        <v>40550</v>
      </c>
      <c r="C161" s="3">
        <v>1</v>
      </c>
      <c r="D161" s="3">
        <v>0</v>
      </c>
      <c r="E161" s="3">
        <v>1</v>
      </c>
      <c r="F161" s="3">
        <v>22</v>
      </c>
      <c r="G161" s="5" t="b">
        <v>0</v>
      </c>
      <c r="H161" s="3">
        <v>5</v>
      </c>
      <c r="I161" s="3">
        <v>2</v>
      </c>
      <c r="J161" s="7">
        <v>0.18</v>
      </c>
    </row>
    <row r="162" spans="1:10" ht="15" thickBot="1" x14ac:dyDescent="0.35">
      <c r="A162" s="6">
        <v>161</v>
      </c>
      <c r="B162" s="4">
        <v>40550</v>
      </c>
      <c r="C162" s="3">
        <v>1</v>
      </c>
      <c r="D162" s="3">
        <v>0</v>
      </c>
      <c r="E162" s="3">
        <v>1</v>
      </c>
      <c r="F162" s="3">
        <v>23</v>
      </c>
      <c r="G162" s="5" t="b">
        <v>0</v>
      </c>
      <c r="H162" s="3">
        <v>5</v>
      </c>
      <c r="I162" s="3">
        <v>2</v>
      </c>
      <c r="J162" s="7">
        <v>0.18</v>
      </c>
    </row>
    <row r="163" spans="1:10" ht="15" thickBot="1" x14ac:dyDescent="0.35">
      <c r="A163" s="6">
        <v>162</v>
      </c>
      <c r="B163" s="4">
        <v>40551</v>
      </c>
      <c r="C163" s="3">
        <v>1</v>
      </c>
      <c r="D163" s="3">
        <v>0</v>
      </c>
      <c r="E163" s="3">
        <v>1</v>
      </c>
      <c r="F163" s="3">
        <v>0</v>
      </c>
      <c r="G163" s="5" t="b">
        <v>0</v>
      </c>
      <c r="H163" s="3">
        <v>6</v>
      </c>
      <c r="I163" s="3">
        <v>2</v>
      </c>
      <c r="J163" s="7">
        <v>0.18</v>
      </c>
    </row>
    <row r="164" spans="1:10" ht="15" thickBot="1" x14ac:dyDescent="0.35">
      <c r="A164" s="6">
        <v>163</v>
      </c>
      <c r="B164" s="4">
        <v>40551</v>
      </c>
      <c r="C164" s="3">
        <v>1</v>
      </c>
      <c r="D164" s="3">
        <v>0</v>
      </c>
      <c r="E164" s="3">
        <v>1</v>
      </c>
      <c r="F164" s="3">
        <v>1</v>
      </c>
      <c r="G164" s="5" t="b">
        <v>0</v>
      </c>
      <c r="H164" s="3">
        <v>6</v>
      </c>
      <c r="I164" s="3">
        <v>2</v>
      </c>
      <c r="J164" s="7">
        <v>0.18</v>
      </c>
    </row>
    <row r="165" spans="1:10" ht="15" thickBot="1" x14ac:dyDescent="0.35">
      <c r="A165" s="6">
        <v>164</v>
      </c>
      <c r="B165" s="4">
        <v>40551</v>
      </c>
      <c r="C165" s="3">
        <v>1</v>
      </c>
      <c r="D165" s="3">
        <v>0</v>
      </c>
      <c r="E165" s="3">
        <v>1</v>
      </c>
      <c r="F165" s="3">
        <v>2</v>
      </c>
      <c r="G165" s="5" t="b">
        <v>0</v>
      </c>
      <c r="H165" s="3">
        <v>6</v>
      </c>
      <c r="I165" s="3">
        <v>2</v>
      </c>
      <c r="J165" s="7">
        <v>0.18</v>
      </c>
    </row>
    <row r="166" spans="1:10" ht="15" thickBot="1" x14ac:dyDescent="0.35">
      <c r="A166" s="6">
        <v>165</v>
      </c>
      <c r="B166" s="4">
        <v>40551</v>
      </c>
      <c r="C166" s="3">
        <v>1</v>
      </c>
      <c r="D166" s="3">
        <v>0</v>
      </c>
      <c r="E166" s="3">
        <v>1</v>
      </c>
      <c r="F166" s="3">
        <v>3</v>
      </c>
      <c r="G166" s="5" t="b">
        <v>0</v>
      </c>
      <c r="H166" s="3">
        <v>6</v>
      </c>
      <c r="I166" s="3">
        <v>3</v>
      </c>
      <c r="J166" s="7">
        <v>0.18</v>
      </c>
    </row>
    <row r="167" spans="1:10" ht="15" thickBot="1" x14ac:dyDescent="0.35">
      <c r="A167" s="6">
        <v>166</v>
      </c>
      <c r="B167" s="4">
        <v>40551</v>
      </c>
      <c r="C167" s="3">
        <v>1</v>
      </c>
      <c r="D167" s="3">
        <v>0</v>
      </c>
      <c r="E167" s="3">
        <v>1</v>
      </c>
      <c r="F167" s="3">
        <v>4</v>
      </c>
      <c r="G167" s="5" t="b">
        <v>0</v>
      </c>
      <c r="H167" s="3">
        <v>6</v>
      </c>
      <c r="I167" s="3">
        <v>3</v>
      </c>
      <c r="J167" s="7">
        <v>0.18</v>
      </c>
    </row>
    <row r="168" spans="1:10" ht="15" thickBot="1" x14ac:dyDescent="0.35">
      <c r="A168" s="6">
        <v>167</v>
      </c>
      <c r="B168" s="4">
        <v>40551</v>
      </c>
      <c r="C168" s="3">
        <v>1</v>
      </c>
      <c r="D168" s="3">
        <v>0</v>
      </c>
      <c r="E168" s="3">
        <v>1</v>
      </c>
      <c r="F168" s="3">
        <v>5</v>
      </c>
      <c r="G168" s="5" t="b">
        <v>0</v>
      </c>
      <c r="H168" s="3">
        <v>6</v>
      </c>
      <c r="I168" s="3">
        <v>2</v>
      </c>
      <c r="J168" s="7">
        <v>0.16</v>
      </c>
    </row>
    <row r="169" spans="1:10" ht="15" thickBot="1" x14ac:dyDescent="0.35">
      <c r="A169" s="6">
        <v>168</v>
      </c>
      <c r="B169" s="4">
        <v>40551</v>
      </c>
      <c r="C169" s="3">
        <v>1</v>
      </c>
      <c r="D169" s="3">
        <v>0</v>
      </c>
      <c r="E169" s="3">
        <v>1</v>
      </c>
      <c r="F169" s="3">
        <v>6</v>
      </c>
      <c r="G169" s="5" t="b">
        <v>0</v>
      </c>
      <c r="H169" s="3">
        <v>6</v>
      </c>
      <c r="I169" s="3">
        <v>2</v>
      </c>
      <c r="J169" s="7">
        <v>0.16</v>
      </c>
    </row>
    <row r="170" spans="1:10" ht="15" thickBot="1" x14ac:dyDescent="0.35">
      <c r="A170" s="6">
        <v>169</v>
      </c>
      <c r="B170" s="4">
        <v>40551</v>
      </c>
      <c r="C170" s="3">
        <v>1</v>
      </c>
      <c r="D170" s="3">
        <v>0</v>
      </c>
      <c r="E170" s="3">
        <v>1</v>
      </c>
      <c r="F170" s="3">
        <v>7</v>
      </c>
      <c r="G170" s="5" t="b">
        <v>0</v>
      </c>
      <c r="H170" s="3">
        <v>6</v>
      </c>
      <c r="I170" s="3">
        <v>2</v>
      </c>
      <c r="J170" s="7">
        <v>0.16</v>
      </c>
    </row>
    <row r="171" spans="1:10" ht="15" thickBot="1" x14ac:dyDescent="0.35">
      <c r="A171" s="6">
        <v>170</v>
      </c>
      <c r="B171" s="4">
        <v>40551</v>
      </c>
      <c r="C171" s="3">
        <v>1</v>
      </c>
      <c r="D171" s="3">
        <v>0</v>
      </c>
      <c r="E171" s="3">
        <v>1</v>
      </c>
      <c r="F171" s="3">
        <v>8</v>
      </c>
      <c r="G171" s="5" t="b">
        <v>0</v>
      </c>
      <c r="H171" s="3">
        <v>6</v>
      </c>
      <c r="I171" s="3">
        <v>3</v>
      </c>
      <c r="J171" s="7">
        <v>0.16</v>
      </c>
    </row>
    <row r="172" spans="1:10" ht="15" thickBot="1" x14ac:dyDescent="0.35">
      <c r="A172" s="6">
        <v>171</v>
      </c>
      <c r="B172" s="4">
        <v>40551</v>
      </c>
      <c r="C172" s="3">
        <v>1</v>
      </c>
      <c r="D172" s="3">
        <v>0</v>
      </c>
      <c r="E172" s="3">
        <v>1</v>
      </c>
      <c r="F172" s="3">
        <v>9</v>
      </c>
      <c r="G172" s="5" t="b">
        <v>0</v>
      </c>
      <c r="H172" s="3">
        <v>6</v>
      </c>
      <c r="I172" s="3">
        <v>3</v>
      </c>
      <c r="J172" s="7">
        <v>0.16</v>
      </c>
    </row>
    <row r="173" spans="1:10" ht="15" thickBot="1" x14ac:dyDescent="0.35">
      <c r="A173" s="6">
        <v>172</v>
      </c>
      <c r="B173" s="4">
        <v>40551</v>
      </c>
      <c r="C173" s="3">
        <v>1</v>
      </c>
      <c r="D173" s="3">
        <v>0</v>
      </c>
      <c r="E173" s="3">
        <v>1</v>
      </c>
      <c r="F173" s="3">
        <v>10</v>
      </c>
      <c r="G173" s="5" t="b">
        <v>0</v>
      </c>
      <c r="H173" s="3">
        <v>6</v>
      </c>
      <c r="I173" s="3">
        <v>2</v>
      </c>
      <c r="J173" s="7">
        <v>0.18</v>
      </c>
    </row>
    <row r="174" spans="1:10" ht="15" thickBot="1" x14ac:dyDescent="0.35">
      <c r="A174" s="6">
        <v>173</v>
      </c>
      <c r="B174" s="4">
        <v>40551</v>
      </c>
      <c r="C174" s="3">
        <v>1</v>
      </c>
      <c r="D174" s="3">
        <v>0</v>
      </c>
      <c r="E174" s="3">
        <v>1</v>
      </c>
      <c r="F174" s="3">
        <v>11</v>
      </c>
      <c r="G174" s="5" t="b">
        <v>0</v>
      </c>
      <c r="H174" s="3">
        <v>6</v>
      </c>
      <c r="I174" s="3">
        <v>2</v>
      </c>
      <c r="J174" s="7">
        <v>0.2</v>
      </c>
    </row>
    <row r="175" spans="1:10" ht="15" thickBot="1" x14ac:dyDescent="0.35">
      <c r="A175" s="6">
        <v>174</v>
      </c>
      <c r="B175" s="4">
        <v>40551</v>
      </c>
      <c r="C175" s="3">
        <v>1</v>
      </c>
      <c r="D175" s="3">
        <v>0</v>
      </c>
      <c r="E175" s="3">
        <v>1</v>
      </c>
      <c r="F175" s="3">
        <v>12</v>
      </c>
      <c r="G175" s="5" t="b">
        <v>0</v>
      </c>
      <c r="H175" s="3">
        <v>6</v>
      </c>
      <c r="I175" s="3">
        <v>2</v>
      </c>
      <c r="J175" s="7">
        <v>0.2</v>
      </c>
    </row>
    <row r="176" spans="1:10" ht="15" thickBot="1" x14ac:dyDescent="0.35">
      <c r="A176" s="6">
        <v>175</v>
      </c>
      <c r="B176" s="4">
        <v>40551</v>
      </c>
      <c r="C176" s="3">
        <v>1</v>
      </c>
      <c r="D176" s="3">
        <v>0</v>
      </c>
      <c r="E176" s="3">
        <v>1</v>
      </c>
      <c r="F176" s="3">
        <v>13</v>
      </c>
      <c r="G176" s="5" t="b">
        <v>0</v>
      </c>
      <c r="H176" s="3">
        <v>6</v>
      </c>
      <c r="I176" s="3">
        <v>1</v>
      </c>
      <c r="J176" s="7">
        <v>0.2</v>
      </c>
    </row>
    <row r="177" spans="1:10" ht="15" thickBot="1" x14ac:dyDescent="0.35">
      <c r="A177" s="6">
        <v>176</v>
      </c>
      <c r="B177" s="4">
        <v>40551</v>
      </c>
      <c r="C177" s="3">
        <v>1</v>
      </c>
      <c r="D177" s="3">
        <v>0</v>
      </c>
      <c r="E177" s="3">
        <v>1</v>
      </c>
      <c r="F177" s="3">
        <v>14</v>
      </c>
      <c r="G177" s="5" t="b">
        <v>0</v>
      </c>
      <c r="H177" s="3">
        <v>6</v>
      </c>
      <c r="I177" s="3">
        <v>1</v>
      </c>
      <c r="J177" s="7">
        <v>0.2</v>
      </c>
    </row>
    <row r="178" spans="1:10" ht="15" thickBot="1" x14ac:dyDescent="0.35">
      <c r="A178" s="6">
        <v>177</v>
      </c>
      <c r="B178" s="4">
        <v>40551</v>
      </c>
      <c r="C178" s="3">
        <v>1</v>
      </c>
      <c r="D178" s="3">
        <v>0</v>
      </c>
      <c r="E178" s="3">
        <v>1</v>
      </c>
      <c r="F178" s="3">
        <v>15</v>
      </c>
      <c r="G178" s="5" t="b">
        <v>0</v>
      </c>
      <c r="H178" s="3">
        <v>6</v>
      </c>
      <c r="I178" s="3">
        <v>1</v>
      </c>
      <c r="J178" s="7">
        <v>0.2</v>
      </c>
    </row>
    <row r="179" spans="1:10" ht="15" thickBot="1" x14ac:dyDescent="0.35">
      <c r="A179" s="6">
        <v>178</v>
      </c>
      <c r="B179" s="4">
        <v>40551</v>
      </c>
      <c r="C179" s="3">
        <v>1</v>
      </c>
      <c r="D179" s="3">
        <v>0</v>
      </c>
      <c r="E179" s="3">
        <v>1</v>
      </c>
      <c r="F179" s="3">
        <v>16</v>
      </c>
      <c r="G179" s="5" t="b">
        <v>0</v>
      </c>
      <c r="H179" s="3">
        <v>6</v>
      </c>
      <c r="I179" s="3">
        <v>1</v>
      </c>
      <c r="J179" s="7">
        <v>0.18</v>
      </c>
    </row>
    <row r="180" spans="1:10" ht="15" thickBot="1" x14ac:dyDescent="0.35">
      <c r="A180" s="6">
        <v>179</v>
      </c>
      <c r="B180" s="4">
        <v>40551</v>
      </c>
      <c r="C180" s="3">
        <v>1</v>
      </c>
      <c r="D180" s="3">
        <v>0</v>
      </c>
      <c r="E180" s="3">
        <v>1</v>
      </c>
      <c r="F180" s="3">
        <v>17</v>
      </c>
      <c r="G180" s="5" t="b">
        <v>0</v>
      </c>
      <c r="H180" s="3">
        <v>6</v>
      </c>
      <c r="I180" s="3">
        <v>1</v>
      </c>
      <c r="J180" s="7">
        <v>0.16</v>
      </c>
    </row>
    <row r="181" spans="1:10" ht="15" thickBot="1" x14ac:dyDescent="0.35">
      <c r="A181" s="6">
        <v>180</v>
      </c>
      <c r="B181" s="4">
        <v>40551</v>
      </c>
      <c r="C181" s="3">
        <v>1</v>
      </c>
      <c r="D181" s="3">
        <v>0</v>
      </c>
      <c r="E181" s="3">
        <v>1</v>
      </c>
      <c r="F181" s="3">
        <v>18</v>
      </c>
      <c r="G181" s="5" t="b">
        <v>0</v>
      </c>
      <c r="H181" s="3">
        <v>6</v>
      </c>
      <c r="I181" s="3">
        <v>1</v>
      </c>
      <c r="J181" s="7">
        <v>0.14000000000000001</v>
      </c>
    </row>
    <row r="182" spans="1:10" ht="15" thickBot="1" x14ac:dyDescent="0.35">
      <c r="A182" s="6">
        <v>181</v>
      </c>
      <c r="B182" s="4">
        <v>40551</v>
      </c>
      <c r="C182" s="3">
        <v>1</v>
      </c>
      <c r="D182" s="3">
        <v>0</v>
      </c>
      <c r="E182" s="3">
        <v>1</v>
      </c>
      <c r="F182" s="3">
        <v>19</v>
      </c>
      <c r="G182" s="5" t="b">
        <v>0</v>
      </c>
      <c r="H182" s="3">
        <v>6</v>
      </c>
      <c r="I182" s="3">
        <v>1</v>
      </c>
      <c r="J182" s="7">
        <v>0.14000000000000001</v>
      </c>
    </row>
    <row r="183" spans="1:10" ht="15" thickBot="1" x14ac:dyDescent="0.35">
      <c r="A183" s="6">
        <v>182</v>
      </c>
      <c r="B183" s="4">
        <v>40551</v>
      </c>
      <c r="C183" s="3">
        <v>1</v>
      </c>
      <c r="D183" s="3">
        <v>0</v>
      </c>
      <c r="E183" s="3">
        <v>1</v>
      </c>
      <c r="F183" s="3">
        <v>20</v>
      </c>
      <c r="G183" s="5" t="b">
        <v>0</v>
      </c>
      <c r="H183" s="3">
        <v>6</v>
      </c>
      <c r="I183" s="3">
        <v>1</v>
      </c>
      <c r="J183" s="7">
        <v>0.12</v>
      </c>
    </row>
    <row r="184" spans="1:10" ht="15" thickBot="1" x14ac:dyDescent="0.35">
      <c r="A184" s="6">
        <v>183</v>
      </c>
      <c r="B184" s="4">
        <v>40551</v>
      </c>
      <c r="C184" s="3">
        <v>1</v>
      </c>
      <c r="D184" s="3">
        <v>0</v>
      </c>
      <c r="E184" s="3">
        <v>1</v>
      </c>
      <c r="F184" s="3">
        <v>21</v>
      </c>
      <c r="G184" s="5" t="b">
        <v>0</v>
      </c>
      <c r="H184" s="3">
        <v>6</v>
      </c>
      <c r="I184" s="3">
        <v>1</v>
      </c>
      <c r="J184" s="7">
        <v>0.12</v>
      </c>
    </row>
    <row r="185" spans="1:10" ht="15" thickBot="1" x14ac:dyDescent="0.35">
      <c r="A185" s="6">
        <v>184</v>
      </c>
      <c r="B185" s="4">
        <v>40551</v>
      </c>
      <c r="C185" s="3">
        <v>1</v>
      </c>
      <c r="D185" s="3">
        <v>0</v>
      </c>
      <c r="E185" s="3">
        <v>1</v>
      </c>
      <c r="F185" s="3">
        <v>22</v>
      </c>
      <c r="G185" s="5" t="b">
        <v>0</v>
      </c>
      <c r="H185" s="3">
        <v>6</v>
      </c>
      <c r="I185" s="3">
        <v>1</v>
      </c>
      <c r="J185" s="7">
        <v>0.12</v>
      </c>
    </row>
    <row r="186" spans="1:10" ht="15" thickBot="1" x14ac:dyDescent="0.35">
      <c r="A186" s="6">
        <v>185</v>
      </c>
      <c r="B186" s="4">
        <v>40551</v>
      </c>
      <c r="C186" s="3">
        <v>1</v>
      </c>
      <c r="D186" s="3">
        <v>0</v>
      </c>
      <c r="E186" s="3">
        <v>1</v>
      </c>
      <c r="F186" s="3">
        <v>23</v>
      </c>
      <c r="G186" s="5" t="b">
        <v>0</v>
      </c>
      <c r="H186" s="3">
        <v>6</v>
      </c>
      <c r="I186" s="3">
        <v>1</v>
      </c>
      <c r="J186" s="7">
        <v>0.1</v>
      </c>
    </row>
    <row r="187" spans="1:10" ht="15" thickBot="1" x14ac:dyDescent="0.35">
      <c r="A187" s="6">
        <v>186</v>
      </c>
      <c r="B187" s="4">
        <v>40552</v>
      </c>
      <c r="C187" s="3">
        <v>1</v>
      </c>
      <c r="D187" s="3">
        <v>0</v>
      </c>
      <c r="E187" s="3">
        <v>1</v>
      </c>
      <c r="F187" s="3">
        <v>0</v>
      </c>
      <c r="G187" s="5" t="b">
        <v>0</v>
      </c>
      <c r="H187" s="3">
        <v>0</v>
      </c>
      <c r="I187" s="3">
        <v>1</v>
      </c>
      <c r="J187" s="7">
        <v>0.1</v>
      </c>
    </row>
    <row r="188" spans="1:10" ht="15" thickBot="1" x14ac:dyDescent="0.35">
      <c r="A188" s="6">
        <v>187</v>
      </c>
      <c r="B188" s="4">
        <v>40552</v>
      </c>
      <c r="C188" s="3">
        <v>1</v>
      </c>
      <c r="D188" s="3">
        <v>0</v>
      </c>
      <c r="E188" s="3">
        <v>1</v>
      </c>
      <c r="F188" s="3">
        <v>1</v>
      </c>
      <c r="G188" s="5" t="b">
        <v>0</v>
      </c>
      <c r="H188" s="3">
        <v>0</v>
      </c>
      <c r="I188" s="3">
        <v>1</v>
      </c>
      <c r="J188" s="7">
        <v>0.1</v>
      </c>
    </row>
    <row r="189" spans="1:10" ht="15" thickBot="1" x14ac:dyDescent="0.35">
      <c r="A189" s="6">
        <v>188</v>
      </c>
      <c r="B189" s="4">
        <v>40552</v>
      </c>
      <c r="C189" s="3">
        <v>1</v>
      </c>
      <c r="D189" s="3">
        <v>0</v>
      </c>
      <c r="E189" s="3">
        <v>1</v>
      </c>
      <c r="F189" s="3">
        <v>2</v>
      </c>
      <c r="G189" s="5" t="b">
        <v>0</v>
      </c>
      <c r="H189" s="3">
        <v>0</v>
      </c>
      <c r="I189" s="3">
        <v>1</v>
      </c>
      <c r="J189" s="7">
        <v>0.1</v>
      </c>
    </row>
    <row r="190" spans="1:10" ht="15" thickBot="1" x14ac:dyDescent="0.35">
      <c r="A190" s="6">
        <v>189</v>
      </c>
      <c r="B190" s="4">
        <v>40552</v>
      </c>
      <c r="C190" s="3">
        <v>1</v>
      </c>
      <c r="D190" s="3">
        <v>0</v>
      </c>
      <c r="E190" s="3">
        <v>1</v>
      </c>
      <c r="F190" s="3">
        <v>3</v>
      </c>
      <c r="G190" s="5" t="b">
        <v>0</v>
      </c>
      <c r="H190" s="3">
        <v>0</v>
      </c>
      <c r="I190" s="3">
        <v>1</v>
      </c>
      <c r="J190" s="7">
        <v>0.1</v>
      </c>
    </row>
    <row r="191" spans="1:10" ht="15" thickBot="1" x14ac:dyDescent="0.35">
      <c r="A191" s="6">
        <v>190</v>
      </c>
      <c r="B191" s="4">
        <v>40552</v>
      </c>
      <c r="C191" s="3">
        <v>1</v>
      </c>
      <c r="D191" s="3">
        <v>0</v>
      </c>
      <c r="E191" s="3">
        <v>1</v>
      </c>
      <c r="F191" s="3">
        <v>4</v>
      </c>
      <c r="G191" s="5" t="b">
        <v>0</v>
      </c>
      <c r="H191" s="3">
        <v>0</v>
      </c>
      <c r="I191" s="3">
        <v>1</v>
      </c>
      <c r="J191" s="7">
        <v>0.08</v>
      </c>
    </row>
    <row r="192" spans="1:10" ht="15" thickBot="1" x14ac:dyDescent="0.35">
      <c r="A192" s="6">
        <v>191</v>
      </c>
      <c r="B192" s="4">
        <v>40552</v>
      </c>
      <c r="C192" s="3">
        <v>1</v>
      </c>
      <c r="D192" s="3">
        <v>0</v>
      </c>
      <c r="E192" s="3">
        <v>1</v>
      </c>
      <c r="F192" s="3">
        <v>5</v>
      </c>
      <c r="G192" s="5" t="b">
        <v>0</v>
      </c>
      <c r="H192" s="3">
        <v>0</v>
      </c>
      <c r="I192" s="3">
        <v>1</v>
      </c>
      <c r="J192" s="7">
        <v>0.08</v>
      </c>
    </row>
    <row r="193" spans="1:10" ht="15" thickBot="1" x14ac:dyDescent="0.35">
      <c r="A193" s="6">
        <v>192</v>
      </c>
      <c r="B193" s="4">
        <v>40552</v>
      </c>
      <c r="C193" s="3">
        <v>1</v>
      </c>
      <c r="D193" s="3">
        <v>0</v>
      </c>
      <c r="E193" s="3">
        <v>1</v>
      </c>
      <c r="F193" s="3">
        <v>6</v>
      </c>
      <c r="G193" s="5" t="b">
        <v>0</v>
      </c>
      <c r="H193" s="3">
        <v>0</v>
      </c>
      <c r="I193" s="3">
        <v>1</v>
      </c>
      <c r="J193" s="7">
        <v>0.1</v>
      </c>
    </row>
    <row r="194" spans="1:10" ht="15" thickBot="1" x14ac:dyDescent="0.35">
      <c r="A194" s="6">
        <v>193</v>
      </c>
      <c r="B194" s="4">
        <v>40552</v>
      </c>
      <c r="C194" s="3">
        <v>1</v>
      </c>
      <c r="D194" s="3">
        <v>0</v>
      </c>
      <c r="E194" s="3">
        <v>1</v>
      </c>
      <c r="F194" s="3">
        <v>7</v>
      </c>
      <c r="G194" s="5" t="b">
        <v>0</v>
      </c>
      <c r="H194" s="3">
        <v>0</v>
      </c>
      <c r="I194" s="3">
        <v>1</v>
      </c>
      <c r="J194" s="7">
        <v>0.08</v>
      </c>
    </row>
    <row r="195" spans="1:10" ht="15" thickBot="1" x14ac:dyDescent="0.35">
      <c r="A195" s="6">
        <v>194</v>
      </c>
      <c r="B195" s="4">
        <v>40552</v>
      </c>
      <c r="C195" s="3">
        <v>1</v>
      </c>
      <c r="D195" s="3">
        <v>0</v>
      </c>
      <c r="E195" s="3">
        <v>1</v>
      </c>
      <c r="F195" s="3">
        <v>8</v>
      </c>
      <c r="G195" s="5" t="b">
        <v>0</v>
      </c>
      <c r="H195" s="3">
        <v>0</v>
      </c>
      <c r="I195" s="3">
        <v>1</v>
      </c>
      <c r="J195" s="7">
        <v>0.1</v>
      </c>
    </row>
    <row r="196" spans="1:10" ht="15" thickBot="1" x14ac:dyDescent="0.35">
      <c r="A196" s="6">
        <v>195</v>
      </c>
      <c r="B196" s="4">
        <v>40552</v>
      </c>
      <c r="C196" s="3">
        <v>1</v>
      </c>
      <c r="D196" s="3">
        <v>0</v>
      </c>
      <c r="E196" s="3">
        <v>1</v>
      </c>
      <c r="F196" s="3">
        <v>9</v>
      </c>
      <c r="G196" s="5" t="b">
        <v>0</v>
      </c>
      <c r="H196" s="3">
        <v>0</v>
      </c>
      <c r="I196" s="3">
        <v>1</v>
      </c>
      <c r="J196" s="7">
        <v>0.12</v>
      </c>
    </row>
    <row r="197" spans="1:10" ht="15" thickBot="1" x14ac:dyDescent="0.35">
      <c r="A197" s="6">
        <v>196</v>
      </c>
      <c r="B197" s="4">
        <v>40552</v>
      </c>
      <c r="C197" s="3">
        <v>1</v>
      </c>
      <c r="D197" s="3">
        <v>0</v>
      </c>
      <c r="E197" s="3">
        <v>1</v>
      </c>
      <c r="F197" s="3">
        <v>10</v>
      </c>
      <c r="G197" s="5" t="b">
        <v>0</v>
      </c>
      <c r="H197" s="3">
        <v>0</v>
      </c>
      <c r="I197" s="3">
        <v>1</v>
      </c>
      <c r="J197" s="7">
        <v>0.14000000000000001</v>
      </c>
    </row>
    <row r="198" spans="1:10" ht="15" thickBot="1" x14ac:dyDescent="0.35">
      <c r="A198" s="6">
        <v>197</v>
      </c>
      <c r="B198" s="4">
        <v>40552</v>
      </c>
      <c r="C198" s="3">
        <v>1</v>
      </c>
      <c r="D198" s="3">
        <v>0</v>
      </c>
      <c r="E198" s="3">
        <v>1</v>
      </c>
      <c r="F198" s="3">
        <v>11</v>
      </c>
      <c r="G198" s="5" t="b">
        <v>0</v>
      </c>
      <c r="H198" s="3">
        <v>0</v>
      </c>
      <c r="I198" s="3">
        <v>1</v>
      </c>
      <c r="J198" s="7">
        <v>0.16</v>
      </c>
    </row>
    <row r="199" spans="1:10" ht="15" thickBot="1" x14ac:dyDescent="0.35">
      <c r="A199" s="6">
        <v>198</v>
      </c>
      <c r="B199" s="4">
        <v>40552</v>
      </c>
      <c r="C199" s="3">
        <v>1</v>
      </c>
      <c r="D199" s="3">
        <v>0</v>
      </c>
      <c r="E199" s="3">
        <v>1</v>
      </c>
      <c r="F199" s="3">
        <v>12</v>
      </c>
      <c r="G199" s="5" t="b">
        <v>0</v>
      </c>
      <c r="H199" s="3">
        <v>0</v>
      </c>
      <c r="I199" s="3">
        <v>1</v>
      </c>
      <c r="J199" s="7">
        <v>0.18</v>
      </c>
    </row>
    <row r="200" spans="1:10" ht="15" thickBot="1" x14ac:dyDescent="0.35">
      <c r="A200" s="6">
        <v>199</v>
      </c>
      <c r="B200" s="4">
        <v>40552</v>
      </c>
      <c r="C200" s="3">
        <v>1</v>
      </c>
      <c r="D200" s="3">
        <v>0</v>
      </c>
      <c r="E200" s="3">
        <v>1</v>
      </c>
      <c r="F200" s="3">
        <v>13</v>
      </c>
      <c r="G200" s="5" t="b">
        <v>0</v>
      </c>
      <c r="H200" s="3">
        <v>0</v>
      </c>
      <c r="I200" s="3">
        <v>1</v>
      </c>
      <c r="J200" s="7">
        <v>0.2</v>
      </c>
    </row>
    <row r="201" spans="1:10" ht="15" thickBot="1" x14ac:dyDescent="0.35">
      <c r="A201" s="6">
        <v>200</v>
      </c>
      <c r="B201" s="4">
        <v>40552</v>
      </c>
      <c r="C201" s="3">
        <v>1</v>
      </c>
      <c r="D201" s="3">
        <v>0</v>
      </c>
      <c r="E201" s="3">
        <v>1</v>
      </c>
      <c r="F201" s="3">
        <v>14</v>
      </c>
      <c r="G201" s="5" t="b">
        <v>0</v>
      </c>
      <c r="H201" s="3">
        <v>0</v>
      </c>
      <c r="I201" s="3">
        <v>1</v>
      </c>
      <c r="J201" s="7">
        <v>0.22</v>
      </c>
    </row>
    <row r="202" spans="1:10" ht="15" thickBot="1" x14ac:dyDescent="0.35">
      <c r="A202" s="6">
        <v>201</v>
      </c>
      <c r="B202" s="4">
        <v>40552</v>
      </c>
      <c r="C202" s="3">
        <v>1</v>
      </c>
      <c r="D202" s="3">
        <v>0</v>
      </c>
      <c r="E202" s="3">
        <v>1</v>
      </c>
      <c r="F202" s="3">
        <v>15</v>
      </c>
      <c r="G202" s="5" t="b">
        <v>0</v>
      </c>
      <c r="H202" s="3">
        <v>0</v>
      </c>
      <c r="I202" s="3">
        <v>1</v>
      </c>
      <c r="J202" s="7">
        <v>0.22</v>
      </c>
    </row>
    <row r="203" spans="1:10" ht="15" thickBot="1" x14ac:dyDescent="0.35">
      <c r="A203" s="6">
        <v>202</v>
      </c>
      <c r="B203" s="4">
        <v>40552</v>
      </c>
      <c r="C203" s="3">
        <v>1</v>
      </c>
      <c r="D203" s="3">
        <v>0</v>
      </c>
      <c r="E203" s="3">
        <v>1</v>
      </c>
      <c r="F203" s="3">
        <v>16</v>
      </c>
      <c r="G203" s="5" t="b">
        <v>0</v>
      </c>
      <c r="H203" s="3">
        <v>0</v>
      </c>
      <c r="I203" s="3">
        <v>1</v>
      </c>
      <c r="J203" s="7">
        <v>0.2</v>
      </c>
    </row>
    <row r="204" spans="1:10" ht="15" thickBot="1" x14ac:dyDescent="0.35">
      <c r="A204" s="6">
        <v>203</v>
      </c>
      <c r="B204" s="4">
        <v>40552</v>
      </c>
      <c r="C204" s="3">
        <v>1</v>
      </c>
      <c r="D204" s="3">
        <v>0</v>
      </c>
      <c r="E204" s="3">
        <v>1</v>
      </c>
      <c r="F204" s="3">
        <v>17</v>
      </c>
      <c r="G204" s="5" t="b">
        <v>0</v>
      </c>
      <c r="H204" s="3">
        <v>0</v>
      </c>
      <c r="I204" s="3">
        <v>1</v>
      </c>
      <c r="J204" s="7">
        <v>0.18</v>
      </c>
    </row>
    <row r="205" spans="1:10" ht="15" thickBot="1" x14ac:dyDescent="0.35">
      <c r="A205" s="6">
        <v>204</v>
      </c>
      <c r="B205" s="4">
        <v>40552</v>
      </c>
      <c r="C205" s="3">
        <v>1</v>
      </c>
      <c r="D205" s="3">
        <v>0</v>
      </c>
      <c r="E205" s="3">
        <v>1</v>
      </c>
      <c r="F205" s="3">
        <v>18</v>
      </c>
      <c r="G205" s="5" t="b">
        <v>0</v>
      </c>
      <c r="H205" s="3">
        <v>0</v>
      </c>
      <c r="I205" s="3">
        <v>1</v>
      </c>
      <c r="J205" s="7">
        <v>0.16</v>
      </c>
    </row>
    <row r="206" spans="1:10" ht="15" thickBot="1" x14ac:dyDescent="0.35">
      <c r="A206" s="6">
        <v>205</v>
      </c>
      <c r="B206" s="4">
        <v>40552</v>
      </c>
      <c r="C206" s="3">
        <v>1</v>
      </c>
      <c r="D206" s="3">
        <v>0</v>
      </c>
      <c r="E206" s="3">
        <v>1</v>
      </c>
      <c r="F206" s="3">
        <v>19</v>
      </c>
      <c r="G206" s="5" t="b">
        <v>0</v>
      </c>
      <c r="H206" s="3">
        <v>0</v>
      </c>
      <c r="I206" s="3">
        <v>1</v>
      </c>
      <c r="J206" s="7">
        <v>0.16</v>
      </c>
    </row>
    <row r="207" spans="1:10" ht="15" thickBot="1" x14ac:dyDescent="0.35">
      <c r="A207" s="6">
        <v>206</v>
      </c>
      <c r="B207" s="4">
        <v>40552</v>
      </c>
      <c r="C207" s="3">
        <v>1</v>
      </c>
      <c r="D207" s="3">
        <v>0</v>
      </c>
      <c r="E207" s="3">
        <v>1</v>
      </c>
      <c r="F207" s="3">
        <v>20</v>
      </c>
      <c r="G207" s="5" t="b">
        <v>0</v>
      </c>
      <c r="H207" s="3">
        <v>0</v>
      </c>
      <c r="I207" s="3">
        <v>1</v>
      </c>
      <c r="J207" s="7">
        <v>0.14000000000000001</v>
      </c>
    </row>
    <row r="208" spans="1:10" ht="15" thickBot="1" x14ac:dyDescent="0.35">
      <c r="A208" s="6">
        <v>207</v>
      </c>
      <c r="B208" s="4">
        <v>40552</v>
      </c>
      <c r="C208" s="3">
        <v>1</v>
      </c>
      <c r="D208" s="3">
        <v>0</v>
      </c>
      <c r="E208" s="3">
        <v>1</v>
      </c>
      <c r="F208" s="3">
        <v>21</v>
      </c>
      <c r="G208" s="5" t="b">
        <v>0</v>
      </c>
      <c r="H208" s="3">
        <v>0</v>
      </c>
      <c r="I208" s="3">
        <v>1</v>
      </c>
      <c r="J208" s="7">
        <v>0.14000000000000001</v>
      </c>
    </row>
    <row r="209" spans="1:10" ht="15" thickBot="1" x14ac:dyDescent="0.35">
      <c r="A209" s="6">
        <v>208</v>
      </c>
      <c r="B209" s="4">
        <v>40552</v>
      </c>
      <c r="C209" s="3">
        <v>1</v>
      </c>
      <c r="D209" s="3">
        <v>0</v>
      </c>
      <c r="E209" s="3">
        <v>1</v>
      </c>
      <c r="F209" s="3">
        <v>22</v>
      </c>
      <c r="G209" s="5" t="b">
        <v>0</v>
      </c>
      <c r="H209" s="3">
        <v>0</v>
      </c>
      <c r="I209" s="3">
        <v>1</v>
      </c>
      <c r="J209" s="7">
        <v>0.14000000000000001</v>
      </c>
    </row>
    <row r="210" spans="1:10" ht="15" thickBot="1" x14ac:dyDescent="0.35">
      <c r="A210" s="6">
        <v>209</v>
      </c>
      <c r="B210" s="4">
        <v>40552</v>
      </c>
      <c r="C210" s="3">
        <v>1</v>
      </c>
      <c r="D210" s="3">
        <v>0</v>
      </c>
      <c r="E210" s="3">
        <v>1</v>
      </c>
      <c r="F210" s="3">
        <v>23</v>
      </c>
      <c r="G210" s="5" t="b">
        <v>0</v>
      </c>
      <c r="H210" s="3">
        <v>0</v>
      </c>
      <c r="I210" s="3">
        <v>1</v>
      </c>
      <c r="J210" s="7">
        <v>0.12</v>
      </c>
    </row>
    <row r="211" spans="1:10" ht="15" thickBot="1" x14ac:dyDescent="0.35">
      <c r="A211" s="6">
        <v>210</v>
      </c>
      <c r="B211" s="4">
        <v>40553</v>
      </c>
      <c r="C211" s="3">
        <v>1</v>
      </c>
      <c r="D211" s="3">
        <v>0</v>
      </c>
      <c r="E211" s="3">
        <v>1</v>
      </c>
      <c r="F211" s="3">
        <v>0</v>
      </c>
      <c r="G211" s="5" t="b">
        <v>0</v>
      </c>
      <c r="H211" s="3">
        <v>1</v>
      </c>
      <c r="I211" s="3">
        <v>1</v>
      </c>
      <c r="J211" s="7">
        <v>0.12</v>
      </c>
    </row>
    <row r="212" spans="1:10" ht="15" thickBot="1" x14ac:dyDescent="0.35">
      <c r="A212" s="6">
        <v>211</v>
      </c>
      <c r="B212" s="4">
        <v>40553</v>
      </c>
      <c r="C212" s="3">
        <v>1</v>
      </c>
      <c r="D212" s="3">
        <v>0</v>
      </c>
      <c r="E212" s="3">
        <v>1</v>
      </c>
      <c r="F212" s="3">
        <v>1</v>
      </c>
      <c r="G212" s="5" t="b">
        <v>0</v>
      </c>
      <c r="H212" s="3">
        <v>1</v>
      </c>
      <c r="I212" s="3">
        <v>1</v>
      </c>
      <c r="J212" s="7">
        <v>0.12</v>
      </c>
    </row>
    <row r="213" spans="1:10" ht="15" thickBot="1" x14ac:dyDescent="0.35">
      <c r="A213" s="6">
        <v>212</v>
      </c>
      <c r="B213" s="4">
        <v>40553</v>
      </c>
      <c r="C213" s="3">
        <v>1</v>
      </c>
      <c r="D213" s="3">
        <v>0</v>
      </c>
      <c r="E213" s="3">
        <v>1</v>
      </c>
      <c r="F213" s="3">
        <v>2</v>
      </c>
      <c r="G213" s="5" t="b">
        <v>0</v>
      </c>
      <c r="H213" s="3">
        <v>1</v>
      </c>
      <c r="I213" s="3">
        <v>1</v>
      </c>
      <c r="J213" s="7">
        <v>0.12</v>
      </c>
    </row>
    <row r="214" spans="1:10" ht="15" thickBot="1" x14ac:dyDescent="0.35">
      <c r="A214" s="6">
        <v>213</v>
      </c>
      <c r="B214" s="4">
        <v>40553</v>
      </c>
      <c r="C214" s="3">
        <v>1</v>
      </c>
      <c r="D214" s="3">
        <v>0</v>
      </c>
      <c r="E214" s="3">
        <v>1</v>
      </c>
      <c r="F214" s="3">
        <v>3</v>
      </c>
      <c r="G214" s="5" t="b">
        <v>0</v>
      </c>
      <c r="H214" s="3">
        <v>1</v>
      </c>
      <c r="I214" s="3">
        <v>1</v>
      </c>
      <c r="J214" s="7">
        <v>0.12</v>
      </c>
    </row>
    <row r="215" spans="1:10" ht="15" thickBot="1" x14ac:dyDescent="0.35">
      <c r="A215" s="6">
        <v>214</v>
      </c>
      <c r="B215" s="4">
        <v>40553</v>
      </c>
      <c r="C215" s="3">
        <v>1</v>
      </c>
      <c r="D215" s="3">
        <v>0</v>
      </c>
      <c r="E215" s="3">
        <v>1</v>
      </c>
      <c r="F215" s="3">
        <v>4</v>
      </c>
      <c r="G215" s="5" t="b">
        <v>0</v>
      </c>
      <c r="H215" s="3">
        <v>1</v>
      </c>
      <c r="I215" s="3">
        <v>1</v>
      </c>
      <c r="J215" s="7">
        <v>0.1</v>
      </c>
    </row>
    <row r="216" spans="1:10" ht="15" thickBot="1" x14ac:dyDescent="0.35">
      <c r="A216" s="6">
        <v>215</v>
      </c>
      <c r="B216" s="4">
        <v>40553</v>
      </c>
      <c r="C216" s="3">
        <v>1</v>
      </c>
      <c r="D216" s="3">
        <v>0</v>
      </c>
      <c r="E216" s="3">
        <v>1</v>
      </c>
      <c r="F216" s="3">
        <v>5</v>
      </c>
      <c r="G216" s="5" t="b">
        <v>0</v>
      </c>
      <c r="H216" s="3">
        <v>1</v>
      </c>
      <c r="I216" s="3">
        <v>1</v>
      </c>
      <c r="J216" s="7">
        <v>0.1</v>
      </c>
    </row>
    <row r="217" spans="1:10" ht="15" thickBot="1" x14ac:dyDescent="0.35">
      <c r="A217" s="6">
        <v>216</v>
      </c>
      <c r="B217" s="4">
        <v>40553</v>
      </c>
      <c r="C217" s="3">
        <v>1</v>
      </c>
      <c r="D217" s="3">
        <v>0</v>
      </c>
      <c r="E217" s="3">
        <v>1</v>
      </c>
      <c r="F217" s="3">
        <v>6</v>
      </c>
      <c r="G217" s="5" t="b">
        <v>0</v>
      </c>
      <c r="H217" s="3">
        <v>1</v>
      </c>
      <c r="I217" s="3">
        <v>1</v>
      </c>
      <c r="J217" s="7">
        <v>0.12</v>
      </c>
    </row>
    <row r="218" spans="1:10" ht="15" thickBot="1" x14ac:dyDescent="0.35">
      <c r="A218" s="6">
        <v>217</v>
      </c>
      <c r="B218" s="4">
        <v>40553</v>
      </c>
      <c r="C218" s="3">
        <v>1</v>
      </c>
      <c r="D218" s="3">
        <v>0</v>
      </c>
      <c r="E218" s="3">
        <v>1</v>
      </c>
      <c r="F218" s="3">
        <v>7</v>
      </c>
      <c r="G218" s="5" t="b">
        <v>0</v>
      </c>
      <c r="H218" s="3">
        <v>1</v>
      </c>
      <c r="I218" s="3">
        <v>1</v>
      </c>
      <c r="J218" s="7">
        <v>0.12</v>
      </c>
    </row>
    <row r="219" spans="1:10" ht="15" thickBot="1" x14ac:dyDescent="0.35">
      <c r="A219" s="6">
        <v>218</v>
      </c>
      <c r="B219" s="4">
        <v>40553</v>
      </c>
      <c r="C219" s="3">
        <v>1</v>
      </c>
      <c r="D219" s="3">
        <v>0</v>
      </c>
      <c r="E219" s="3">
        <v>1</v>
      </c>
      <c r="F219" s="3">
        <v>8</v>
      </c>
      <c r="G219" s="5" t="b">
        <v>0</v>
      </c>
      <c r="H219" s="3">
        <v>1</v>
      </c>
      <c r="I219" s="3">
        <v>2</v>
      </c>
      <c r="J219" s="7">
        <v>0.12</v>
      </c>
    </row>
    <row r="220" spans="1:10" ht="15" thickBot="1" x14ac:dyDescent="0.35">
      <c r="A220" s="6">
        <v>219</v>
      </c>
      <c r="B220" s="4">
        <v>40553</v>
      </c>
      <c r="C220" s="3">
        <v>1</v>
      </c>
      <c r="D220" s="3">
        <v>0</v>
      </c>
      <c r="E220" s="3">
        <v>1</v>
      </c>
      <c r="F220" s="3">
        <v>9</v>
      </c>
      <c r="G220" s="5" t="b">
        <v>0</v>
      </c>
      <c r="H220" s="3">
        <v>1</v>
      </c>
      <c r="I220" s="3">
        <v>2</v>
      </c>
      <c r="J220" s="7">
        <v>0.14000000000000001</v>
      </c>
    </row>
    <row r="221" spans="1:10" ht="15" thickBot="1" x14ac:dyDescent="0.35">
      <c r="A221" s="6">
        <v>220</v>
      </c>
      <c r="B221" s="4">
        <v>40553</v>
      </c>
      <c r="C221" s="3">
        <v>1</v>
      </c>
      <c r="D221" s="3">
        <v>0</v>
      </c>
      <c r="E221" s="3">
        <v>1</v>
      </c>
      <c r="F221" s="3">
        <v>10</v>
      </c>
      <c r="G221" s="5" t="b">
        <v>0</v>
      </c>
      <c r="H221" s="3">
        <v>1</v>
      </c>
      <c r="I221" s="3">
        <v>2</v>
      </c>
      <c r="J221" s="7">
        <v>0.14000000000000001</v>
      </c>
    </row>
    <row r="222" spans="1:10" ht="15" thickBot="1" x14ac:dyDescent="0.35">
      <c r="A222" s="6">
        <v>221</v>
      </c>
      <c r="B222" s="4">
        <v>40553</v>
      </c>
      <c r="C222" s="3">
        <v>1</v>
      </c>
      <c r="D222" s="3">
        <v>0</v>
      </c>
      <c r="E222" s="3">
        <v>1</v>
      </c>
      <c r="F222" s="3">
        <v>11</v>
      </c>
      <c r="G222" s="5" t="b">
        <v>0</v>
      </c>
      <c r="H222" s="3">
        <v>1</v>
      </c>
      <c r="I222" s="3">
        <v>2</v>
      </c>
      <c r="J222" s="7">
        <v>0.16</v>
      </c>
    </row>
    <row r="223" spans="1:10" ht="15" thickBot="1" x14ac:dyDescent="0.35">
      <c r="A223" s="6">
        <v>222</v>
      </c>
      <c r="B223" s="4">
        <v>40553</v>
      </c>
      <c r="C223" s="3">
        <v>1</v>
      </c>
      <c r="D223" s="3">
        <v>0</v>
      </c>
      <c r="E223" s="3">
        <v>1</v>
      </c>
      <c r="F223" s="3">
        <v>12</v>
      </c>
      <c r="G223" s="5" t="b">
        <v>0</v>
      </c>
      <c r="H223" s="3">
        <v>1</v>
      </c>
      <c r="I223" s="3">
        <v>2</v>
      </c>
      <c r="J223" s="7">
        <v>0.2</v>
      </c>
    </row>
    <row r="224" spans="1:10" ht="15" thickBot="1" x14ac:dyDescent="0.35">
      <c r="A224" s="6">
        <v>223</v>
      </c>
      <c r="B224" s="4">
        <v>40553</v>
      </c>
      <c r="C224" s="3">
        <v>1</v>
      </c>
      <c r="D224" s="3">
        <v>0</v>
      </c>
      <c r="E224" s="3">
        <v>1</v>
      </c>
      <c r="F224" s="3">
        <v>13</v>
      </c>
      <c r="G224" s="5" t="b">
        <v>0</v>
      </c>
      <c r="H224" s="3">
        <v>1</v>
      </c>
      <c r="I224" s="3">
        <v>2</v>
      </c>
      <c r="J224" s="7">
        <v>0.2</v>
      </c>
    </row>
    <row r="225" spans="1:10" ht="15" thickBot="1" x14ac:dyDescent="0.35">
      <c r="A225" s="6">
        <v>224</v>
      </c>
      <c r="B225" s="4">
        <v>40553</v>
      </c>
      <c r="C225" s="3">
        <v>1</v>
      </c>
      <c r="D225" s="3">
        <v>0</v>
      </c>
      <c r="E225" s="3">
        <v>1</v>
      </c>
      <c r="F225" s="3">
        <v>14</v>
      </c>
      <c r="G225" s="5" t="b">
        <v>0</v>
      </c>
      <c r="H225" s="3">
        <v>1</v>
      </c>
      <c r="I225" s="3">
        <v>2</v>
      </c>
      <c r="J225" s="7">
        <v>0.2</v>
      </c>
    </row>
    <row r="226" spans="1:10" ht="15" thickBot="1" x14ac:dyDescent="0.35">
      <c r="A226" s="6">
        <v>225</v>
      </c>
      <c r="B226" s="4">
        <v>40553</v>
      </c>
      <c r="C226" s="3">
        <v>1</v>
      </c>
      <c r="D226" s="3">
        <v>0</v>
      </c>
      <c r="E226" s="3">
        <v>1</v>
      </c>
      <c r="F226" s="3">
        <v>15</v>
      </c>
      <c r="G226" s="5" t="b">
        <v>0</v>
      </c>
      <c r="H226" s="3">
        <v>1</v>
      </c>
      <c r="I226" s="3">
        <v>2</v>
      </c>
      <c r="J226" s="7">
        <v>0.2</v>
      </c>
    </row>
    <row r="227" spans="1:10" ht="15" thickBot="1" x14ac:dyDescent="0.35">
      <c r="A227" s="6">
        <v>226</v>
      </c>
      <c r="B227" s="4">
        <v>40553</v>
      </c>
      <c r="C227" s="3">
        <v>1</v>
      </c>
      <c r="D227" s="3">
        <v>0</v>
      </c>
      <c r="E227" s="3">
        <v>1</v>
      </c>
      <c r="F227" s="3">
        <v>16</v>
      </c>
      <c r="G227" s="5" t="b">
        <v>0</v>
      </c>
      <c r="H227" s="3">
        <v>1</v>
      </c>
      <c r="I227" s="3">
        <v>1</v>
      </c>
      <c r="J227" s="7">
        <v>0.2</v>
      </c>
    </row>
    <row r="228" spans="1:10" ht="15" thickBot="1" x14ac:dyDescent="0.35">
      <c r="A228" s="6">
        <v>227</v>
      </c>
      <c r="B228" s="4">
        <v>40553</v>
      </c>
      <c r="C228" s="3">
        <v>1</v>
      </c>
      <c r="D228" s="3">
        <v>0</v>
      </c>
      <c r="E228" s="3">
        <v>1</v>
      </c>
      <c r="F228" s="3">
        <v>17</v>
      </c>
      <c r="G228" s="5" t="b">
        <v>0</v>
      </c>
      <c r="H228" s="3">
        <v>1</v>
      </c>
      <c r="I228" s="3">
        <v>1</v>
      </c>
      <c r="J228" s="7">
        <v>0.2</v>
      </c>
    </row>
    <row r="229" spans="1:10" ht="15" thickBot="1" x14ac:dyDescent="0.35">
      <c r="A229" s="6">
        <v>228</v>
      </c>
      <c r="B229" s="4">
        <v>40553</v>
      </c>
      <c r="C229" s="3">
        <v>1</v>
      </c>
      <c r="D229" s="3">
        <v>0</v>
      </c>
      <c r="E229" s="3">
        <v>1</v>
      </c>
      <c r="F229" s="3">
        <v>18</v>
      </c>
      <c r="G229" s="5" t="b">
        <v>0</v>
      </c>
      <c r="H229" s="3">
        <v>1</v>
      </c>
      <c r="I229" s="3">
        <v>1</v>
      </c>
      <c r="J229" s="7">
        <v>0.2</v>
      </c>
    </row>
    <row r="230" spans="1:10" ht="15" thickBot="1" x14ac:dyDescent="0.35">
      <c r="A230" s="6">
        <v>229</v>
      </c>
      <c r="B230" s="4">
        <v>40553</v>
      </c>
      <c r="C230" s="3">
        <v>1</v>
      </c>
      <c r="D230" s="3">
        <v>0</v>
      </c>
      <c r="E230" s="3">
        <v>1</v>
      </c>
      <c r="F230" s="3">
        <v>19</v>
      </c>
      <c r="G230" s="5" t="b">
        <v>0</v>
      </c>
      <c r="H230" s="3">
        <v>1</v>
      </c>
      <c r="I230" s="3">
        <v>1</v>
      </c>
      <c r="J230" s="7">
        <v>0.16</v>
      </c>
    </row>
    <row r="231" spans="1:10" ht="15" thickBot="1" x14ac:dyDescent="0.35">
      <c r="A231" s="6">
        <v>230</v>
      </c>
      <c r="B231" s="4">
        <v>40553</v>
      </c>
      <c r="C231" s="3">
        <v>1</v>
      </c>
      <c r="D231" s="3">
        <v>0</v>
      </c>
      <c r="E231" s="3">
        <v>1</v>
      </c>
      <c r="F231" s="3">
        <v>20</v>
      </c>
      <c r="G231" s="5" t="b">
        <v>0</v>
      </c>
      <c r="H231" s="3">
        <v>1</v>
      </c>
      <c r="I231" s="3">
        <v>1</v>
      </c>
      <c r="J231" s="7">
        <v>0.16</v>
      </c>
    </row>
    <row r="232" spans="1:10" ht="15" thickBot="1" x14ac:dyDescent="0.35">
      <c r="A232" s="6">
        <v>231</v>
      </c>
      <c r="B232" s="4">
        <v>40553</v>
      </c>
      <c r="C232" s="3">
        <v>1</v>
      </c>
      <c r="D232" s="3">
        <v>0</v>
      </c>
      <c r="E232" s="3">
        <v>1</v>
      </c>
      <c r="F232" s="3">
        <v>21</v>
      </c>
      <c r="G232" s="5" t="b">
        <v>0</v>
      </c>
      <c r="H232" s="3">
        <v>1</v>
      </c>
      <c r="I232" s="3">
        <v>1</v>
      </c>
      <c r="J232" s="7">
        <v>0.14000000000000001</v>
      </c>
    </row>
    <row r="233" spans="1:10" ht="15" thickBot="1" x14ac:dyDescent="0.35">
      <c r="A233" s="6">
        <v>232</v>
      </c>
      <c r="B233" s="4">
        <v>40553</v>
      </c>
      <c r="C233" s="3">
        <v>1</v>
      </c>
      <c r="D233" s="3">
        <v>0</v>
      </c>
      <c r="E233" s="3">
        <v>1</v>
      </c>
      <c r="F233" s="3">
        <v>22</v>
      </c>
      <c r="G233" s="5" t="b">
        <v>0</v>
      </c>
      <c r="H233" s="3">
        <v>1</v>
      </c>
      <c r="I233" s="3">
        <v>1</v>
      </c>
      <c r="J233" s="7">
        <v>0.14000000000000001</v>
      </c>
    </row>
    <row r="234" spans="1:10" ht="15" thickBot="1" x14ac:dyDescent="0.35">
      <c r="A234" s="6">
        <v>233</v>
      </c>
      <c r="B234" s="4">
        <v>40553</v>
      </c>
      <c r="C234" s="3">
        <v>1</v>
      </c>
      <c r="D234" s="3">
        <v>0</v>
      </c>
      <c r="E234" s="3">
        <v>1</v>
      </c>
      <c r="F234" s="3">
        <v>23</v>
      </c>
      <c r="G234" s="5" t="b">
        <v>0</v>
      </c>
      <c r="H234" s="3">
        <v>1</v>
      </c>
      <c r="I234" s="3">
        <v>1</v>
      </c>
      <c r="J234" s="7">
        <v>0.14000000000000001</v>
      </c>
    </row>
    <row r="235" spans="1:10" ht="15" thickBot="1" x14ac:dyDescent="0.35">
      <c r="A235" s="6">
        <v>234</v>
      </c>
      <c r="B235" s="4">
        <v>40554</v>
      </c>
      <c r="C235" s="3">
        <v>1</v>
      </c>
      <c r="D235" s="3">
        <v>0</v>
      </c>
      <c r="E235" s="3">
        <v>1</v>
      </c>
      <c r="F235" s="3">
        <v>0</v>
      </c>
      <c r="G235" s="5" t="b">
        <v>0</v>
      </c>
      <c r="H235" s="3">
        <v>2</v>
      </c>
      <c r="I235" s="3">
        <v>1</v>
      </c>
      <c r="J235" s="7">
        <v>0.14000000000000001</v>
      </c>
    </row>
    <row r="236" spans="1:10" ht="15" thickBot="1" x14ac:dyDescent="0.35">
      <c r="A236" s="6">
        <v>235</v>
      </c>
      <c r="B236" s="4">
        <v>40554</v>
      </c>
      <c r="C236" s="3">
        <v>1</v>
      </c>
      <c r="D236" s="3">
        <v>0</v>
      </c>
      <c r="E236" s="3">
        <v>1</v>
      </c>
      <c r="F236" s="3">
        <v>1</v>
      </c>
      <c r="G236" s="5" t="b">
        <v>0</v>
      </c>
      <c r="H236" s="3">
        <v>2</v>
      </c>
      <c r="I236" s="3">
        <v>1</v>
      </c>
      <c r="J236" s="7">
        <v>0.14000000000000001</v>
      </c>
    </row>
    <row r="237" spans="1:10" ht="15" thickBot="1" x14ac:dyDescent="0.35">
      <c r="A237" s="6">
        <v>236</v>
      </c>
      <c r="B237" s="4">
        <v>40554</v>
      </c>
      <c r="C237" s="3">
        <v>1</v>
      </c>
      <c r="D237" s="3">
        <v>0</v>
      </c>
      <c r="E237" s="3">
        <v>1</v>
      </c>
      <c r="F237" s="3">
        <v>2</v>
      </c>
      <c r="G237" s="5" t="b">
        <v>0</v>
      </c>
      <c r="H237" s="3">
        <v>2</v>
      </c>
      <c r="I237" s="3">
        <v>2</v>
      </c>
      <c r="J237" s="7">
        <v>0.16</v>
      </c>
    </row>
    <row r="238" spans="1:10" ht="15" thickBot="1" x14ac:dyDescent="0.35">
      <c r="A238" s="6">
        <v>237</v>
      </c>
      <c r="B238" s="4">
        <v>40554</v>
      </c>
      <c r="C238" s="3">
        <v>1</v>
      </c>
      <c r="D238" s="3">
        <v>0</v>
      </c>
      <c r="E238" s="3">
        <v>1</v>
      </c>
      <c r="F238" s="3">
        <v>5</v>
      </c>
      <c r="G238" s="5" t="b">
        <v>0</v>
      </c>
      <c r="H238" s="3">
        <v>2</v>
      </c>
      <c r="I238" s="3">
        <v>2</v>
      </c>
      <c r="J238" s="7">
        <v>0.16</v>
      </c>
    </row>
    <row r="239" spans="1:10" ht="15" thickBot="1" x14ac:dyDescent="0.35">
      <c r="A239" s="6">
        <v>238</v>
      </c>
      <c r="B239" s="4">
        <v>40554</v>
      </c>
      <c r="C239" s="3">
        <v>1</v>
      </c>
      <c r="D239" s="3">
        <v>0</v>
      </c>
      <c r="E239" s="3">
        <v>1</v>
      </c>
      <c r="F239" s="3">
        <v>6</v>
      </c>
      <c r="G239" s="5" t="b">
        <v>0</v>
      </c>
      <c r="H239" s="3">
        <v>2</v>
      </c>
      <c r="I239" s="3">
        <v>2</v>
      </c>
      <c r="J239" s="7">
        <v>0.16</v>
      </c>
    </row>
    <row r="240" spans="1:10" ht="15" thickBot="1" x14ac:dyDescent="0.35">
      <c r="A240" s="6">
        <v>239</v>
      </c>
      <c r="B240" s="4">
        <v>40554</v>
      </c>
      <c r="C240" s="3">
        <v>1</v>
      </c>
      <c r="D240" s="3">
        <v>0</v>
      </c>
      <c r="E240" s="3">
        <v>1</v>
      </c>
      <c r="F240" s="3">
        <v>7</v>
      </c>
      <c r="G240" s="5" t="b">
        <v>0</v>
      </c>
      <c r="H240" s="3">
        <v>2</v>
      </c>
      <c r="I240" s="3">
        <v>2</v>
      </c>
      <c r="J240" s="7">
        <v>0.16</v>
      </c>
    </row>
    <row r="241" spans="1:10" ht="15" thickBot="1" x14ac:dyDescent="0.35">
      <c r="A241" s="6">
        <v>240</v>
      </c>
      <c r="B241" s="4">
        <v>40554</v>
      </c>
      <c r="C241" s="3">
        <v>1</v>
      </c>
      <c r="D241" s="3">
        <v>0</v>
      </c>
      <c r="E241" s="3">
        <v>1</v>
      </c>
      <c r="F241" s="3">
        <v>8</v>
      </c>
      <c r="G241" s="5" t="b">
        <v>0</v>
      </c>
      <c r="H241" s="3">
        <v>2</v>
      </c>
      <c r="I241" s="3">
        <v>2</v>
      </c>
      <c r="J241" s="7">
        <v>0.18</v>
      </c>
    </row>
    <row r="242" spans="1:10" ht="15" thickBot="1" x14ac:dyDescent="0.35">
      <c r="A242" s="6">
        <v>241</v>
      </c>
      <c r="B242" s="4">
        <v>40554</v>
      </c>
      <c r="C242" s="3">
        <v>1</v>
      </c>
      <c r="D242" s="3">
        <v>0</v>
      </c>
      <c r="E242" s="3">
        <v>1</v>
      </c>
      <c r="F242" s="3">
        <v>9</v>
      </c>
      <c r="G242" s="5" t="b">
        <v>0</v>
      </c>
      <c r="H242" s="3">
        <v>2</v>
      </c>
      <c r="I242" s="3">
        <v>2</v>
      </c>
      <c r="J242" s="7">
        <v>0.18</v>
      </c>
    </row>
    <row r="243" spans="1:10" ht="15" thickBot="1" x14ac:dyDescent="0.35">
      <c r="A243" s="6">
        <v>242</v>
      </c>
      <c r="B243" s="4">
        <v>40554</v>
      </c>
      <c r="C243" s="3">
        <v>1</v>
      </c>
      <c r="D243" s="3">
        <v>0</v>
      </c>
      <c r="E243" s="3">
        <v>1</v>
      </c>
      <c r="F243" s="3">
        <v>10</v>
      </c>
      <c r="G243" s="5" t="b">
        <v>0</v>
      </c>
      <c r="H243" s="3">
        <v>2</v>
      </c>
      <c r="I243" s="3">
        <v>2</v>
      </c>
      <c r="J243" s="7">
        <v>0.2</v>
      </c>
    </row>
    <row r="244" spans="1:10" ht="15" thickBot="1" x14ac:dyDescent="0.35">
      <c r="A244" s="6">
        <v>243</v>
      </c>
      <c r="B244" s="4">
        <v>40554</v>
      </c>
      <c r="C244" s="3">
        <v>1</v>
      </c>
      <c r="D244" s="3">
        <v>0</v>
      </c>
      <c r="E244" s="3">
        <v>1</v>
      </c>
      <c r="F244" s="3">
        <v>11</v>
      </c>
      <c r="G244" s="5" t="b">
        <v>0</v>
      </c>
      <c r="H244" s="3">
        <v>2</v>
      </c>
      <c r="I244" s="3">
        <v>2</v>
      </c>
      <c r="J244" s="7">
        <v>0.2</v>
      </c>
    </row>
    <row r="245" spans="1:10" ht="15" thickBot="1" x14ac:dyDescent="0.35">
      <c r="A245" s="6">
        <v>244</v>
      </c>
      <c r="B245" s="4">
        <v>40554</v>
      </c>
      <c r="C245" s="3">
        <v>1</v>
      </c>
      <c r="D245" s="3">
        <v>0</v>
      </c>
      <c r="E245" s="3">
        <v>1</v>
      </c>
      <c r="F245" s="3">
        <v>12</v>
      </c>
      <c r="G245" s="5" t="b">
        <v>0</v>
      </c>
      <c r="H245" s="3">
        <v>2</v>
      </c>
      <c r="I245" s="3">
        <v>2</v>
      </c>
      <c r="J245" s="7">
        <v>0.2</v>
      </c>
    </row>
    <row r="246" spans="1:10" ht="15" thickBot="1" x14ac:dyDescent="0.35">
      <c r="A246" s="6">
        <v>245</v>
      </c>
      <c r="B246" s="4">
        <v>40554</v>
      </c>
      <c r="C246" s="3">
        <v>1</v>
      </c>
      <c r="D246" s="3">
        <v>0</v>
      </c>
      <c r="E246" s="3">
        <v>1</v>
      </c>
      <c r="F246" s="3">
        <v>13</v>
      </c>
      <c r="G246" s="5" t="b">
        <v>0</v>
      </c>
      <c r="H246" s="3">
        <v>2</v>
      </c>
      <c r="I246" s="3">
        <v>2</v>
      </c>
      <c r="J246" s="7">
        <v>0.2</v>
      </c>
    </row>
    <row r="247" spans="1:10" ht="15" thickBot="1" x14ac:dyDescent="0.35">
      <c r="A247" s="6">
        <v>246</v>
      </c>
      <c r="B247" s="4">
        <v>40554</v>
      </c>
      <c r="C247" s="3">
        <v>1</v>
      </c>
      <c r="D247" s="3">
        <v>0</v>
      </c>
      <c r="E247" s="3">
        <v>1</v>
      </c>
      <c r="F247" s="3">
        <v>14</v>
      </c>
      <c r="G247" s="5" t="b">
        <v>0</v>
      </c>
      <c r="H247" s="3">
        <v>2</v>
      </c>
      <c r="I247" s="3">
        <v>2</v>
      </c>
      <c r="J247" s="7">
        <v>0.2</v>
      </c>
    </row>
    <row r="248" spans="1:10" ht="15" thickBot="1" x14ac:dyDescent="0.35">
      <c r="A248" s="6">
        <v>247</v>
      </c>
      <c r="B248" s="4">
        <v>40554</v>
      </c>
      <c r="C248" s="3">
        <v>1</v>
      </c>
      <c r="D248" s="3">
        <v>0</v>
      </c>
      <c r="E248" s="3">
        <v>1</v>
      </c>
      <c r="F248" s="3">
        <v>15</v>
      </c>
      <c r="G248" s="5" t="b">
        <v>0</v>
      </c>
      <c r="H248" s="3">
        <v>2</v>
      </c>
      <c r="I248" s="3">
        <v>2</v>
      </c>
      <c r="J248" s="7">
        <v>0.16</v>
      </c>
    </row>
    <row r="249" spans="1:10" ht="15" thickBot="1" x14ac:dyDescent="0.35">
      <c r="A249" s="6">
        <v>248</v>
      </c>
      <c r="B249" s="4">
        <v>40554</v>
      </c>
      <c r="C249" s="3">
        <v>1</v>
      </c>
      <c r="D249" s="3">
        <v>0</v>
      </c>
      <c r="E249" s="3">
        <v>1</v>
      </c>
      <c r="F249" s="3">
        <v>16</v>
      </c>
      <c r="G249" s="5" t="b">
        <v>0</v>
      </c>
      <c r="H249" s="3">
        <v>2</v>
      </c>
      <c r="I249" s="3">
        <v>2</v>
      </c>
      <c r="J249" s="7">
        <v>0.16</v>
      </c>
    </row>
    <row r="250" spans="1:10" ht="15" thickBot="1" x14ac:dyDescent="0.35">
      <c r="A250" s="6">
        <v>249</v>
      </c>
      <c r="B250" s="4">
        <v>40554</v>
      </c>
      <c r="C250" s="3">
        <v>1</v>
      </c>
      <c r="D250" s="3">
        <v>0</v>
      </c>
      <c r="E250" s="3">
        <v>1</v>
      </c>
      <c r="F250" s="3">
        <v>17</v>
      </c>
      <c r="G250" s="5" t="b">
        <v>0</v>
      </c>
      <c r="H250" s="3">
        <v>2</v>
      </c>
      <c r="I250" s="3">
        <v>2</v>
      </c>
      <c r="J250" s="7">
        <v>0.16</v>
      </c>
    </row>
    <row r="251" spans="1:10" ht="15" thickBot="1" x14ac:dyDescent="0.35">
      <c r="A251" s="6">
        <v>250</v>
      </c>
      <c r="B251" s="4">
        <v>40554</v>
      </c>
      <c r="C251" s="3">
        <v>1</v>
      </c>
      <c r="D251" s="3">
        <v>0</v>
      </c>
      <c r="E251" s="3">
        <v>1</v>
      </c>
      <c r="F251" s="3">
        <v>18</v>
      </c>
      <c r="G251" s="5" t="b">
        <v>0</v>
      </c>
      <c r="H251" s="3">
        <v>2</v>
      </c>
      <c r="I251" s="3">
        <v>3</v>
      </c>
      <c r="J251" s="7">
        <v>0.16</v>
      </c>
    </row>
    <row r="252" spans="1:10" ht="15" thickBot="1" x14ac:dyDescent="0.35">
      <c r="A252" s="6">
        <v>251</v>
      </c>
      <c r="B252" s="4">
        <v>40554</v>
      </c>
      <c r="C252" s="3">
        <v>1</v>
      </c>
      <c r="D252" s="3">
        <v>0</v>
      </c>
      <c r="E252" s="3">
        <v>1</v>
      </c>
      <c r="F252" s="3">
        <v>19</v>
      </c>
      <c r="G252" s="5" t="b">
        <v>0</v>
      </c>
      <c r="H252" s="3">
        <v>2</v>
      </c>
      <c r="I252" s="3">
        <v>3</v>
      </c>
      <c r="J252" s="7">
        <v>0.16</v>
      </c>
    </row>
    <row r="253" spans="1:10" ht="15" thickBot="1" x14ac:dyDescent="0.35">
      <c r="A253" s="6">
        <v>252</v>
      </c>
      <c r="B253" s="4">
        <v>40554</v>
      </c>
      <c r="C253" s="3">
        <v>1</v>
      </c>
      <c r="D253" s="3">
        <v>0</v>
      </c>
      <c r="E253" s="3">
        <v>1</v>
      </c>
      <c r="F253" s="3">
        <v>20</v>
      </c>
      <c r="G253" s="5" t="b">
        <v>0</v>
      </c>
      <c r="H253" s="3">
        <v>2</v>
      </c>
      <c r="I253" s="3">
        <v>3</v>
      </c>
      <c r="J253" s="7">
        <v>0.16</v>
      </c>
    </row>
    <row r="254" spans="1:10" ht="15" thickBot="1" x14ac:dyDescent="0.35">
      <c r="A254" s="6">
        <v>253</v>
      </c>
      <c r="B254" s="4">
        <v>40554</v>
      </c>
      <c r="C254" s="3">
        <v>1</v>
      </c>
      <c r="D254" s="3">
        <v>0</v>
      </c>
      <c r="E254" s="3">
        <v>1</v>
      </c>
      <c r="F254" s="3">
        <v>21</v>
      </c>
      <c r="G254" s="5" t="b">
        <v>0</v>
      </c>
      <c r="H254" s="3">
        <v>2</v>
      </c>
      <c r="I254" s="3">
        <v>3</v>
      </c>
      <c r="J254" s="7">
        <v>0.16</v>
      </c>
    </row>
    <row r="255" spans="1:10" ht="15" thickBot="1" x14ac:dyDescent="0.35">
      <c r="A255" s="6">
        <v>254</v>
      </c>
      <c r="B255" s="4">
        <v>40554</v>
      </c>
      <c r="C255" s="3">
        <v>1</v>
      </c>
      <c r="D255" s="3">
        <v>0</v>
      </c>
      <c r="E255" s="3">
        <v>1</v>
      </c>
      <c r="F255" s="3">
        <v>22</v>
      </c>
      <c r="G255" s="5" t="b">
        <v>0</v>
      </c>
      <c r="H255" s="3">
        <v>2</v>
      </c>
      <c r="I255" s="3">
        <v>3</v>
      </c>
      <c r="J255" s="7">
        <v>0.16</v>
      </c>
    </row>
    <row r="256" spans="1:10" ht="15" thickBot="1" x14ac:dyDescent="0.35">
      <c r="A256" s="6">
        <v>255</v>
      </c>
      <c r="B256" s="4">
        <v>40554</v>
      </c>
      <c r="C256" s="3">
        <v>1</v>
      </c>
      <c r="D256" s="3">
        <v>0</v>
      </c>
      <c r="E256" s="3">
        <v>1</v>
      </c>
      <c r="F256" s="3">
        <v>23</v>
      </c>
      <c r="G256" s="5" t="b">
        <v>0</v>
      </c>
      <c r="H256" s="3">
        <v>2</v>
      </c>
      <c r="I256" s="3">
        <v>3</v>
      </c>
      <c r="J256" s="7">
        <v>0.16</v>
      </c>
    </row>
    <row r="257" spans="1:10" ht="15" thickBot="1" x14ac:dyDescent="0.35">
      <c r="A257" s="6">
        <v>256</v>
      </c>
      <c r="B257" s="4">
        <v>40555</v>
      </c>
      <c r="C257" s="3">
        <v>1</v>
      </c>
      <c r="D257" s="3">
        <v>0</v>
      </c>
      <c r="E257" s="3">
        <v>1</v>
      </c>
      <c r="F257" s="3">
        <v>0</v>
      </c>
      <c r="G257" s="5" t="b">
        <v>0</v>
      </c>
      <c r="H257" s="3">
        <v>3</v>
      </c>
      <c r="I257" s="3">
        <v>2</v>
      </c>
      <c r="J257" s="7">
        <v>0.16</v>
      </c>
    </row>
    <row r="258" spans="1:10" ht="15" thickBot="1" x14ac:dyDescent="0.35">
      <c r="A258" s="6">
        <v>257</v>
      </c>
      <c r="B258" s="4">
        <v>40555</v>
      </c>
      <c r="C258" s="3">
        <v>1</v>
      </c>
      <c r="D258" s="3">
        <v>0</v>
      </c>
      <c r="E258" s="3">
        <v>1</v>
      </c>
      <c r="F258" s="3">
        <v>1</v>
      </c>
      <c r="G258" s="5" t="b">
        <v>0</v>
      </c>
      <c r="H258" s="3">
        <v>3</v>
      </c>
      <c r="I258" s="3">
        <v>2</v>
      </c>
      <c r="J258" s="7">
        <v>0.16</v>
      </c>
    </row>
    <row r="259" spans="1:10" ht="15" thickBot="1" x14ac:dyDescent="0.35">
      <c r="A259" s="6">
        <v>258</v>
      </c>
      <c r="B259" s="4">
        <v>40555</v>
      </c>
      <c r="C259" s="3">
        <v>1</v>
      </c>
      <c r="D259" s="3">
        <v>0</v>
      </c>
      <c r="E259" s="3">
        <v>1</v>
      </c>
      <c r="F259" s="3">
        <v>2</v>
      </c>
      <c r="G259" s="5" t="b">
        <v>0</v>
      </c>
      <c r="H259" s="3">
        <v>3</v>
      </c>
      <c r="I259" s="3">
        <v>1</v>
      </c>
      <c r="J259" s="7">
        <v>0.14000000000000001</v>
      </c>
    </row>
    <row r="260" spans="1:10" ht="15" thickBot="1" x14ac:dyDescent="0.35">
      <c r="A260" s="6">
        <v>259</v>
      </c>
      <c r="B260" s="4">
        <v>40555</v>
      </c>
      <c r="C260" s="3">
        <v>1</v>
      </c>
      <c r="D260" s="3">
        <v>0</v>
      </c>
      <c r="E260" s="3">
        <v>1</v>
      </c>
      <c r="F260" s="3">
        <v>5</v>
      </c>
      <c r="G260" s="5" t="b">
        <v>0</v>
      </c>
      <c r="H260" s="3">
        <v>3</v>
      </c>
      <c r="I260" s="3">
        <v>1</v>
      </c>
      <c r="J260" s="7">
        <v>0.14000000000000001</v>
      </c>
    </row>
    <row r="261" spans="1:10" ht="15" thickBot="1" x14ac:dyDescent="0.35">
      <c r="A261" s="6">
        <v>260</v>
      </c>
      <c r="B261" s="4">
        <v>40555</v>
      </c>
      <c r="C261" s="3">
        <v>1</v>
      </c>
      <c r="D261" s="3">
        <v>0</v>
      </c>
      <c r="E261" s="3">
        <v>1</v>
      </c>
      <c r="F261" s="3">
        <v>6</v>
      </c>
      <c r="G261" s="5" t="b">
        <v>0</v>
      </c>
      <c r="H261" s="3">
        <v>3</v>
      </c>
      <c r="I261" s="3">
        <v>1</v>
      </c>
      <c r="J261" s="7">
        <v>0.12</v>
      </c>
    </row>
    <row r="262" spans="1:10" ht="15" thickBot="1" x14ac:dyDescent="0.35">
      <c r="A262" s="6">
        <v>261</v>
      </c>
      <c r="B262" s="4">
        <v>40555</v>
      </c>
      <c r="C262" s="3">
        <v>1</v>
      </c>
      <c r="D262" s="3">
        <v>0</v>
      </c>
      <c r="E262" s="3">
        <v>1</v>
      </c>
      <c r="F262" s="3">
        <v>7</v>
      </c>
      <c r="G262" s="5" t="b">
        <v>0</v>
      </c>
      <c r="H262" s="3">
        <v>3</v>
      </c>
      <c r="I262" s="3">
        <v>1</v>
      </c>
      <c r="J262" s="7">
        <v>0.14000000000000001</v>
      </c>
    </row>
    <row r="263" spans="1:10" ht="15" thickBot="1" x14ac:dyDescent="0.35">
      <c r="A263" s="6">
        <v>262</v>
      </c>
      <c r="B263" s="4">
        <v>40555</v>
      </c>
      <c r="C263" s="3">
        <v>1</v>
      </c>
      <c r="D263" s="3">
        <v>0</v>
      </c>
      <c r="E263" s="3">
        <v>1</v>
      </c>
      <c r="F263" s="3">
        <v>8</v>
      </c>
      <c r="G263" s="5" t="b">
        <v>0</v>
      </c>
      <c r="H263" s="3">
        <v>3</v>
      </c>
      <c r="I263" s="3">
        <v>1</v>
      </c>
      <c r="J263" s="7">
        <v>0.16</v>
      </c>
    </row>
    <row r="264" spans="1:10" ht="15" thickBot="1" x14ac:dyDescent="0.35">
      <c r="A264" s="6">
        <v>263</v>
      </c>
      <c r="B264" s="4">
        <v>40555</v>
      </c>
      <c r="C264" s="3">
        <v>1</v>
      </c>
      <c r="D264" s="3">
        <v>0</v>
      </c>
      <c r="E264" s="3">
        <v>1</v>
      </c>
      <c r="F264" s="3">
        <v>9</v>
      </c>
      <c r="G264" s="5" t="b">
        <v>0</v>
      </c>
      <c r="H264" s="3">
        <v>3</v>
      </c>
      <c r="I264" s="3">
        <v>1</v>
      </c>
      <c r="J264" s="7">
        <v>0.16</v>
      </c>
    </row>
    <row r="265" spans="1:10" ht="15" thickBot="1" x14ac:dyDescent="0.35">
      <c r="A265" s="6">
        <v>264</v>
      </c>
      <c r="B265" s="4">
        <v>40555</v>
      </c>
      <c r="C265" s="3">
        <v>1</v>
      </c>
      <c r="D265" s="3">
        <v>0</v>
      </c>
      <c r="E265" s="3">
        <v>1</v>
      </c>
      <c r="F265" s="3">
        <v>10</v>
      </c>
      <c r="G265" s="5" t="b">
        <v>0</v>
      </c>
      <c r="H265" s="3">
        <v>3</v>
      </c>
      <c r="I265" s="3">
        <v>1</v>
      </c>
      <c r="J265" s="7">
        <v>0.18</v>
      </c>
    </row>
    <row r="266" spans="1:10" ht="15" thickBot="1" x14ac:dyDescent="0.35">
      <c r="A266" s="6">
        <v>265</v>
      </c>
      <c r="B266" s="4">
        <v>40555</v>
      </c>
      <c r="C266" s="3">
        <v>1</v>
      </c>
      <c r="D266" s="3">
        <v>0</v>
      </c>
      <c r="E266" s="3">
        <v>1</v>
      </c>
      <c r="F266" s="3">
        <v>11</v>
      </c>
      <c r="G266" s="5" t="b">
        <v>0</v>
      </c>
      <c r="H266" s="3">
        <v>3</v>
      </c>
      <c r="I266" s="3">
        <v>1</v>
      </c>
      <c r="J266" s="7">
        <v>0.2</v>
      </c>
    </row>
    <row r="267" spans="1:10" ht="15" thickBot="1" x14ac:dyDescent="0.35">
      <c r="A267" s="6">
        <v>266</v>
      </c>
      <c r="B267" s="4">
        <v>40555</v>
      </c>
      <c r="C267" s="3">
        <v>1</v>
      </c>
      <c r="D267" s="3">
        <v>0</v>
      </c>
      <c r="E267" s="3">
        <v>1</v>
      </c>
      <c r="F267" s="3">
        <v>12</v>
      </c>
      <c r="G267" s="5" t="b">
        <v>0</v>
      </c>
      <c r="H267" s="3">
        <v>3</v>
      </c>
      <c r="I267" s="3">
        <v>1</v>
      </c>
      <c r="J267" s="7">
        <v>0.2</v>
      </c>
    </row>
    <row r="268" spans="1:10" ht="15" thickBot="1" x14ac:dyDescent="0.35">
      <c r="A268" s="6">
        <v>267</v>
      </c>
      <c r="B268" s="4">
        <v>40555</v>
      </c>
      <c r="C268" s="3">
        <v>1</v>
      </c>
      <c r="D268" s="3">
        <v>0</v>
      </c>
      <c r="E268" s="3">
        <v>1</v>
      </c>
      <c r="F268" s="3">
        <v>13</v>
      </c>
      <c r="G268" s="5" t="b">
        <v>0</v>
      </c>
      <c r="H268" s="3">
        <v>3</v>
      </c>
      <c r="I268" s="3">
        <v>1</v>
      </c>
      <c r="J268" s="7">
        <v>0.22</v>
      </c>
    </row>
    <row r="269" spans="1:10" ht="15" thickBot="1" x14ac:dyDescent="0.35">
      <c r="A269" s="6">
        <v>268</v>
      </c>
      <c r="B269" s="4">
        <v>40555</v>
      </c>
      <c r="C269" s="3">
        <v>1</v>
      </c>
      <c r="D269" s="3">
        <v>0</v>
      </c>
      <c r="E269" s="3">
        <v>1</v>
      </c>
      <c r="F269" s="3">
        <v>14</v>
      </c>
      <c r="G269" s="5" t="b">
        <v>0</v>
      </c>
      <c r="H269" s="3">
        <v>3</v>
      </c>
      <c r="I269" s="3">
        <v>1</v>
      </c>
      <c r="J269" s="7">
        <v>0.2</v>
      </c>
    </row>
    <row r="270" spans="1:10" ht="15" thickBot="1" x14ac:dyDescent="0.35">
      <c r="A270" s="6">
        <v>269</v>
      </c>
      <c r="B270" s="4">
        <v>40555</v>
      </c>
      <c r="C270" s="3">
        <v>1</v>
      </c>
      <c r="D270" s="3">
        <v>0</v>
      </c>
      <c r="E270" s="3">
        <v>1</v>
      </c>
      <c r="F270" s="3">
        <v>15</v>
      </c>
      <c r="G270" s="5" t="b">
        <v>0</v>
      </c>
      <c r="H270" s="3">
        <v>3</v>
      </c>
      <c r="I270" s="3">
        <v>1</v>
      </c>
      <c r="J270" s="7">
        <v>0.2</v>
      </c>
    </row>
    <row r="271" spans="1:10" ht="15" thickBot="1" x14ac:dyDescent="0.35">
      <c r="A271" s="6">
        <v>270</v>
      </c>
      <c r="B271" s="4">
        <v>40555</v>
      </c>
      <c r="C271" s="3">
        <v>1</v>
      </c>
      <c r="D271" s="3">
        <v>0</v>
      </c>
      <c r="E271" s="3">
        <v>1</v>
      </c>
      <c r="F271" s="3">
        <v>16</v>
      </c>
      <c r="G271" s="5" t="b">
        <v>0</v>
      </c>
      <c r="H271" s="3">
        <v>3</v>
      </c>
      <c r="I271" s="3">
        <v>1</v>
      </c>
      <c r="J271" s="7">
        <v>0.22</v>
      </c>
    </row>
    <row r="272" spans="1:10" ht="15" thickBot="1" x14ac:dyDescent="0.35">
      <c r="A272" s="6">
        <v>271</v>
      </c>
      <c r="B272" s="4">
        <v>40555</v>
      </c>
      <c r="C272" s="3">
        <v>1</v>
      </c>
      <c r="D272" s="3">
        <v>0</v>
      </c>
      <c r="E272" s="3">
        <v>1</v>
      </c>
      <c r="F272" s="3">
        <v>17</v>
      </c>
      <c r="G272" s="5" t="b">
        <v>0</v>
      </c>
      <c r="H272" s="3">
        <v>3</v>
      </c>
      <c r="I272" s="3">
        <v>1</v>
      </c>
      <c r="J272" s="7">
        <v>0.2</v>
      </c>
    </row>
    <row r="273" spans="1:10" ht="15" thickBot="1" x14ac:dyDescent="0.35">
      <c r="A273" s="6">
        <v>272</v>
      </c>
      <c r="B273" s="4">
        <v>40555</v>
      </c>
      <c r="C273" s="3">
        <v>1</v>
      </c>
      <c r="D273" s="3">
        <v>0</v>
      </c>
      <c r="E273" s="3">
        <v>1</v>
      </c>
      <c r="F273" s="3">
        <v>18</v>
      </c>
      <c r="G273" s="5" t="b">
        <v>0</v>
      </c>
      <c r="H273" s="3">
        <v>3</v>
      </c>
      <c r="I273" s="3">
        <v>1</v>
      </c>
      <c r="J273" s="7">
        <v>0.2</v>
      </c>
    </row>
    <row r="274" spans="1:10" ht="15" thickBot="1" x14ac:dyDescent="0.35">
      <c r="A274" s="6">
        <v>273</v>
      </c>
      <c r="B274" s="4">
        <v>40555</v>
      </c>
      <c r="C274" s="3">
        <v>1</v>
      </c>
      <c r="D274" s="3">
        <v>0</v>
      </c>
      <c r="E274" s="3">
        <v>1</v>
      </c>
      <c r="F274" s="3">
        <v>19</v>
      </c>
      <c r="G274" s="5" t="b">
        <v>0</v>
      </c>
      <c r="H274" s="3">
        <v>3</v>
      </c>
      <c r="I274" s="3">
        <v>1</v>
      </c>
      <c r="J274" s="7">
        <v>0.18</v>
      </c>
    </row>
    <row r="275" spans="1:10" ht="15" thickBot="1" x14ac:dyDescent="0.35">
      <c r="A275" s="6">
        <v>274</v>
      </c>
      <c r="B275" s="4">
        <v>40555</v>
      </c>
      <c r="C275" s="3">
        <v>1</v>
      </c>
      <c r="D275" s="3">
        <v>0</v>
      </c>
      <c r="E275" s="3">
        <v>1</v>
      </c>
      <c r="F275" s="3">
        <v>20</v>
      </c>
      <c r="G275" s="5" t="b">
        <v>0</v>
      </c>
      <c r="H275" s="3">
        <v>3</v>
      </c>
      <c r="I275" s="3">
        <v>1</v>
      </c>
      <c r="J275" s="7">
        <v>0.16</v>
      </c>
    </row>
    <row r="276" spans="1:10" ht="15" thickBot="1" x14ac:dyDescent="0.35">
      <c r="A276" s="6">
        <v>275</v>
      </c>
      <c r="B276" s="4">
        <v>40555</v>
      </c>
      <c r="C276" s="3">
        <v>1</v>
      </c>
      <c r="D276" s="3">
        <v>0</v>
      </c>
      <c r="E276" s="3">
        <v>1</v>
      </c>
      <c r="F276" s="3">
        <v>21</v>
      </c>
      <c r="G276" s="5" t="b">
        <v>0</v>
      </c>
      <c r="H276" s="3">
        <v>3</v>
      </c>
      <c r="I276" s="3">
        <v>1</v>
      </c>
      <c r="J276" s="7">
        <v>0.16</v>
      </c>
    </row>
    <row r="277" spans="1:10" ht="15" thickBot="1" x14ac:dyDescent="0.35">
      <c r="A277" s="6">
        <v>276</v>
      </c>
      <c r="B277" s="4">
        <v>40555</v>
      </c>
      <c r="C277" s="3">
        <v>1</v>
      </c>
      <c r="D277" s="3">
        <v>0</v>
      </c>
      <c r="E277" s="3">
        <v>1</v>
      </c>
      <c r="F277" s="3">
        <v>22</v>
      </c>
      <c r="G277" s="5" t="b">
        <v>0</v>
      </c>
      <c r="H277" s="3">
        <v>3</v>
      </c>
      <c r="I277" s="3">
        <v>1</v>
      </c>
      <c r="J277" s="7">
        <v>0.16</v>
      </c>
    </row>
    <row r="278" spans="1:10" ht="15" thickBot="1" x14ac:dyDescent="0.35">
      <c r="A278" s="6">
        <v>277</v>
      </c>
      <c r="B278" s="4">
        <v>40555</v>
      </c>
      <c r="C278" s="3">
        <v>1</v>
      </c>
      <c r="D278" s="3">
        <v>0</v>
      </c>
      <c r="E278" s="3">
        <v>1</v>
      </c>
      <c r="F278" s="3">
        <v>23</v>
      </c>
      <c r="G278" s="5" t="b">
        <v>0</v>
      </c>
      <c r="H278" s="3">
        <v>3</v>
      </c>
      <c r="I278" s="3">
        <v>1</v>
      </c>
      <c r="J278" s="7">
        <v>0.14000000000000001</v>
      </c>
    </row>
    <row r="279" spans="1:10" ht="15" thickBot="1" x14ac:dyDescent="0.35">
      <c r="A279" s="6">
        <v>278</v>
      </c>
      <c r="B279" s="4">
        <v>40556</v>
      </c>
      <c r="C279" s="3">
        <v>1</v>
      </c>
      <c r="D279" s="3">
        <v>0</v>
      </c>
      <c r="E279" s="3">
        <v>1</v>
      </c>
      <c r="F279" s="3">
        <v>0</v>
      </c>
      <c r="G279" s="5" t="b">
        <v>0</v>
      </c>
      <c r="H279" s="3">
        <v>4</v>
      </c>
      <c r="I279" s="3">
        <v>1</v>
      </c>
      <c r="J279" s="7">
        <v>0.14000000000000001</v>
      </c>
    </row>
    <row r="280" spans="1:10" ht="15" thickBot="1" x14ac:dyDescent="0.35">
      <c r="A280" s="6">
        <v>279</v>
      </c>
      <c r="B280" s="4">
        <v>40556</v>
      </c>
      <c r="C280" s="3">
        <v>1</v>
      </c>
      <c r="D280" s="3">
        <v>0</v>
      </c>
      <c r="E280" s="3">
        <v>1</v>
      </c>
      <c r="F280" s="3">
        <v>1</v>
      </c>
      <c r="G280" s="5" t="b">
        <v>0</v>
      </c>
      <c r="H280" s="3">
        <v>4</v>
      </c>
      <c r="I280" s="3">
        <v>1</v>
      </c>
      <c r="J280" s="7">
        <v>0.14000000000000001</v>
      </c>
    </row>
    <row r="281" spans="1:10" ht="15" thickBot="1" x14ac:dyDescent="0.35">
      <c r="A281" s="6">
        <v>280</v>
      </c>
      <c r="B281" s="4">
        <v>40556</v>
      </c>
      <c r="C281" s="3">
        <v>1</v>
      </c>
      <c r="D281" s="3">
        <v>0</v>
      </c>
      <c r="E281" s="3">
        <v>1</v>
      </c>
      <c r="F281" s="3">
        <v>2</v>
      </c>
      <c r="G281" s="5" t="b">
        <v>0</v>
      </c>
      <c r="H281" s="3">
        <v>4</v>
      </c>
      <c r="I281" s="3">
        <v>1</v>
      </c>
      <c r="J281" s="7">
        <v>0.14000000000000001</v>
      </c>
    </row>
    <row r="282" spans="1:10" ht="15" thickBot="1" x14ac:dyDescent="0.35">
      <c r="A282" s="6">
        <v>281</v>
      </c>
      <c r="B282" s="4">
        <v>40556</v>
      </c>
      <c r="C282" s="3">
        <v>1</v>
      </c>
      <c r="D282" s="3">
        <v>0</v>
      </c>
      <c r="E282" s="3">
        <v>1</v>
      </c>
      <c r="F282" s="3">
        <v>3</v>
      </c>
      <c r="G282" s="5" t="b">
        <v>0</v>
      </c>
      <c r="H282" s="3">
        <v>4</v>
      </c>
      <c r="I282" s="3">
        <v>1</v>
      </c>
      <c r="J282" s="7">
        <v>0.14000000000000001</v>
      </c>
    </row>
    <row r="283" spans="1:10" ht="15" thickBot="1" x14ac:dyDescent="0.35">
      <c r="A283" s="6">
        <v>282</v>
      </c>
      <c r="B283" s="4">
        <v>40556</v>
      </c>
      <c r="C283" s="3">
        <v>1</v>
      </c>
      <c r="D283" s="3">
        <v>0</v>
      </c>
      <c r="E283" s="3">
        <v>1</v>
      </c>
      <c r="F283" s="3">
        <v>4</v>
      </c>
      <c r="G283" s="5" t="b">
        <v>0</v>
      </c>
      <c r="H283" s="3">
        <v>4</v>
      </c>
      <c r="I283" s="3">
        <v>1</v>
      </c>
      <c r="J283" s="7">
        <v>0.14000000000000001</v>
      </c>
    </row>
    <row r="284" spans="1:10" ht="15" thickBot="1" x14ac:dyDescent="0.35">
      <c r="A284" s="6">
        <v>283</v>
      </c>
      <c r="B284" s="4">
        <v>40556</v>
      </c>
      <c r="C284" s="3">
        <v>1</v>
      </c>
      <c r="D284" s="3">
        <v>0</v>
      </c>
      <c r="E284" s="3">
        <v>1</v>
      </c>
      <c r="F284" s="3">
        <v>5</v>
      </c>
      <c r="G284" s="5" t="b">
        <v>0</v>
      </c>
      <c r="H284" s="3">
        <v>4</v>
      </c>
      <c r="I284" s="3">
        <v>1</v>
      </c>
      <c r="J284" s="7">
        <v>0.14000000000000001</v>
      </c>
    </row>
    <row r="285" spans="1:10" ht="15" thickBot="1" x14ac:dyDescent="0.35">
      <c r="A285" s="6">
        <v>284</v>
      </c>
      <c r="B285" s="4">
        <v>40556</v>
      </c>
      <c r="C285" s="3">
        <v>1</v>
      </c>
      <c r="D285" s="3">
        <v>0</v>
      </c>
      <c r="E285" s="3">
        <v>1</v>
      </c>
      <c r="F285" s="3">
        <v>6</v>
      </c>
      <c r="G285" s="5" t="b">
        <v>0</v>
      </c>
      <c r="H285" s="3">
        <v>4</v>
      </c>
      <c r="I285" s="3">
        <v>1</v>
      </c>
      <c r="J285" s="7">
        <v>0.12</v>
      </c>
    </row>
    <row r="286" spans="1:10" ht="15" thickBot="1" x14ac:dyDescent="0.35">
      <c r="A286" s="6">
        <v>285</v>
      </c>
      <c r="B286" s="4">
        <v>40556</v>
      </c>
      <c r="C286" s="3">
        <v>1</v>
      </c>
      <c r="D286" s="3">
        <v>0</v>
      </c>
      <c r="E286" s="3">
        <v>1</v>
      </c>
      <c r="F286" s="3">
        <v>7</v>
      </c>
      <c r="G286" s="5" t="b">
        <v>0</v>
      </c>
      <c r="H286" s="3">
        <v>4</v>
      </c>
      <c r="I286" s="3">
        <v>1</v>
      </c>
      <c r="J286" s="7">
        <v>0.12</v>
      </c>
    </row>
    <row r="287" spans="1:10" ht="15" thickBot="1" x14ac:dyDescent="0.35">
      <c r="A287" s="6">
        <v>286</v>
      </c>
      <c r="B287" s="4">
        <v>40556</v>
      </c>
      <c r="C287" s="3">
        <v>1</v>
      </c>
      <c r="D287" s="3">
        <v>0</v>
      </c>
      <c r="E287" s="3">
        <v>1</v>
      </c>
      <c r="F287" s="3">
        <v>8</v>
      </c>
      <c r="G287" s="5" t="b">
        <v>0</v>
      </c>
      <c r="H287" s="3">
        <v>4</v>
      </c>
      <c r="I287" s="3">
        <v>1</v>
      </c>
      <c r="J287" s="7">
        <v>0.14000000000000001</v>
      </c>
    </row>
    <row r="288" spans="1:10" ht="15" thickBot="1" x14ac:dyDescent="0.35">
      <c r="A288" s="6">
        <v>287</v>
      </c>
      <c r="B288" s="4">
        <v>40556</v>
      </c>
      <c r="C288" s="3">
        <v>1</v>
      </c>
      <c r="D288" s="3">
        <v>0</v>
      </c>
      <c r="E288" s="3">
        <v>1</v>
      </c>
      <c r="F288" s="3">
        <v>9</v>
      </c>
      <c r="G288" s="5" t="b">
        <v>0</v>
      </c>
      <c r="H288" s="3">
        <v>4</v>
      </c>
      <c r="I288" s="3">
        <v>1</v>
      </c>
      <c r="J288" s="7">
        <v>0.14000000000000001</v>
      </c>
    </row>
    <row r="289" spans="1:10" ht="15" thickBot="1" x14ac:dyDescent="0.35">
      <c r="A289" s="6">
        <v>288</v>
      </c>
      <c r="B289" s="4">
        <v>40556</v>
      </c>
      <c r="C289" s="3">
        <v>1</v>
      </c>
      <c r="D289" s="3">
        <v>0</v>
      </c>
      <c r="E289" s="3">
        <v>1</v>
      </c>
      <c r="F289" s="3">
        <v>10</v>
      </c>
      <c r="G289" s="5" t="b">
        <v>0</v>
      </c>
      <c r="H289" s="3">
        <v>4</v>
      </c>
      <c r="I289" s="3">
        <v>2</v>
      </c>
      <c r="J289" s="7">
        <v>0.16</v>
      </c>
    </row>
    <row r="290" spans="1:10" ht="15" thickBot="1" x14ac:dyDescent="0.35">
      <c r="A290" s="6">
        <v>289</v>
      </c>
      <c r="B290" s="4">
        <v>40556</v>
      </c>
      <c r="C290" s="3">
        <v>1</v>
      </c>
      <c r="D290" s="3">
        <v>0</v>
      </c>
      <c r="E290" s="3">
        <v>1</v>
      </c>
      <c r="F290" s="3">
        <v>11</v>
      </c>
      <c r="G290" s="5" t="b">
        <v>0</v>
      </c>
      <c r="H290" s="3">
        <v>4</v>
      </c>
      <c r="I290" s="3">
        <v>2</v>
      </c>
      <c r="J290" s="7">
        <v>0.2</v>
      </c>
    </row>
    <row r="291" spans="1:10" ht="15" thickBot="1" x14ac:dyDescent="0.35">
      <c r="A291" s="6">
        <v>290</v>
      </c>
      <c r="B291" s="4">
        <v>40556</v>
      </c>
      <c r="C291" s="3">
        <v>1</v>
      </c>
      <c r="D291" s="3">
        <v>0</v>
      </c>
      <c r="E291" s="3">
        <v>1</v>
      </c>
      <c r="F291" s="3">
        <v>12</v>
      </c>
      <c r="G291" s="5" t="b">
        <v>0</v>
      </c>
      <c r="H291" s="3">
        <v>4</v>
      </c>
      <c r="I291" s="3">
        <v>1</v>
      </c>
      <c r="J291" s="7">
        <v>0.2</v>
      </c>
    </row>
    <row r="292" spans="1:10" ht="15" thickBot="1" x14ac:dyDescent="0.35">
      <c r="A292" s="6">
        <v>291</v>
      </c>
      <c r="B292" s="4">
        <v>40556</v>
      </c>
      <c r="C292" s="3">
        <v>1</v>
      </c>
      <c r="D292" s="3">
        <v>0</v>
      </c>
      <c r="E292" s="3">
        <v>1</v>
      </c>
      <c r="F292" s="3">
        <v>13</v>
      </c>
      <c r="G292" s="5" t="b">
        <v>0</v>
      </c>
      <c r="H292" s="3">
        <v>4</v>
      </c>
      <c r="I292" s="3">
        <v>1</v>
      </c>
      <c r="J292" s="7">
        <v>0.22</v>
      </c>
    </row>
    <row r="293" spans="1:10" ht="15" thickBot="1" x14ac:dyDescent="0.35">
      <c r="A293" s="6">
        <v>292</v>
      </c>
      <c r="B293" s="4">
        <v>40556</v>
      </c>
      <c r="C293" s="3">
        <v>1</v>
      </c>
      <c r="D293" s="3">
        <v>0</v>
      </c>
      <c r="E293" s="3">
        <v>1</v>
      </c>
      <c r="F293" s="3">
        <v>14</v>
      </c>
      <c r="G293" s="5" t="b">
        <v>0</v>
      </c>
      <c r="H293" s="3">
        <v>4</v>
      </c>
      <c r="I293" s="3">
        <v>1</v>
      </c>
      <c r="J293" s="7">
        <v>0.22</v>
      </c>
    </row>
    <row r="294" spans="1:10" ht="15" thickBot="1" x14ac:dyDescent="0.35">
      <c r="A294" s="6">
        <v>293</v>
      </c>
      <c r="B294" s="4">
        <v>40556</v>
      </c>
      <c r="C294" s="3">
        <v>1</v>
      </c>
      <c r="D294" s="3">
        <v>0</v>
      </c>
      <c r="E294" s="3">
        <v>1</v>
      </c>
      <c r="F294" s="3">
        <v>15</v>
      </c>
      <c r="G294" s="5" t="b">
        <v>0</v>
      </c>
      <c r="H294" s="3">
        <v>4</v>
      </c>
      <c r="I294" s="3">
        <v>1</v>
      </c>
      <c r="J294" s="7">
        <v>0.24</v>
      </c>
    </row>
    <row r="295" spans="1:10" ht="15" thickBot="1" x14ac:dyDescent="0.35">
      <c r="A295" s="6">
        <v>294</v>
      </c>
      <c r="B295" s="4">
        <v>40556</v>
      </c>
      <c r="C295" s="3">
        <v>1</v>
      </c>
      <c r="D295" s="3">
        <v>0</v>
      </c>
      <c r="E295" s="3">
        <v>1</v>
      </c>
      <c r="F295" s="3">
        <v>16</v>
      </c>
      <c r="G295" s="5" t="b">
        <v>0</v>
      </c>
      <c r="H295" s="3">
        <v>4</v>
      </c>
      <c r="I295" s="3">
        <v>1</v>
      </c>
      <c r="J295" s="7">
        <v>0.24</v>
      </c>
    </row>
    <row r="296" spans="1:10" ht="15" thickBot="1" x14ac:dyDescent="0.35">
      <c r="A296" s="6">
        <v>295</v>
      </c>
      <c r="B296" s="4">
        <v>40556</v>
      </c>
      <c r="C296" s="3">
        <v>1</v>
      </c>
      <c r="D296" s="3">
        <v>0</v>
      </c>
      <c r="E296" s="3">
        <v>1</v>
      </c>
      <c r="F296" s="3">
        <v>17</v>
      </c>
      <c r="G296" s="5" t="b">
        <v>0</v>
      </c>
      <c r="H296" s="3">
        <v>4</v>
      </c>
      <c r="I296" s="3">
        <v>1</v>
      </c>
      <c r="J296" s="7">
        <v>0.2</v>
      </c>
    </row>
    <row r="297" spans="1:10" ht="15" thickBot="1" x14ac:dyDescent="0.35">
      <c r="A297" s="6">
        <v>296</v>
      </c>
      <c r="B297" s="4">
        <v>40556</v>
      </c>
      <c r="C297" s="3">
        <v>1</v>
      </c>
      <c r="D297" s="3">
        <v>0</v>
      </c>
      <c r="E297" s="3">
        <v>1</v>
      </c>
      <c r="F297" s="3">
        <v>18</v>
      </c>
      <c r="G297" s="5" t="b">
        <v>0</v>
      </c>
      <c r="H297" s="3">
        <v>4</v>
      </c>
      <c r="I297" s="3">
        <v>1</v>
      </c>
      <c r="J297" s="7">
        <v>0.2</v>
      </c>
    </row>
    <row r="298" spans="1:10" ht="15" thickBot="1" x14ac:dyDescent="0.35">
      <c r="A298" s="6">
        <v>297</v>
      </c>
      <c r="B298" s="4">
        <v>40556</v>
      </c>
      <c r="C298" s="3">
        <v>1</v>
      </c>
      <c r="D298" s="3">
        <v>0</v>
      </c>
      <c r="E298" s="3">
        <v>1</v>
      </c>
      <c r="F298" s="3">
        <v>19</v>
      </c>
      <c r="G298" s="5" t="b">
        <v>0</v>
      </c>
      <c r="H298" s="3">
        <v>4</v>
      </c>
      <c r="I298" s="3">
        <v>1</v>
      </c>
      <c r="J298" s="7">
        <v>0.16</v>
      </c>
    </row>
    <row r="299" spans="1:10" ht="15" thickBot="1" x14ac:dyDescent="0.35">
      <c r="A299" s="6">
        <v>298</v>
      </c>
      <c r="B299" s="4">
        <v>40556</v>
      </c>
      <c r="C299" s="3">
        <v>1</v>
      </c>
      <c r="D299" s="3">
        <v>0</v>
      </c>
      <c r="E299" s="3">
        <v>1</v>
      </c>
      <c r="F299" s="3">
        <v>20</v>
      </c>
      <c r="G299" s="5" t="b">
        <v>0</v>
      </c>
      <c r="H299" s="3">
        <v>4</v>
      </c>
      <c r="I299" s="3">
        <v>1</v>
      </c>
      <c r="J299" s="7">
        <v>0.16</v>
      </c>
    </row>
    <row r="300" spans="1:10" ht="15" thickBot="1" x14ac:dyDescent="0.35">
      <c r="A300" s="6">
        <v>299</v>
      </c>
      <c r="B300" s="4">
        <v>40556</v>
      </c>
      <c r="C300" s="3">
        <v>1</v>
      </c>
      <c r="D300" s="3">
        <v>0</v>
      </c>
      <c r="E300" s="3">
        <v>1</v>
      </c>
      <c r="F300" s="3">
        <v>21</v>
      </c>
      <c r="G300" s="5" t="b">
        <v>0</v>
      </c>
      <c r="H300" s="3">
        <v>4</v>
      </c>
      <c r="I300" s="3">
        <v>1</v>
      </c>
      <c r="J300" s="7">
        <v>0.14000000000000001</v>
      </c>
    </row>
    <row r="301" spans="1:10" ht="15" thickBot="1" x14ac:dyDescent="0.35">
      <c r="A301" s="6">
        <v>300</v>
      </c>
      <c r="B301" s="4">
        <v>40556</v>
      </c>
      <c r="C301" s="3">
        <v>1</v>
      </c>
      <c r="D301" s="3">
        <v>0</v>
      </c>
      <c r="E301" s="3">
        <v>1</v>
      </c>
      <c r="F301" s="3">
        <v>22</v>
      </c>
      <c r="G301" s="5" t="b">
        <v>0</v>
      </c>
      <c r="H301" s="3">
        <v>4</v>
      </c>
      <c r="I301" s="3">
        <v>1</v>
      </c>
      <c r="J301" s="7">
        <v>0.14000000000000001</v>
      </c>
    </row>
    <row r="302" spans="1:10" ht="15" thickBot="1" x14ac:dyDescent="0.35">
      <c r="A302" s="6">
        <v>301</v>
      </c>
      <c r="B302" s="4">
        <v>40556</v>
      </c>
      <c r="C302" s="3">
        <v>1</v>
      </c>
      <c r="D302" s="3">
        <v>0</v>
      </c>
      <c r="E302" s="3">
        <v>1</v>
      </c>
      <c r="F302" s="3">
        <v>23</v>
      </c>
      <c r="G302" s="5" t="b">
        <v>0</v>
      </c>
      <c r="H302" s="3">
        <v>4</v>
      </c>
      <c r="I302" s="3">
        <v>1</v>
      </c>
      <c r="J302" s="7">
        <v>0.12</v>
      </c>
    </row>
    <row r="303" spans="1:10" ht="15" thickBot="1" x14ac:dyDescent="0.35">
      <c r="A303" s="6">
        <v>302</v>
      </c>
      <c r="B303" s="4">
        <v>40557</v>
      </c>
      <c r="C303" s="3">
        <v>1</v>
      </c>
      <c r="D303" s="3">
        <v>0</v>
      </c>
      <c r="E303" s="3">
        <v>1</v>
      </c>
      <c r="F303" s="3">
        <v>0</v>
      </c>
      <c r="G303" s="5" t="b">
        <v>0</v>
      </c>
      <c r="H303" s="3">
        <v>5</v>
      </c>
      <c r="I303" s="3">
        <v>1</v>
      </c>
      <c r="J303" s="7">
        <v>0.12</v>
      </c>
    </row>
    <row r="304" spans="1:10" ht="15" thickBot="1" x14ac:dyDescent="0.35">
      <c r="A304" s="6">
        <v>303</v>
      </c>
      <c r="B304" s="4">
        <v>40557</v>
      </c>
      <c r="C304" s="3">
        <v>1</v>
      </c>
      <c r="D304" s="3">
        <v>0</v>
      </c>
      <c r="E304" s="3">
        <v>1</v>
      </c>
      <c r="F304" s="3">
        <v>1</v>
      </c>
      <c r="G304" s="5" t="b">
        <v>0</v>
      </c>
      <c r="H304" s="3">
        <v>5</v>
      </c>
      <c r="I304" s="3">
        <v>1</v>
      </c>
      <c r="J304" s="7">
        <v>0.1</v>
      </c>
    </row>
    <row r="305" spans="1:10" ht="15" thickBot="1" x14ac:dyDescent="0.35">
      <c r="A305" s="6">
        <v>304</v>
      </c>
      <c r="B305" s="4">
        <v>40557</v>
      </c>
      <c r="C305" s="3">
        <v>1</v>
      </c>
      <c r="D305" s="3">
        <v>0</v>
      </c>
      <c r="E305" s="3">
        <v>1</v>
      </c>
      <c r="F305" s="3">
        <v>2</v>
      </c>
      <c r="G305" s="5" t="b">
        <v>0</v>
      </c>
      <c r="H305" s="3">
        <v>5</v>
      </c>
      <c r="I305" s="3">
        <v>1</v>
      </c>
      <c r="J305" s="7">
        <v>0.1</v>
      </c>
    </row>
    <row r="306" spans="1:10" ht="15" thickBot="1" x14ac:dyDescent="0.35">
      <c r="A306" s="6">
        <v>305</v>
      </c>
      <c r="B306" s="4">
        <v>40557</v>
      </c>
      <c r="C306" s="3">
        <v>1</v>
      </c>
      <c r="D306" s="3">
        <v>0</v>
      </c>
      <c r="E306" s="3">
        <v>1</v>
      </c>
      <c r="F306" s="3">
        <v>3</v>
      </c>
      <c r="G306" s="5" t="b">
        <v>0</v>
      </c>
      <c r="H306" s="3">
        <v>5</v>
      </c>
      <c r="I306" s="3">
        <v>1</v>
      </c>
      <c r="J306" s="7">
        <v>0.1</v>
      </c>
    </row>
    <row r="307" spans="1:10" ht="15" thickBot="1" x14ac:dyDescent="0.35">
      <c r="A307" s="6">
        <v>306</v>
      </c>
      <c r="B307" s="4">
        <v>40557</v>
      </c>
      <c r="C307" s="3">
        <v>1</v>
      </c>
      <c r="D307" s="3">
        <v>0</v>
      </c>
      <c r="E307" s="3">
        <v>1</v>
      </c>
      <c r="F307" s="3">
        <v>5</v>
      </c>
      <c r="G307" s="5" t="b">
        <v>0</v>
      </c>
      <c r="H307" s="3">
        <v>5</v>
      </c>
      <c r="I307" s="3">
        <v>1</v>
      </c>
      <c r="J307" s="7">
        <v>0.1</v>
      </c>
    </row>
    <row r="308" spans="1:10" ht="15" thickBot="1" x14ac:dyDescent="0.35">
      <c r="A308" s="6">
        <v>307</v>
      </c>
      <c r="B308" s="4">
        <v>40557</v>
      </c>
      <c r="C308" s="3">
        <v>1</v>
      </c>
      <c r="D308" s="3">
        <v>0</v>
      </c>
      <c r="E308" s="3">
        <v>1</v>
      </c>
      <c r="F308" s="3">
        <v>6</v>
      </c>
      <c r="G308" s="5" t="b">
        <v>0</v>
      </c>
      <c r="H308" s="3">
        <v>5</v>
      </c>
      <c r="I308" s="3">
        <v>1</v>
      </c>
      <c r="J308" s="7">
        <v>0.1</v>
      </c>
    </row>
    <row r="309" spans="1:10" ht="15" thickBot="1" x14ac:dyDescent="0.35">
      <c r="A309" s="6">
        <v>308</v>
      </c>
      <c r="B309" s="4">
        <v>40557</v>
      </c>
      <c r="C309" s="3">
        <v>1</v>
      </c>
      <c r="D309" s="3">
        <v>0</v>
      </c>
      <c r="E309" s="3">
        <v>1</v>
      </c>
      <c r="F309" s="3">
        <v>7</v>
      </c>
      <c r="G309" s="5" t="b">
        <v>0</v>
      </c>
      <c r="H309" s="3">
        <v>5</v>
      </c>
      <c r="I309" s="3">
        <v>1</v>
      </c>
      <c r="J309" s="7">
        <v>0.1</v>
      </c>
    </row>
    <row r="310" spans="1:10" ht="15" thickBot="1" x14ac:dyDescent="0.35">
      <c r="A310" s="6">
        <v>309</v>
      </c>
      <c r="B310" s="4">
        <v>40557</v>
      </c>
      <c r="C310" s="3">
        <v>1</v>
      </c>
      <c r="D310" s="3">
        <v>0</v>
      </c>
      <c r="E310" s="3">
        <v>1</v>
      </c>
      <c r="F310" s="3">
        <v>8</v>
      </c>
      <c r="G310" s="5" t="b">
        <v>0</v>
      </c>
      <c r="H310" s="3">
        <v>5</v>
      </c>
      <c r="I310" s="3">
        <v>1</v>
      </c>
      <c r="J310" s="7">
        <v>0.12</v>
      </c>
    </row>
    <row r="311" spans="1:10" ht="15" thickBot="1" x14ac:dyDescent="0.35">
      <c r="A311" s="6">
        <v>310</v>
      </c>
      <c r="B311" s="4">
        <v>40557</v>
      </c>
      <c r="C311" s="3">
        <v>1</v>
      </c>
      <c r="D311" s="3">
        <v>0</v>
      </c>
      <c r="E311" s="3">
        <v>1</v>
      </c>
      <c r="F311" s="3">
        <v>9</v>
      </c>
      <c r="G311" s="5" t="b">
        <v>0</v>
      </c>
      <c r="H311" s="3">
        <v>5</v>
      </c>
      <c r="I311" s="3">
        <v>1</v>
      </c>
      <c r="J311" s="7">
        <v>0.14000000000000001</v>
      </c>
    </row>
    <row r="312" spans="1:10" ht="15" thickBot="1" x14ac:dyDescent="0.35">
      <c r="A312" s="6">
        <v>311</v>
      </c>
      <c r="B312" s="4">
        <v>40557</v>
      </c>
      <c r="C312" s="3">
        <v>1</v>
      </c>
      <c r="D312" s="3">
        <v>0</v>
      </c>
      <c r="E312" s="3">
        <v>1</v>
      </c>
      <c r="F312" s="3">
        <v>10</v>
      </c>
      <c r="G312" s="5" t="b">
        <v>0</v>
      </c>
      <c r="H312" s="3">
        <v>5</v>
      </c>
      <c r="I312" s="3">
        <v>1</v>
      </c>
      <c r="J312" s="7">
        <v>0.18</v>
      </c>
    </row>
    <row r="313" spans="1:10" ht="15" thickBot="1" x14ac:dyDescent="0.35">
      <c r="A313" s="6">
        <v>312</v>
      </c>
      <c r="B313" s="4">
        <v>40557</v>
      </c>
      <c r="C313" s="3">
        <v>1</v>
      </c>
      <c r="D313" s="3">
        <v>0</v>
      </c>
      <c r="E313" s="3">
        <v>1</v>
      </c>
      <c r="F313" s="3">
        <v>11</v>
      </c>
      <c r="G313" s="5" t="b">
        <v>0</v>
      </c>
      <c r="H313" s="3">
        <v>5</v>
      </c>
      <c r="I313" s="3">
        <v>1</v>
      </c>
      <c r="J313" s="7">
        <v>0.18</v>
      </c>
    </row>
    <row r="314" spans="1:10" ht="15" thickBot="1" x14ac:dyDescent="0.35">
      <c r="A314" s="6">
        <v>313</v>
      </c>
      <c r="B314" s="4">
        <v>40557</v>
      </c>
      <c r="C314" s="3">
        <v>1</v>
      </c>
      <c r="D314" s="3">
        <v>0</v>
      </c>
      <c r="E314" s="3">
        <v>1</v>
      </c>
      <c r="F314" s="3">
        <v>12</v>
      </c>
      <c r="G314" s="5" t="b">
        <v>0</v>
      </c>
      <c r="H314" s="3">
        <v>5</v>
      </c>
      <c r="I314" s="3">
        <v>1</v>
      </c>
      <c r="J314" s="7">
        <v>0.2</v>
      </c>
    </row>
    <row r="315" spans="1:10" ht="15" thickBot="1" x14ac:dyDescent="0.35">
      <c r="A315" s="6">
        <v>314</v>
      </c>
      <c r="B315" s="4">
        <v>40557</v>
      </c>
      <c r="C315" s="3">
        <v>1</v>
      </c>
      <c r="D315" s="3">
        <v>0</v>
      </c>
      <c r="E315" s="3">
        <v>1</v>
      </c>
      <c r="F315" s="3">
        <v>13</v>
      </c>
      <c r="G315" s="5" t="b">
        <v>0</v>
      </c>
      <c r="H315" s="3">
        <v>5</v>
      </c>
      <c r="I315" s="3">
        <v>1</v>
      </c>
      <c r="J315" s="7">
        <v>0.22</v>
      </c>
    </row>
    <row r="316" spans="1:10" ht="15" thickBot="1" x14ac:dyDescent="0.35">
      <c r="A316" s="6">
        <v>315</v>
      </c>
      <c r="B316" s="4">
        <v>40557</v>
      </c>
      <c r="C316" s="3">
        <v>1</v>
      </c>
      <c r="D316" s="3">
        <v>0</v>
      </c>
      <c r="E316" s="3">
        <v>1</v>
      </c>
      <c r="F316" s="3">
        <v>14</v>
      </c>
      <c r="G316" s="5" t="b">
        <v>0</v>
      </c>
      <c r="H316" s="3">
        <v>5</v>
      </c>
      <c r="I316" s="3">
        <v>1</v>
      </c>
      <c r="J316" s="7">
        <v>0.22</v>
      </c>
    </row>
    <row r="317" spans="1:10" ht="15" thickBot="1" x14ac:dyDescent="0.35">
      <c r="A317" s="6">
        <v>316</v>
      </c>
      <c r="B317" s="4">
        <v>40557</v>
      </c>
      <c r="C317" s="3">
        <v>1</v>
      </c>
      <c r="D317" s="3">
        <v>0</v>
      </c>
      <c r="E317" s="3">
        <v>1</v>
      </c>
      <c r="F317" s="3">
        <v>15</v>
      </c>
      <c r="G317" s="5" t="b">
        <v>0</v>
      </c>
      <c r="H317" s="3">
        <v>5</v>
      </c>
      <c r="I317" s="3">
        <v>1</v>
      </c>
      <c r="J317" s="7">
        <v>0.24</v>
      </c>
    </row>
    <row r="318" spans="1:10" ht="15" thickBot="1" x14ac:dyDescent="0.35">
      <c r="A318" s="6">
        <v>317</v>
      </c>
      <c r="B318" s="4">
        <v>40557</v>
      </c>
      <c r="C318" s="3">
        <v>1</v>
      </c>
      <c r="D318" s="3">
        <v>0</v>
      </c>
      <c r="E318" s="3">
        <v>1</v>
      </c>
      <c r="F318" s="3">
        <v>16</v>
      </c>
      <c r="G318" s="5" t="b">
        <v>0</v>
      </c>
      <c r="H318" s="3">
        <v>5</v>
      </c>
      <c r="I318" s="3">
        <v>1</v>
      </c>
      <c r="J318" s="7">
        <v>0.22</v>
      </c>
    </row>
    <row r="319" spans="1:10" ht="15" thickBot="1" x14ac:dyDescent="0.35">
      <c r="A319" s="6">
        <v>318</v>
      </c>
      <c r="B319" s="4">
        <v>40557</v>
      </c>
      <c r="C319" s="3">
        <v>1</v>
      </c>
      <c r="D319" s="3">
        <v>0</v>
      </c>
      <c r="E319" s="3">
        <v>1</v>
      </c>
      <c r="F319" s="3">
        <v>17</v>
      </c>
      <c r="G319" s="5" t="b">
        <v>0</v>
      </c>
      <c r="H319" s="3">
        <v>5</v>
      </c>
      <c r="I319" s="3">
        <v>1</v>
      </c>
      <c r="J319" s="7">
        <v>0.22</v>
      </c>
    </row>
    <row r="320" spans="1:10" ht="15" thickBot="1" x14ac:dyDescent="0.35">
      <c r="A320" s="6">
        <v>319</v>
      </c>
      <c r="B320" s="4">
        <v>40557</v>
      </c>
      <c r="C320" s="3">
        <v>1</v>
      </c>
      <c r="D320" s="3">
        <v>0</v>
      </c>
      <c r="E320" s="3">
        <v>1</v>
      </c>
      <c r="F320" s="3">
        <v>18</v>
      </c>
      <c r="G320" s="5" t="b">
        <v>0</v>
      </c>
      <c r="H320" s="3">
        <v>5</v>
      </c>
      <c r="I320" s="3">
        <v>1</v>
      </c>
      <c r="J320" s="7">
        <v>0.2</v>
      </c>
    </row>
    <row r="321" spans="1:10" ht="15" thickBot="1" x14ac:dyDescent="0.35">
      <c r="A321" s="6">
        <v>320</v>
      </c>
      <c r="B321" s="4">
        <v>40557</v>
      </c>
      <c r="C321" s="3">
        <v>1</v>
      </c>
      <c r="D321" s="3">
        <v>0</v>
      </c>
      <c r="E321" s="3">
        <v>1</v>
      </c>
      <c r="F321" s="3">
        <v>19</v>
      </c>
      <c r="G321" s="5" t="b">
        <v>0</v>
      </c>
      <c r="H321" s="3">
        <v>5</v>
      </c>
      <c r="I321" s="3">
        <v>1</v>
      </c>
      <c r="J321" s="7">
        <v>0.16</v>
      </c>
    </row>
    <row r="322" spans="1:10" ht="15" thickBot="1" x14ac:dyDescent="0.35">
      <c r="A322" s="6">
        <v>321</v>
      </c>
      <c r="B322" s="4">
        <v>40557</v>
      </c>
      <c r="C322" s="3">
        <v>1</v>
      </c>
      <c r="D322" s="3">
        <v>0</v>
      </c>
      <c r="E322" s="3">
        <v>1</v>
      </c>
      <c r="F322" s="3">
        <v>20</v>
      </c>
      <c r="G322" s="5" t="b">
        <v>0</v>
      </c>
      <c r="H322" s="3">
        <v>5</v>
      </c>
      <c r="I322" s="3">
        <v>1</v>
      </c>
      <c r="J322" s="7">
        <v>0.18</v>
      </c>
    </row>
    <row r="323" spans="1:10" ht="15" thickBot="1" x14ac:dyDescent="0.35">
      <c r="A323" s="6">
        <v>322</v>
      </c>
      <c r="B323" s="4">
        <v>40557</v>
      </c>
      <c r="C323" s="3">
        <v>1</v>
      </c>
      <c r="D323" s="3">
        <v>0</v>
      </c>
      <c r="E323" s="3">
        <v>1</v>
      </c>
      <c r="F323" s="3">
        <v>21</v>
      </c>
      <c r="G323" s="5" t="b">
        <v>0</v>
      </c>
      <c r="H323" s="3">
        <v>5</v>
      </c>
      <c r="I323" s="3">
        <v>1</v>
      </c>
      <c r="J323" s="7">
        <v>0.16</v>
      </c>
    </row>
    <row r="324" spans="1:10" ht="15" thickBot="1" x14ac:dyDescent="0.35">
      <c r="A324" s="6">
        <v>323</v>
      </c>
      <c r="B324" s="4">
        <v>40557</v>
      </c>
      <c r="C324" s="3">
        <v>1</v>
      </c>
      <c r="D324" s="3">
        <v>0</v>
      </c>
      <c r="E324" s="3">
        <v>1</v>
      </c>
      <c r="F324" s="3">
        <v>22</v>
      </c>
      <c r="G324" s="5" t="b">
        <v>0</v>
      </c>
      <c r="H324" s="3">
        <v>5</v>
      </c>
      <c r="I324" s="3">
        <v>2</v>
      </c>
      <c r="J324" s="7">
        <v>0.16</v>
      </c>
    </row>
    <row r="325" spans="1:10" ht="15" thickBot="1" x14ac:dyDescent="0.35">
      <c r="A325" s="6">
        <v>324</v>
      </c>
      <c r="B325" s="4">
        <v>40557</v>
      </c>
      <c r="C325" s="3">
        <v>1</v>
      </c>
      <c r="D325" s="3">
        <v>0</v>
      </c>
      <c r="E325" s="3">
        <v>1</v>
      </c>
      <c r="F325" s="3">
        <v>23</v>
      </c>
      <c r="G325" s="5" t="b">
        <v>0</v>
      </c>
      <c r="H325" s="3">
        <v>5</v>
      </c>
      <c r="I325" s="3">
        <v>2</v>
      </c>
      <c r="J325" s="7">
        <v>0.18</v>
      </c>
    </row>
    <row r="326" spans="1:10" ht="15" thickBot="1" x14ac:dyDescent="0.35">
      <c r="A326" s="6">
        <v>325</v>
      </c>
      <c r="B326" s="4">
        <v>40558</v>
      </c>
      <c r="C326" s="3">
        <v>1</v>
      </c>
      <c r="D326" s="3">
        <v>0</v>
      </c>
      <c r="E326" s="3">
        <v>1</v>
      </c>
      <c r="F326" s="3">
        <v>0</v>
      </c>
      <c r="G326" s="5" t="b">
        <v>0</v>
      </c>
      <c r="H326" s="3">
        <v>6</v>
      </c>
      <c r="I326" s="3">
        <v>1</v>
      </c>
      <c r="J326" s="7">
        <v>0.18</v>
      </c>
    </row>
    <row r="327" spans="1:10" ht="15" thickBot="1" x14ac:dyDescent="0.35">
      <c r="A327" s="6">
        <v>326</v>
      </c>
      <c r="B327" s="4">
        <v>40558</v>
      </c>
      <c r="C327" s="3">
        <v>1</v>
      </c>
      <c r="D327" s="3">
        <v>0</v>
      </c>
      <c r="E327" s="3">
        <v>1</v>
      </c>
      <c r="F327" s="3">
        <v>1</v>
      </c>
      <c r="G327" s="5" t="b">
        <v>0</v>
      </c>
      <c r="H327" s="3">
        <v>6</v>
      </c>
      <c r="I327" s="3">
        <v>2</v>
      </c>
      <c r="J327" s="7">
        <v>0.16</v>
      </c>
    </row>
    <row r="328" spans="1:10" ht="15" thickBot="1" x14ac:dyDescent="0.35">
      <c r="A328" s="6">
        <v>327</v>
      </c>
      <c r="B328" s="4">
        <v>40558</v>
      </c>
      <c r="C328" s="3">
        <v>1</v>
      </c>
      <c r="D328" s="3">
        <v>0</v>
      </c>
      <c r="E328" s="3">
        <v>1</v>
      </c>
      <c r="F328" s="3">
        <v>2</v>
      </c>
      <c r="G328" s="5" t="b">
        <v>0</v>
      </c>
      <c r="H328" s="3">
        <v>6</v>
      </c>
      <c r="I328" s="3">
        <v>2</v>
      </c>
      <c r="J328" s="7">
        <v>0.16</v>
      </c>
    </row>
    <row r="329" spans="1:10" ht="15" thickBot="1" x14ac:dyDescent="0.35">
      <c r="A329" s="6">
        <v>328</v>
      </c>
      <c r="B329" s="4">
        <v>40558</v>
      </c>
      <c r="C329" s="3">
        <v>1</v>
      </c>
      <c r="D329" s="3">
        <v>0</v>
      </c>
      <c r="E329" s="3">
        <v>1</v>
      </c>
      <c r="F329" s="3">
        <v>3</v>
      </c>
      <c r="G329" s="5" t="b">
        <v>0</v>
      </c>
      <c r="H329" s="3">
        <v>6</v>
      </c>
      <c r="I329" s="3">
        <v>2</v>
      </c>
      <c r="J329" s="7">
        <v>0.16</v>
      </c>
    </row>
    <row r="330" spans="1:10" ht="15" thickBot="1" x14ac:dyDescent="0.35">
      <c r="A330" s="6">
        <v>329</v>
      </c>
      <c r="B330" s="4">
        <v>40558</v>
      </c>
      <c r="C330" s="3">
        <v>1</v>
      </c>
      <c r="D330" s="3">
        <v>0</v>
      </c>
      <c r="E330" s="3">
        <v>1</v>
      </c>
      <c r="F330" s="3">
        <v>4</v>
      </c>
      <c r="G330" s="5" t="b">
        <v>0</v>
      </c>
      <c r="H330" s="3">
        <v>6</v>
      </c>
      <c r="I330" s="3">
        <v>2</v>
      </c>
      <c r="J330" s="7">
        <v>0.16</v>
      </c>
    </row>
    <row r="331" spans="1:10" ht="15" thickBot="1" x14ac:dyDescent="0.35">
      <c r="A331" s="6">
        <v>330</v>
      </c>
      <c r="B331" s="4">
        <v>40558</v>
      </c>
      <c r="C331" s="3">
        <v>1</v>
      </c>
      <c r="D331" s="3">
        <v>0</v>
      </c>
      <c r="E331" s="3">
        <v>1</v>
      </c>
      <c r="F331" s="3">
        <v>5</v>
      </c>
      <c r="G331" s="5" t="b">
        <v>0</v>
      </c>
      <c r="H331" s="3">
        <v>6</v>
      </c>
      <c r="I331" s="3">
        <v>1</v>
      </c>
      <c r="J331" s="7">
        <v>0.16</v>
      </c>
    </row>
    <row r="332" spans="1:10" ht="15" thickBot="1" x14ac:dyDescent="0.35">
      <c r="A332" s="6">
        <v>331</v>
      </c>
      <c r="B332" s="4">
        <v>40558</v>
      </c>
      <c r="C332" s="3">
        <v>1</v>
      </c>
      <c r="D332" s="3">
        <v>0</v>
      </c>
      <c r="E332" s="3">
        <v>1</v>
      </c>
      <c r="F332" s="3">
        <v>6</v>
      </c>
      <c r="G332" s="5" t="b">
        <v>0</v>
      </c>
      <c r="H332" s="3">
        <v>6</v>
      </c>
      <c r="I332" s="3">
        <v>1</v>
      </c>
      <c r="J332" s="7">
        <v>0.14000000000000001</v>
      </c>
    </row>
    <row r="333" spans="1:10" ht="15" thickBot="1" x14ac:dyDescent="0.35">
      <c r="A333" s="6">
        <v>332</v>
      </c>
      <c r="B333" s="4">
        <v>40558</v>
      </c>
      <c r="C333" s="3">
        <v>1</v>
      </c>
      <c r="D333" s="3">
        <v>0</v>
      </c>
      <c r="E333" s="3">
        <v>1</v>
      </c>
      <c r="F333" s="3">
        <v>7</v>
      </c>
      <c r="G333" s="5" t="b">
        <v>0</v>
      </c>
      <c r="H333" s="3">
        <v>6</v>
      </c>
      <c r="I333" s="3">
        <v>1</v>
      </c>
      <c r="J333" s="7">
        <v>0.14000000000000001</v>
      </c>
    </row>
    <row r="334" spans="1:10" ht="15" thickBot="1" x14ac:dyDescent="0.35">
      <c r="A334" s="6">
        <v>333</v>
      </c>
      <c r="B334" s="4">
        <v>40558</v>
      </c>
      <c r="C334" s="3">
        <v>1</v>
      </c>
      <c r="D334" s="3">
        <v>0</v>
      </c>
      <c r="E334" s="3">
        <v>1</v>
      </c>
      <c r="F334" s="3">
        <v>8</v>
      </c>
      <c r="G334" s="5" t="b">
        <v>0</v>
      </c>
      <c r="H334" s="3">
        <v>6</v>
      </c>
      <c r="I334" s="3">
        <v>1</v>
      </c>
      <c r="J334" s="7">
        <v>0.14000000000000001</v>
      </c>
    </row>
    <row r="335" spans="1:10" ht="15" thickBot="1" x14ac:dyDescent="0.35">
      <c r="A335" s="6">
        <v>334</v>
      </c>
      <c r="B335" s="4">
        <v>40558</v>
      </c>
      <c r="C335" s="3">
        <v>1</v>
      </c>
      <c r="D335" s="3">
        <v>0</v>
      </c>
      <c r="E335" s="3">
        <v>1</v>
      </c>
      <c r="F335" s="3">
        <v>9</v>
      </c>
      <c r="G335" s="5" t="b">
        <v>0</v>
      </c>
      <c r="H335" s="3">
        <v>6</v>
      </c>
      <c r="I335" s="3">
        <v>1</v>
      </c>
      <c r="J335" s="7">
        <v>0.16</v>
      </c>
    </row>
    <row r="336" spans="1:10" ht="15" thickBot="1" x14ac:dyDescent="0.35">
      <c r="A336" s="6">
        <v>335</v>
      </c>
      <c r="B336" s="4">
        <v>40558</v>
      </c>
      <c r="C336" s="3">
        <v>1</v>
      </c>
      <c r="D336" s="3">
        <v>0</v>
      </c>
      <c r="E336" s="3">
        <v>1</v>
      </c>
      <c r="F336" s="3">
        <v>10</v>
      </c>
      <c r="G336" s="5" t="b">
        <v>0</v>
      </c>
      <c r="H336" s="3">
        <v>6</v>
      </c>
      <c r="I336" s="3">
        <v>1</v>
      </c>
      <c r="J336" s="7">
        <v>0.18</v>
      </c>
    </row>
    <row r="337" spans="1:10" ht="15" thickBot="1" x14ac:dyDescent="0.35">
      <c r="A337" s="6">
        <v>336</v>
      </c>
      <c r="B337" s="4">
        <v>40558</v>
      </c>
      <c r="C337" s="3">
        <v>1</v>
      </c>
      <c r="D337" s="3">
        <v>0</v>
      </c>
      <c r="E337" s="3">
        <v>1</v>
      </c>
      <c r="F337" s="3">
        <v>11</v>
      </c>
      <c r="G337" s="5" t="b">
        <v>0</v>
      </c>
      <c r="H337" s="3">
        <v>6</v>
      </c>
      <c r="I337" s="3">
        <v>1</v>
      </c>
      <c r="J337" s="7">
        <v>0.2</v>
      </c>
    </row>
    <row r="338" spans="1:10" ht="15" thickBot="1" x14ac:dyDescent="0.35">
      <c r="A338" s="6">
        <v>337</v>
      </c>
      <c r="B338" s="4">
        <v>40558</v>
      </c>
      <c r="C338" s="3">
        <v>1</v>
      </c>
      <c r="D338" s="3">
        <v>0</v>
      </c>
      <c r="E338" s="3">
        <v>1</v>
      </c>
      <c r="F338" s="3">
        <v>12</v>
      </c>
      <c r="G338" s="5" t="b">
        <v>0</v>
      </c>
      <c r="H338" s="3">
        <v>6</v>
      </c>
      <c r="I338" s="3">
        <v>1</v>
      </c>
      <c r="J338" s="7">
        <v>0.24</v>
      </c>
    </row>
    <row r="339" spans="1:10" ht="15" thickBot="1" x14ac:dyDescent="0.35">
      <c r="A339" s="6">
        <v>338</v>
      </c>
      <c r="B339" s="4">
        <v>40558</v>
      </c>
      <c r="C339" s="3">
        <v>1</v>
      </c>
      <c r="D339" s="3">
        <v>0</v>
      </c>
      <c r="E339" s="3">
        <v>1</v>
      </c>
      <c r="F339" s="3">
        <v>13</v>
      </c>
      <c r="G339" s="5" t="b">
        <v>0</v>
      </c>
      <c r="H339" s="3">
        <v>6</v>
      </c>
      <c r="I339" s="3">
        <v>1</v>
      </c>
      <c r="J339" s="7">
        <v>0.28000000000000003</v>
      </c>
    </row>
    <row r="340" spans="1:10" ht="15" thickBot="1" x14ac:dyDescent="0.35">
      <c r="A340" s="6">
        <v>339</v>
      </c>
      <c r="B340" s="4">
        <v>40558</v>
      </c>
      <c r="C340" s="3">
        <v>1</v>
      </c>
      <c r="D340" s="3">
        <v>0</v>
      </c>
      <c r="E340" s="3">
        <v>1</v>
      </c>
      <c r="F340" s="3">
        <v>14</v>
      </c>
      <c r="G340" s="5" t="b">
        <v>0</v>
      </c>
      <c r="H340" s="3">
        <v>6</v>
      </c>
      <c r="I340" s="3">
        <v>1</v>
      </c>
      <c r="J340" s="7">
        <v>0.3</v>
      </c>
    </row>
    <row r="341" spans="1:10" ht="15" thickBot="1" x14ac:dyDescent="0.35">
      <c r="A341" s="6">
        <v>340</v>
      </c>
      <c r="B341" s="4">
        <v>40558</v>
      </c>
      <c r="C341" s="3">
        <v>1</v>
      </c>
      <c r="D341" s="3">
        <v>0</v>
      </c>
      <c r="E341" s="3">
        <v>1</v>
      </c>
      <c r="F341" s="3">
        <v>15</v>
      </c>
      <c r="G341" s="5" t="b">
        <v>0</v>
      </c>
      <c r="H341" s="3">
        <v>6</v>
      </c>
      <c r="I341" s="3">
        <v>2</v>
      </c>
      <c r="J341" s="7">
        <v>0.32</v>
      </c>
    </row>
    <row r="342" spans="1:10" ht="15" thickBot="1" x14ac:dyDescent="0.35">
      <c r="A342" s="6">
        <v>341</v>
      </c>
      <c r="B342" s="4">
        <v>40558</v>
      </c>
      <c r="C342" s="3">
        <v>1</v>
      </c>
      <c r="D342" s="3">
        <v>0</v>
      </c>
      <c r="E342" s="3">
        <v>1</v>
      </c>
      <c r="F342" s="3">
        <v>16</v>
      </c>
      <c r="G342" s="5" t="b">
        <v>0</v>
      </c>
      <c r="H342" s="3">
        <v>6</v>
      </c>
      <c r="I342" s="3">
        <v>2</v>
      </c>
      <c r="J342" s="7">
        <v>0.34</v>
      </c>
    </row>
    <row r="343" spans="1:10" ht="15" thickBot="1" x14ac:dyDescent="0.35">
      <c r="A343" s="6">
        <v>342</v>
      </c>
      <c r="B343" s="4">
        <v>40558</v>
      </c>
      <c r="C343" s="3">
        <v>1</v>
      </c>
      <c r="D343" s="3">
        <v>0</v>
      </c>
      <c r="E343" s="3">
        <v>1</v>
      </c>
      <c r="F343" s="3">
        <v>17</v>
      </c>
      <c r="G343" s="5" t="b">
        <v>0</v>
      </c>
      <c r="H343" s="3">
        <v>6</v>
      </c>
      <c r="I343" s="3">
        <v>2</v>
      </c>
      <c r="J343" s="7">
        <v>0.32</v>
      </c>
    </row>
    <row r="344" spans="1:10" ht="15" thickBot="1" x14ac:dyDescent="0.35">
      <c r="A344" s="6">
        <v>343</v>
      </c>
      <c r="B344" s="4">
        <v>40558</v>
      </c>
      <c r="C344" s="3">
        <v>1</v>
      </c>
      <c r="D344" s="3">
        <v>0</v>
      </c>
      <c r="E344" s="3">
        <v>1</v>
      </c>
      <c r="F344" s="3">
        <v>18</v>
      </c>
      <c r="G344" s="5" t="b">
        <v>0</v>
      </c>
      <c r="H344" s="3">
        <v>6</v>
      </c>
      <c r="I344" s="3">
        <v>2</v>
      </c>
      <c r="J344" s="7">
        <v>0.3</v>
      </c>
    </row>
    <row r="345" spans="1:10" ht="15" thickBot="1" x14ac:dyDescent="0.35">
      <c r="A345" s="6">
        <v>344</v>
      </c>
      <c r="B345" s="4">
        <v>40558</v>
      </c>
      <c r="C345" s="3">
        <v>1</v>
      </c>
      <c r="D345" s="3">
        <v>0</v>
      </c>
      <c r="E345" s="3">
        <v>1</v>
      </c>
      <c r="F345" s="3">
        <v>19</v>
      </c>
      <c r="G345" s="5" t="b">
        <v>0</v>
      </c>
      <c r="H345" s="3">
        <v>6</v>
      </c>
      <c r="I345" s="3">
        <v>2</v>
      </c>
      <c r="J345" s="7">
        <v>0.32</v>
      </c>
    </row>
    <row r="346" spans="1:10" ht="15" thickBot="1" x14ac:dyDescent="0.35">
      <c r="A346" s="6">
        <v>345</v>
      </c>
      <c r="B346" s="4">
        <v>40558</v>
      </c>
      <c r="C346" s="3">
        <v>1</v>
      </c>
      <c r="D346" s="3">
        <v>0</v>
      </c>
      <c r="E346" s="3">
        <v>1</v>
      </c>
      <c r="F346" s="3">
        <v>20</v>
      </c>
      <c r="G346" s="5" t="b">
        <v>0</v>
      </c>
      <c r="H346" s="3">
        <v>6</v>
      </c>
      <c r="I346" s="3">
        <v>2</v>
      </c>
      <c r="J346" s="7">
        <v>0.32</v>
      </c>
    </row>
    <row r="347" spans="1:10" ht="15" thickBot="1" x14ac:dyDescent="0.35">
      <c r="A347" s="6">
        <v>346</v>
      </c>
      <c r="B347" s="4">
        <v>40558</v>
      </c>
      <c r="C347" s="3">
        <v>1</v>
      </c>
      <c r="D347" s="3">
        <v>0</v>
      </c>
      <c r="E347" s="3">
        <v>1</v>
      </c>
      <c r="F347" s="3">
        <v>21</v>
      </c>
      <c r="G347" s="5" t="b">
        <v>0</v>
      </c>
      <c r="H347" s="3">
        <v>6</v>
      </c>
      <c r="I347" s="3">
        <v>2</v>
      </c>
      <c r="J347" s="7">
        <v>0.32</v>
      </c>
    </row>
    <row r="348" spans="1:10" ht="15" thickBot="1" x14ac:dyDescent="0.35">
      <c r="A348" s="6">
        <v>347</v>
      </c>
      <c r="B348" s="4">
        <v>40558</v>
      </c>
      <c r="C348" s="3">
        <v>1</v>
      </c>
      <c r="D348" s="3">
        <v>0</v>
      </c>
      <c r="E348" s="3">
        <v>1</v>
      </c>
      <c r="F348" s="3">
        <v>22</v>
      </c>
      <c r="G348" s="5" t="b">
        <v>0</v>
      </c>
      <c r="H348" s="3">
        <v>6</v>
      </c>
      <c r="I348" s="3">
        <v>2</v>
      </c>
      <c r="J348" s="7">
        <v>0.3</v>
      </c>
    </row>
    <row r="349" spans="1:10" ht="15" thickBot="1" x14ac:dyDescent="0.35">
      <c r="A349" s="6">
        <v>348</v>
      </c>
      <c r="B349" s="4">
        <v>40558</v>
      </c>
      <c r="C349" s="3">
        <v>1</v>
      </c>
      <c r="D349" s="3">
        <v>0</v>
      </c>
      <c r="E349" s="3">
        <v>1</v>
      </c>
      <c r="F349" s="3">
        <v>23</v>
      </c>
      <c r="G349" s="5" t="b">
        <v>0</v>
      </c>
      <c r="H349" s="3">
        <v>6</v>
      </c>
      <c r="I349" s="3">
        <v>1</v>
      </c>
      <c r="J349" s="7">
        <v>0.3</v>
      </c>
    </row>
    <row r="350" spans="1:10" ht="15" thickBot="1" x14ac:dyDescent="0.35">
      <c r="A350" s="6">
        <v>349</v>
      </c>
      <c r="B350" s="4">
        <v>40559</v>
      </c>
      <c r="C350" s="3">
        <v>1</v>
      </c>
      <c r="D350" s="3">
        <v>0</v>
      </c>
      <c r="E350" s="3">
        <v>1</v>
      </c>
      <c r="F350" s="3">
        <v>0</v>
      </c>
      <c r="G350" s="5" t="b">
        <v>0</v>
      </c>
      <c r="H350" s="3">
        <v>0</v>
      </c>
      <c r="I350" s="3">
        <v>1</v>
      </c>
      <c r="J350" s="7">
        <v>0.26</v>
      </c>
    </row>
    <row r="351" spans="1:10" ht="15" thickBot="1" x14ac:dyDescent="0.35">
      <c r="A351" s="6">
        <v>350</v>
      </c>
      <c r="B351" s="4">
        <v>40559</v>
      </c>
      <c r="C351" s="3">
        <v>1</v>
      </c>
      <c r="D351" s="3">
        <v>0</v>
      </c>
      <c r="E351" s="3">
        <v>1</v>
      </c>
      <c r="F351" s="3">
        <v>1</v>
      </c>
      <c r="G351" s="5" t="b">
        <v>0</v>
      </c>
      <c r="H351" s="3">
        <v>0</v>
      </c>
      <c r="I351" s="3">
        <v>1</v>
      </c>
      <c r="J351" s="7">
        <v>0.26</v>
      </c>
    </row>
    <row r="352" spans="1:10" ht="15" thickBot="1" x14ac:dyDescent="0.35">
      <c r="A352" s="6">
        <v>351</v>
      </c>
      <c r="B352" s="4">
        <v>40559</v>
      </c>
      <c r="C352" s="3">
        <v>1</v>
      </c>
      <c r="D352" s="3">
        <v>0</v>
      </c>
      <c r="E352" s="3">
        <v>1</v>
      </c>
      <c r="F352" s="3">
        <v>2</v>
      </c>
      <c r="G352" s="5" t="b">
        <v>0</v>
      </c>
      <c r="H352" s="3">
        <v>0</v>
      </c>
      <c r="I352" s="3">
        <v>1</v>
      </c>
      <c r="J352" s="7">
        <v>0.26</v>
      </c>
    </row>
    <row r="353" spans="1:10" ht="15" thickBot="1" x14ac:dyDescent="0.35">
      <c r="A353" s="6">
        <v>352</v>
      </c>
      <c r="B353" s="4">
        <v>40559</v>
      </c>
      <c r="C353" s="3">
        <v>1</v>
      </c>
      <c r="D353" s="3">
        <v>0</v>
      </c>
      <c r="E353" s="3">
        <v>1</v>
      </c>
      <c r="F353" s="3">
        <v>3</v>
      </c>
      <c r="G353" s="5" t="b">
        <v>0</v>
      </c>
      <c r="H353" s="3">
        <v>0</v>
      </c>
      <c r="I353" s="3">
        <v>1</v>
      </c>
      <c r="J353" s="7">
        <v>0.22</v>
      </c>
    </row>
    <row r="354" spans="1:10" ht="15" thickBot="1" x14ac:dyDescent="0.35">
      <c r="A354" s="6">
        <v>353</v>
      </c>
      <c r="B354" s="4">
        <v>40559</v>
      </c>
      <c r="C354" s="3">
        <v>1</v>
      </c>
      <c r="D354" s="3">
        <v>0</v>
      </c>
      <c r="E354" s="3">
        <v>1</v>
      </c>
      <c r="F354" s="3">
        <v>4</v>
      </c>
      <c r="G354" s="5" t="b">
        <v>0</v>
      </c>
      <c r="H354" s="3">
        <v>0</v>
      </c>
      <c r="I354" s="3">
        <v>1</v>
      </c>
      <c r="J354" s="7">
        <v>0.26</v>
      </c>
    </row>
    <row r="355" spans="1:10" ht="15" thickBot="1" x14ac:dyDescent="0.35">
      <c r="A355" s="6">
        <v>354</v>
      </c>
      <c r="B355" s="4">
        <v>40559</v>
      </c>
      <c r="C355" s="3">
        <v>1</v>
      </c>
      <c r="D355" s="3">
        <v>0</v>
      </c>
      <c r="E355" s="3">
        <v>1</v>
      </c>
      <c r="F355" s="3">
        <v>5</v>
      </c>
      <c r="G355" s="5" t="b">
        <v>0</v>
      </c>
      <c r="H355" s="3">
        <v>0</v>
      </c>
      <c r="I355" s="3">
        <v>2</v>
      </c>
      <c r="J355" s="7">
        <v>0.26</v>
      </c>
    </row>
    <row r="356" spans="1:10" ht="15" thickBot="1" x14ac:dyDescent="0.35">
      <c r="A356" s="6">
        <v>355</v>
      </c>
      <c r="B356" s="4">
        <v>40559</v>
      </c>
      <c r="C356" s="3">
        <v>1</v>
      </c>
      <c r="D356" s="3">
        <v>0</v>
      </c>
      <c r="E356" s="3">
        <v>1</v>
      </c>
      <c r="F356" s="3">
        <v>6</v>
      </c>
      <c r="G356" s="5" t="b">
        <v>0</v>
      </c>
      <c r="H356" s="3">
        <v>0</v>
      </c>
      <c r="I356" s="3">
        <v>2</v>
      </c>
      <c r="J356" s="7">
        <v>0.26</v>
      </c>
    </row>
    <row r="357" spans="1:10" ht="15" thickBot="1" x14ac:dyDescent="0.35">
      <c r="A357" s="6">
        <v>356</v>
      </c>
      <c r="B357" s="4">
        <v>40559</v>
      </c>
      <c r="C357" s="3">
        <v>1</v>
      </c>
      <c r="D357" s="3">
        <v>0</v>
      </c>
      <c r="E357" s="3">
        <v>1</v>
      </c>
      <c r="F357" s="3">
        <v>7</v>
      </c>
      <c r="G357" s="5" t="b">
        <v>0</v>
      </c>
      <c r="H357" s="3">
        <v>0</v>
      </c>
      <c r="I357" s="3">
        <v>2</v>
      </c>
      <c r="J357" s="7">
        <v>0.24</v>
      </c>
    </row>
    <row r="358" spans="1:10" ht="15" thickBot="1" x14ac:dyDescent="0.35">
      <c r="A358" s="6">
        <v>357</v>
      </c>
      <c r="B358" s="4">
        <v>40559</v>
      </c>
      <c r="C358" s="3">
        <v>1</v>
      </c>
      <c r="D358" s="3">
        <v>0</v>
      </c>
      <c r="E358" s="3">
        <v>1</v>
      </c>
      <c r="F358" s="3">
        <v>8</v>
      </c>
      <c r="G358" s="5" t="b">
        <v>0</v>
      </c>
      <c r="H358" s="3">
        <v>0</v>
      </c>
      <c r="I358" s="3">
        <v>1</v>
      </c>
      <c r="J358" s="7">
        <v>0.22</v>
      </c>
    </row>
    <row r="359" spans="1:10" ht="15" thickBot="1" x14ac:dyDescent="0.35">
      <c r="A359" s="6">
        <v>358</v>
      </c>
      <c r="B359" s="4">
        <v>40559</v>
      </c>
      <c r="C359" s="3">
        <v>1</v>
      </c>
      <c r="D359" s="3">
        <v>0</v>
      </c>
      <c r="E359" s="3">
        <v>1</v>
      </c>
      <c r="F359" s="3">
        <v>9</v>
      </c>
      <c r="G359" s="5" t="b">
        <v>0</v>
      </c>
      <c r="H359" s="3">
        <v>0</v>
      </c>
      <c r="I359" s="3">
        <v>1</v>
      </c>
      <c r="J359" s="7">
        <v>0.22</v>
      </c>
    </row>
    <row r="360" spans="1:10" ht="15" thickBot="1" x14ac:dyDescent="0.35">
      <c r="A360" s="6">
        <v>359</v>
      </c>
      <c r="B360" s="4">
        <v>40559</v>
      </c>
      <c r="C360" s="3">
        <v>1</v>
      </c>
      <c r="D360" s="3">
        <v>0</v>
      </c>
      <c r="E360" s="3">
        <v>1</v>
      </c>
      <c r="F360" s="3">
        <v>10</v>
      </c>
      <c r="G360" s="5" t="b">
        <v>0</v>
      </c>
      <c r="H360" s="3">
        <v>0</v>
      </c>
      <c r="I360" s="3">
        <v>1</v>
      </c>
      <c r="J360" s="7">
        <v>0.22</v>
      </c>
    </row>
    <row r="361" spans="1:10" ht="15" thickBot="1" x14ac:dyDescent="0.35">
      <c r="A361" s="6">
        <v>360</v>
      </c>
      <c r="B361" s="4">
        <v>40559</v>
      </c>
      <c r="C361" s="3">
        <v>1</v>
      </c>
      <c r="D361" s="3">
        <v>0</v>
      </c>
      <c r="E361" s="3">
        <v>1</v>
      </c>
      <c r="F361" s="3">
        <v>11</v>
      </c>
      <c r="G361" s="5" t="b">
        <v>0</v>
      </c>
      <c r="H361" s="3">
        <v>0</v>
      </c>
      <c r="I361" s="3">
        <v>1</v>
      </c>
      <c r="J361" s="7">
        <v>0.24</v>
      </c>
    </row>
    <row r="362" spans="1:10" ht="15" thickBot="1" x14ac:dyDescent="0.35">
      <c r="A362" s="6">
        <v>361</v>
      </c>
      <c r="B362" s="4">
        <v>40559</v>
      </c>
      <c r="C362" s="3">
        <v>1</v>
      </c>
      <c r="D362" s="3">
        <v>0</v>
      </c>
      <c r="E362" s="3">
        <v>1</v>
      </c>
      <c r="F362" s="3">
        <v>12</v>
      </c>
      <c r="G362" s="5" t="b">
        <v>0</v>
      </c>
      <c r="H362" s="3">
        <v>0</v>
      </c>
      <c r="I362" s="3">
        <v>1</v>
      </c>
      <c r="J362" s="7">
        <v>0.24</v>
      </c>
    </row>
    <row r="363" spans="1:10" ht="15" thickBot="1" x14ac:dyDescent="0.35">
      <c r="A363" s="6">
        <v>362</v>
      </c>
      <c r="B363" s="4">
        <v>40559</v>
      </c>
      <c r="C363" s="3">
        <v>1</v>
      </c>
      <c r="D363" s="3">
        <v>0</v>
      </c>
      <c r="E363" s="3">
        <v>1</v>
      </c>
      <c r="F363" s="3">
        <v>13</v>
      </c>
      <c r="G363" s="5" t="b">
        <v>0</v>
      </c>
      <c r="H363" s="3">
        <v>0</v>
      </c>
      <c r="I363" s="3">
        <v>1</v>
      </c>
      <c r="J363" s="7">
        <v>0.26</v>
      </c>
    </row>
    <row r="364" spans="1:10" ht="15" thickBot="1" x14ac:dyDescent="0.35">
      <c r="A364" s="6">
        <v>363</v>
      </c>
      <c r="B364" s="4">
        <v>40559</v>
      </c>
      <c r="C364" s="3">
        <v>1</v>
      </c>
      <c r="D364" s="3">
        <v>0</v>
      </c>
      <c r="E364" s="3">
        <v>1</v>
      </c>
      <c r="F364" s="3">
        <v>14</v>
      </c>
      <c r="G364" s="5" t="b">
        <v>0</v>
      </c>
      <c r="H364" s="3">
        <v>0</v>
      </c>
      <c r="I364" s="3">
        <v>1</v>
      </c>
      <c r="J364" s="7">
        <v>0.28000000000000003</v>
      </c>
    </row>
    <row r="365" spans="1:10" ht="15" thickBot="1" x14ac:dyDescent="0.35">
      <c r="A365" s="6">
        <v>364</v>
      </c>
      <c r="B365" s="4">
        <v>40559</v>
      </c>
      <c r="C365" s="3">
        <v>1</v>
      </c>
      <c r="D365" s="3">
        <v>0</v>
      </c>
      <c r="E365" s="3">
        <v>1</v>
      </c>
      <c r="F365" s="3">
        <v>15</v>
      </c>
      <c r="G365" s="5" t="b">
        <v>0</v>
      </c>
      <c r="H365" s="3">
        <v>0</v>
      </c>
      <c r="I365" s="3">
        <v>1</v>
      </c>
      <c r="J365" s="7">
        <v>0.26</v>
      </c>
    </row>
    <row r="366" spans="1:10" ht="15" thickBot="1" x14ac:dyDescent="0.35">
      <c r="A366" s="6">
        <v>365</v>
      </c>
      <c r="B366" s="4">
        <v>40559</v>
      </c>
      <c r="C366" s="3">
        <v>1</v>
      </c>
      <c r="D366" s="3">
        <v>0</v>
      </c>
      <c r="E366" s="3">
        <v>1</v>
      </c>
      <c r="F366" s="3">
        <v>16</v>
      </c>
      <c r="G366" s="5" t="b">
        <v>0</v>
      </c>
      <c r="H366" s="3">
        <v>0</v>
      </c>
      <c r="I366" s="3">
        <v>1</v>
      </c>
      <c r="J366" s="7">
        <v>0.24</v>
      </c>
    </row>
    <row r="367" spans="1:10" ht="15" thickBot="1" x14ac:dyDescent="0.35">
      <c r="A367" s="6">
        <v>366</v>
      </c>
      <c r="B367" s="4">
        <v>40559</v>
      </c>
      <c r="C367" s="3">
        <v>1</v>
      </c>
      <c r="D367" s="3">
        <v>0</v>
      </c>
      <c r="E367" s="3">
        <v>1</v>
      </c>
      <c r="F367" s="3">
        <v>17</v>
      </c>
      <c r="G367" s="5" t="b">
        <v>0</v>
      </c>
      <c r="H367" s="3">
        <v>0</v>
      </c>
      <c r="I367" s="3">
        <v>1</v>
      </c>
      <c r="J367" s="7">
        <v>0.22</v>
      </c>
    </row>
    <row r="368" spans="1:10" ht="15" thickBot="1" x14ac:dyDescent="0.35">
      <c r="A368" s="6">
        <v>367</v>
      </c>
      <c r="B368" s="4">
        <v>40559</v>
      </c>
      <c r="C368" s="3">
        <v>1</v>
      </c>
      <c r="D368" s="3">
        <v>0</v>
      </c>
      <c r="E368" s="3">
        <v>1</v>
      </c>
      <c r="F368" s="3">
        <v>18</v>
      </c>
      <c r="G368" s="5" t="b">
        <v>0</v>
      </c>
      <c r="H368" s="3">
        <v>0</v>
      </c>
      <c r="I368" s="3">
        <v>1</v>
      </c>
      <c r="J368" s="7">
        <v>0.2</v>
      </c>
    </row>
    <row r="369" spans="1:10" ht="15" thickBot="1" x14ac:dyDescent="0.35">
      <c r="A369" s="6">
        <v>368</v>
      </c>
      <c r="B369" s="4">
        <v>40559</v>
      </c>
      <c r="C369" s="3">
        <v>1</v>
      </c>
      <c r="D369" s="3">
        <v>0</v>
      </c>
      <c r="E369" s="3">
        <v>1</v>
      </c>
      <c r="F369" s="3">
        <v>19</v>
      </c>
      <c r="G369" s="5" t="b">
        <v>0</v>
      </c>
      <c r="H369" s="3">
        <v>0</v>
      </c>
      <c r="I369" s="3">
        <v>1</v>
      </c>
      <c r="J369" s="7">
        <v>0.18</v>
      </c>
    </row>
    <row r="370" spans="1:10" ht="15" thickBot="1" x14ac:dyDescent="0.35">
      <c r="A370" s="6">
        <v>369</v>
      </c>
      <c r="B370" s="4">
        <v>40559</v>
      </c>
      <c r="C370" s="3">
        <v>1</v>
      </c>
      <c r="D370" s="3">
        <v>0</v>
      </c>
      <c r="E370" s="3">
        <v>1</v>
      </c>
      <c r="F370" s="3">
        <v>20</v>
      </c>
      <c r="G370" s="5" t="b">
        <v>0</v>
      </c>
      <c r="H370" s="3">
        <v>0</v>
      </c>
      <c r="I370" s="3">
        <v>1</v>
      </c>
      <c r="J370" s="7">
        <v>0.18</v>
      </c>
    </row>
    <row r="371" spans="1:10" ht="15" thickBot="1" x14ac:dyDescent="0.35">
      <c r="A371" s="6">
        <v>370</v>
      </c>
      <c r="B371" s="4">
        <v>40559</v>
      </c>
      <c r="C371" s="3">
        <v>1</v>
      </c>
      <c r="D371" s="3">
        <v>0</v>
      </c>
      <c r="E371" s="3">
        <v>1</v>
      </c>
      <c r="F371" s="3">
        <v>21</v>
      </c>
      <c r="G371" s="5" t="b">
        <v>0</v>
      </c>
      <c r="H371" s="3">
        <v>0</v>
      </c>
      <c r="I371" s="3">
        <v>1</v>
      </c>
      <c r="J371" s="7">
        <v>0.18</v>
      </c>
    </row>
    <row r="372" spans="1:10" ht="15" thickBot="1" x14ac:dyDescent="0.35">
      <c r="A372" s="6">
        <v>371</v>
      </c>
      <c r="B372" s="4">
        <v>40559</v>
      </c>
      <c r="C372" s="3">
        <v>1</v>
      </c>
      <c r="D372" s="3">
        <v>0</v>
      </c>
      <c r="E372" s="3">
        <v>1</v>
      </c>
      <c r="F372" s="3">
        <v>22</v>
      </c>
      <c r="G372" s="5" t="b">
        <v>0</v>
      </c>
      <c r="H372" s="3">
        <v>0</v>
      </c>
      <c r="I372" s="3">
        <v>2</v>
      </c>
      <c r="J372" s="7">
        <v>0.2</v>
      </c>
    </row>
    <row r="373" spans="1:10" ht="15" thickBot="1" x14ac:dyDescent="0.35">
      <c r="A373" s="6">
        <v>372</v>
      </c>
      <c r="B373" s="4">
        <v>40559</v>
      </c>
      <c r="C373" s="3">
        <v>1</v>
      </c>
      <c r="D373" s="3">
        <v>0</v>
      </c>
      <c r="E373" s="3">
        <v>1</v>
      </c>
      <c r="F373" s="3">
        <v>23</v>
      </c>
      <c r="G373" s="5" t="b">
        <v>0</v>
      </c>
      <c r="H373" s="3">
        <v>0</v>
      </c>
      <c r="I373" s="3">
        <v>2</v>
      </c>
      <c r="J373" s="7">
        <v>0.2</v>
      </c>
    </row>
    <row r="374" spans="1:10" ht="15" thickBot="1" x14ac:dyDescent="0.35">
      <c r="A374" s="6">
        <v>373</v>
      </c>
      <c r="B374" s="4">
        <v>40560</v>
      </c>
      <c r="C374" s="3">
        <v>1</v>
      </c>
      <c r="D374" s="3">
        <v>0</v>
      </c>
      <c r="E374" s="3">
        <v>1</v>
      </c>
      <c r="F374" s="3">
        <v>0</v>
      </c>
      <c r="G374" s="5" t="b">
        <v>1</v>
      </c>
      <c r="H374" s="3">
        <v>1</v>
      </c>
      <c r="I374" s="3">
        <v>2</v>
      </c>
      <c r="J374" s="7">
        <v>0.2</v>
      </c>
    </row>
    <row r="375" spans="1:10" ht="15" thickBot="1" x14ac:dyDescent="0.35">
      <c r="A375" s="6">
        <v>374</v>
      </c>
      <c r="B375" s="4">
        <v>40560</v>
      </c>
      <c r="C375" s="3">
        <v>1</v>
      </c>
      <c r="D375" s="3">
        <v>0</v>
      </c>
      <c r="E375" s="3">
        <v>1</v>
      </c>
      <c r="F375" s="3">
        <v>1</v>
      </c>
      <c r="G375" s="5" t="b">
        <v>1</v>
      </c>
      <c r="H375" s="3">
        <v>1</v>
      </c>
      <c r="I375" s="3">
        <v>2</v>
      </c>
      <c r="J375" s="7">
        <v>0.2</v>
      </c>
    </row>
    <row r="376" spans="1:10" ht="15" thickBot="1" x14ac:dyDescent="0.35">
      <c r="A376" s="6">
        <v>375</v>
      </c>
      <c r="B376" s="4">
        <v>40560</v>
      </c>
      <c r="C376" s="3">
        <v>1</v>
      </c>
      <c r="D376" s="3">
        <v>0</v>
      </c>
      <c r="E376" s="3">
        <v>1</v>
      </c>
      <c r="F376" s="3">
        <v>2</v>
      </c>
      <c r="G376" s="5" t="b">
        <v>1</v>
      </c>
      <c r="H376" s="3">
        <v>1</v>
      </c>
      <c r="I376" s="3">
        <v>2</v>
      </c>
      <c r="J376" s="7">
        <v>0.18</v>
      </c>
    </row>
    <row r="377" spans="1:10" ht="15" thickBot="1" x14ac:dyDescent="0.35">
      <c r="A377" s="6">
        <v>376</v>
      </c>
      <c r="B377" s="4">
        <v>40560</v>
      </c>
      <c r="C377" s="3">
        <v>1</v>
      </c>
      <c r="D377" s="3">
        <v>0</v>
      </c>
      <c r="E377" s="3">
        <v>1</v>
      </c>
      <c r="F377" s="3">
        <v>3</v>
      </c>
      <c r="G377" s="5" t="b">
        <v>1</v>
      </c>
      <c r="H377" s="3">
        <v>1</v>
      </c>
      <c r="I377" s="3">
        <v>2</v>
      </c>
      <c r="J377" s="7">
        <v>0.18</v>
      </c>
    </row>
    <row r="378" spans="1:10" ht="15" thickBot="1" x14ac:dyDescent="0.35">
      <c r="A378" s="6">
        <v>377</v>
      </c>
      <c r="B378" s="4">
        <v>40560</v>
      </c>
      <c r="C378" s="3">
        <v>1</v>
      </c>
      <c r="D378" s="3">
        <v>0</v>
      </c>
      <c r="E378" s="3">
        <v>1</v>
      </c>
      <c r="F378" s="3">
        <v>4</v>
      </c>
      <c r="G378" s="5" t="b">
        <v>1</v>
      </c>
      <c r="H378" s="3">
        <v>1</v>
      </c>
      <c r="I378" s="3">
        <v>2</v>
      </c>
      <c r="J378" s="7">
        <v>0.18</v>
      </c>
    </row>
    <row r="379" spans="1:10" ht="15" thickBot="1" x14ac:dyDescent="0.35">
      <c r="A379" s="6">
        <v>378</v>
      </c>
      <c r="B379" s="4">
        <v>40560</v>
      </c>
      <c r="C379" s="3">
        <v>1</v>
      </c>
      <c r="D379" s="3">
        <v>0</v>
      </c>
      <c r="E379" s="3">
        <v>1</v>
      </c>
      <c r="F379" s="3">
        <v>5</v>
      </c>
      <c r="G379" s="5" t="b">
        <v>1</v>
      </c>
      <c r="H379" s="3">
        <v>1</v>
      </c>
      <c r="I379" s="3">
        <v>2</v>
      </c>
      <c r="J379" s="7">
        <v>0.18</v>
      </c>
    </row>
    <row r="380" spans="1:10" ht="15" thickBot="1" x14ac:dyDescent="0.35">
      <c r="A380" s="6">
        <v>379</v>
      </c>
      <c r="B380" s="4">
        <v>40560</v>
      </c>
      <c r="C380" s="3">
        <v>1</v>
      </c>
      <c r="D380" s="3">
        <v>0</v>
      </c>
      <c r="E380" s="3">
        <v>1</v>
      </c>
      <c r="F380" s="3">
        <v>6</v>
      </c>
      <c r="G380" s="5" t="b">
        <v>1</v>
      </c>
      <c r="H380" s="3">
        <v>1</v>
      </c>
      <c r="I380" s="3">
        <v>2</v>
      </c>
      <c r="J380" s="7">
        <v>0.18</v>
      </c>
    </row>
    <row r="381" spans="1:10" ht="15" thickBot="1" x14ac:dyDescent="0.35">
      <c r="A381" s="6">
        <v>380</v>
      </c>
      <c r="B381" s="4">
        <v>40560</v>
      </c>
      <c r="C381" s="3">
        <v>1</v>
      </c>
      <c r="D381" s="3">
        <v>0</v>
      </c>
      <c r="E381" s="3">
        <v>1</v>
      </c>
      <c r="F381" s="3">
        <v>7</v>
      </c>
      <c r="G381" s="5" t="b">
        <v>1</v>
      </c>
      <c r="H381" s="3">
        <v>1</v>
      </c>
      <c r="I381" s="3">
        <v>2</v>
      </c>
      <c r="J381" s="7">
        <v>0.16</v>
      </c>
    </row>
    <row r="382" spans="1:10" ht="15" thickBot="1" x14ac:dyDescent="0.35">
      <c r="A382" s="6">
        <v>381</v>
      </c>
      <c r="B382" s="4">
        <v>40560</v>
      </c>
      <c r="C382" s="3">
        <v>1</v>
      </c>
      <c r="D382" s="3">
        <v>0</v>
      </c>
      <c r="E382" s="3">
        <v>1</v>
      </c>
      <c r="F382" s="3">
        <v>8</v>
      </c>
      <c r="G382" s="5" t="b">
        <v>1</v>
      </c>
      <c r="H382" s="3">
        <v>1</v>
      </c>
      <c r="I382" s="3">
        <v>2</v>
      </c>
      <c r="J382" s="7">
        <v>0.16</v>
      </c>
    </row>
    <row r="383" spans="1:10" ht="15" thickBot="1" x14ac:dyDescent="0.35">
      <c r="A383" s="6">
        <v>382</v>
      </c>
      <c r="B383" s="4">
        <v>40560</v>
      </c>
      <c r="C383" s="3">
        <v>1</v>
      </c>
      <c r="D383" s="3">
        <v>0</v>
      </c>
      <c r="E383" s="3">
        <v>1</v>
      </c>
      <c r="F383" s="3">
        <v>9</v>
      </c>
      <c r="G383" s="5" t="b">
        <v>1</v>
      </c>
      <c r="H383" s="3">
        <v>1</v>
      </c>
      <c r="I383" s="3">
        <v>2</v>
      </c>
      <c r="J383" s="7">
        <v>0.16</v>
      </c>
    </row>
    <row r="384" spans="1:10" ht="15" thickBot="1" x14ac:dyDescent="0.35">
      <c r="A384" s="6">
        <v>383</v>
      </c>
      <c r="B384" s="4">
        <v>40560</v>
      </c>
      <c r="C384" s="3">
        <v>1</v>
      </c>
      <c r="D384" s="3">
        <v>0</v>
      </c>
      <c r="E384" s="3">
        <v>1</v>
      </c>
      <c r="F384" s="3">
        <v>10</v>
      </c>
      <c r="G384" s="5" t="b">
        <v>1</v>
      </c>
      <c r="H384" s="3">
        <v>1</v>
      </c>
      <c r="I384" s="3">
        <v>2</v>
      </c>
      <c r="J384" s="7">
        <v>0.16</v>
      </c>
    </row>
    <row r="385" spans="1:10" ht="15" thickBot="1" x14ac:dyDescent="0.35">
      <c r="A385" s="6">
        <v>384</v>
      </c>
      <c r="B385" s="4">
        <v>40560</v>
      </c>
      <c r="C385" s="3">
        <v>1</v>
      </c>
      <c r="D385" s="3">
        <v>0</v>
      </c>
      <c r="E385" s="3">
        <v>1</v>
      </c>
      <c r="F385" s="3">
        <v>11</v>
      </c>
      <c r="G385" s="5" t="b">
        <v>1</v>
      </c>
      <c r="H385" s="3">
        <v>1</v>
      </c>
      <c r="I385" s="3">
        <v>2</v>
      </c>
      <c r="J385" s="7">
        <v>0.16</v>
      </c>
    </row>
    <row r="386" spans="1:10" ht="15" thickBot="1" x14ac:dyDescent="0.35">
      <c r="A386" s="6">
        <v>385</v>
      </c>
      <c r="B386" s="4">
        <v>40560</v>
      </c>
      <c r="C386" s="3">
        <v>1</v>
      </c>
      <c r="D386" s="3">
        <v>0</v>
      </c>
      <c r="E386" s="3">
        <v>1</v>
      </c>
      <c r="F386" s="3">
        <v>12</v>
      </c>
      <c r="G386" s="5" t="b">
        <v>1</v>
      </c>
      <c r="H386" s="3">
        <v>1</v>
      </c>
      <c r="I386" s="3">
        <v>2</v>
      </c>
      <c r="J386" s="7">
        <v>0.18</v>
      </c>
    </row>
    <row r="387" spans="1:10" ht="15" thickBot="1" x14ac:dyDescent="0.35">
      <c r="A387" s="6">
        <v>386</v>
      </c>
      <c r="B387" s="4">
        <v>40560</v>
      </c>
      <c r="C387" s="3">
        <v>1</v>
      </c>
      <c r="D387" s="3">
        <v>0</v>
      </c>
      <c r="E387" s="3">
        <v>1</v>
      </c>
      <c r="F387" s="3">
        <v>13</v>
      </c>
      <c r="G387" s="5" t="b">
        <v>1</v>
      </c>
      <c r="H387" s="3">
        <v>1</v>
      </c>
      <c r="I387" s="3">
        <v>2</v>
      </c>
      <c r="J387" s="7">
        <v>0.18</v>
      </c>
    </row>
    <row r="388" spans="1:10" ht="15" thickBot="1" x14ac:dyDescent="0.35">
      <c r="A388" s="6">
        <v>387</v>
      </c>
      <c r="B388" s="4">
        <v>40560</v>
      </c>
      <c r="C388" s="3">
        <v>1</v>
      </c>
      <c r="D388" s="3">
        <v>0</v>
      </c>
      <c r="E388" s="3">
        <v>1</v>
      </c>
      <c r="F388" s="3">
        <v>14</v>
      </c>
      <c r="G388" s="5" t="b">
        <v>1</v>
      </c>
      <c r="H388" s="3">
        <v>1</v>
      </c>
      <c r="I388" s="3">
        <v>2</v>
      </c>
      <c r="J388" s="7">
        <v>0.18</v>
      </c>
    </row>
    <row r="389" spans="1:10" ht="15" thickBot="1" x14ac:dyDescent="0.35">
      <c r="A389" s="6">
        <v>388</v>
      </c>
      <c r="B389" s="4">
        <v>40560</v>
      </c>
      <c r="C389" s="3">
        <v>1</v>
      </c>
      <c r="D389" s="3">
        <v>0</v>
      </c>
      <c r="E389" s="3">
        <v>1</v>
      </c>
      <c r="F389" s="3">
        <v>15</v>
      </c>
      <c r="G389" s="5" t="b">
        <v>1</v>
      </c>
      <c r="H389" s="3">
        <v>1</v>
      </c>
      <c r="I389" s="3">
        <v>2</v>
      </c>
      <c r="J389" s="7">
        <v>0.2</v>
      </c>
    </row>
    <row r="390" spans="1:10" ht="15" thickBot="1" x14ac:dyDescent="0.35">
      <c r="A390" s="6">
        <v>389</v>
      </c>
      <c r="B390" s="4">
        <v>40560</v>
      </c>
      <c r="C390" s="3">
        <v>1</v>
      </c>
      <c r="D390" s="3">
        <v>0</v>
      </c>
      <c r="E390" s="3">
        <v>1</v>
      </c>
      <c r="F390" s="3">
        <v>16</v>
      </c>
      <c r="G390" s="5" t="b">
        <v>1</v>
      </c>
      <c r="H390" s="3">
        <v>1</v>
      </c>
      <c r="I390" s="3">
        <v>2</v>
      </c>
      <c r="J390" s="7">
        <v>0.2</v>
      </c>
    </row>
    <row r="391" spans="1:10" ht="15" thickBot="1" x14ac:dyDescent="0.35">
      <c r="A391" s="6">
        <v>390</v>
      </c>
      <c r="B391" s="4">
        <v>40560</v>
      </c>
      <c r="C391" s="3">
        <v>1</v>
      </c>
      <c r="D391" s="3">
        <v>0</v>
      </c>
      <c r="E391" s="3">
        <v>1</v>
      </c>
      <c r="F391" s="3">
        <v>17</v>
      </c>
      <c r="G391" s="5" t="b">
        <v>1</v>
      </c>
      <c r="H391" s="3">
        <v>1</v>
      </c>
      <c r="I391" s="3">
        <v>1</v>
      </c>
      <c r="J391" s="7">
        <v>0.2</v>
      </c>
    </row>
    <row r="392" spans="1:10" ht="15" thickBot="1" x14ac:dyDescent="0.35">
      <c r="A392" s="6">
        <v>391</v>
      </c>
      <c r="B392" s="4">
        <v>40560</v>
      </c>
      <c r="C392" s="3">
        <v>1</v>
      </c>
      <c r="D392" s="3">
        <v>0</v>
      </c>
      <c r="E392" s="3">
        <v>1</v>
      </c>
      <c r="F392" s="3">
        <v>18</v>
      </c>
      <c r="G392" s="5" t="b">
        <v>1</v>
      </c>
      <c r="H392" s="3">
        <v>1</v>
      </c>
      <c r="I392" s="3">
        <v>2</v>
      </c>
      <c r="J392" s="7">
        <v>0.18</v>
      </c>
    </row>
    <row r="393" spans="1:10" ht="15" thickBot="1" x14ac:dyDescent="0.35">
      <c r="A393" s="6">
        <v>392</v>
      </c>
      <c r="B393" s="4">
        <v>40560</v>
      </c>
      <c r="C393" s="3">
        <v>1</v>
      </c>
      <c r="D393" s="3">
        <v>0</v>
      </c>
      <c r="E393" s="3">
        <v>1</v>
      </c>
      <c r="F393" s="3">
        <v>19</v>
      </c>
      <c r="G393" s="5" t="b">
        <v>1</v>
      </c>
      <c r="H393" s="3">
        <v>1</v>
      </c>
      <c r="I393" s="3">
        <v>3</v>
      </c>
      <c r="J393" s="7">
        <v>0.18</v>
      </c>
    </row>
    <row r="394" spans="1:10" ht="15" thickBot="1" x14ac:dyDescent="0.35">
      <c r="A394" s="6">
        <v>393</v>
      </c>
      <c r="B394" s="4">
        <v>40560</v>
      </c>
      <c r="C394" s="3">
        <v>1</v>
      </c>
      <c r="D394" s="3">
        <v>0</v>
      </c>
      <c r="E394" s="3">
        <v>1</v>
      </c>
      <c r="F394" s="3">
        <v>20</v>
      </c>
      <c r="G394" s="5" t="b">
        <v>1</v>
      </c>
      <c r="H394" s="3">
        <v>1</v>
      </c>
      <c r="I394" s="3">
        <v>3</v>
      </c>
      <c r="J394" s="7">
        <v>0.16</v>
      </c>
    </row>
    <row r="395" spans="1:10" ht="15" thickBot="1" x14ac:dyDescent="0.35">
      <c r="A395" s="6">
        <v>394</v>
      </c>
      <c r="B395" s="4">
        <v>40560</v>
      </c>
      <c r="C395" s="3">
        <v>1</v>
      </c>
      <c r="D395" s="3">
        <v>0</v>
      </c>
      <c r="E395" s="3">
        <v>1</v>
      </c>
      <c r="F395" s="3">
        <v>21</v>
      </c>
      <c r="G395" s="5" t="b">
        <v>1</v>
      </c>
      <c r="H395" s="3">
        <v>1</v>
      </c>
      <c r="I395" s="3">
        <v>3</v>
      </c>
      <c r="J395" s="7">
        <v>0.16</v>
      </c>
    </row>
    <row r="396" spans="1:10" ht="15" thickBot="1" x14ac:dyDescent="0.35">
      <c r="A396" s="6">
        <v>395</v>
      </c>
      <c r="B396" s="4">
        <v>40560</v>
      </c>
      <c r="C396" s="3">
        <v>1</v>
      </c>
      <c r="D396" s="3">
        <v>0</v>
      </c>
      <c r="E396" s="3">
        <v>1</v>
      </c>
      <c r="F396" s="3">
        <v>22</v>
      </c>
      <c r="G396" s="5" t="b">
        <v>1</v>
      </c>
      <c r="H396" s="3">
        <v>1</v>
      </c>
      <c r="I396" s="3">
        <v>3</v>
      </c>
      <c r="J396" s="7">
        <v>0.14000000000000001</v>
      </c>
    </row>
    <row r="397" spans="1:10" ht="15" thickBot="1" x14ac:dyDescent="0.35">
      <c r="A397" s="6">
        <v>396</v>
      </c>
      <c r="B397" s="4">
        <v>40560</v>
      </c>
      <c r="C397" s="3">
        <v>1</v>
      </c>
      <c r="D397" s="3">
        <v>0</v>
      </c>
      <c r="E397" s="3">
        <v>1</v>
      </c>
      <c r="F397" s="3">
        <v>23</v>
      </c>
      <c r="G397" s="5" t="b">
        <v>1</v>
      </c>
      <c r="H397" s="3">
        <v>1</v>
      </c>
      <c r="I397" s="3">
        <v>3</v>
      </c>
      <c r="J397" s="7">
        <v>0.16</v>
      </c>
    </row>
    <row r="398" spans="1:10" ht="15" thickBot="1" x14ac:dyDescent="0.35">
      <c r="A398" s="6">
        <v>397</v>
      </c>
      <c r="B398" s="4">
        <v>40561</v>
      </c>
      <c r="C398" s="3">
        <v>1</v>
      </c>
      <c r="D398" s="3">
        <v>0</v>
      </c>
      <c r="E398" s="3">
        <v>1</v>
      </c>
      <c r="F398" s="3">
        <v>12</v>
      </c>
      <c r="G398" s="5" t="b">
        <v>0</v>
      </c>
      <c r="H398" s="3">
        <v>2</v>
      </c>
      <c r="I398" s="3">
        <v>2</v>
      </c>
      <c r="J398" s="7">
        <v>0.2</v>
      </c>
    </row>
    <row r="399" spans="1:10" ht="15" thickBot="1" x14ac:dyDescent="0.35">
      <c r="A399" s="6">
        <v>398</v>
      </c>
      <c r="B399" s="4">
        <v>40561</v>
      </c>
      <c r="C399" s="3">
        <v>1</v>
      </c>
      <c r="D399" s="3">
        <v>0</v>
      </c>
      <c r="E399" s="3">
        <v>1</v>
      </c>
      <c r="F399" s="3">
        <v>13</v>
      </c>
      <c r="G399" s="5" t="b">
        <v>0</v>
      </c>
      <c r="H399" s="3">
        <v>2</v>
      </c>
      <c r="I399" s="3">
        <v>2</v>
      </c>
      <c r="J399" s="7">
        <v>0.2</v>
      </c>
    </row>
    <row r="400" spans="1:10" ht="15" thickBot="1" x14ac:dyDescent="0.35">
      <c r="A400" s="6">
        <v>399</v>
      </c>
      <c r="B400" s="4">
        <v>40561</v>
      </c>
      <c r="C400" s="3">
        <v>1</v>
      </c>
      <c r="D400" s="3">
        <v>0</v>
      </c>
      <c r="E400" s="3">
        <v>1</v>
      </c>
      <c r="F400" s="3">
        <v>14</v>
      </c>
      <c r="G400" s="5" t="b">
        <v>0</v>
      </c>
      <c r="H400" s="3">
        <v>2</v>
      </c>
      <c r="I400" s="3">
        <v>2</v>
      </c>
      <c r="J400" s="7">
        <v>0.22</v>
      </c>
    </row>
    <row r="401" spans="1:10" ht="15" thickBot="1" x14ac:dyDescent="0.35">
      <c r="A401" s="6">
        <v>400</v>
      </c>
      <c r="B401" s="4">
        <v>40561</v>
      </c>
      <c r="C401" s="3">
        <v>1</v>
      </c>
      <c r="D401" s="3">
        <v>0</v>
      </c>
      <c r="E401" s="3">
        <v>1</v>
      </c>
      <c r="F401" s="3">
        <v>15</v>
      </c>
      <c r="G401" s="5" t="b">
        <v>0</v>
      </c>
      <c r="H401" s="3">
        <v>2</v>
      </c>
      <c r="I401" s="3">
        <v>2</v>
      </c>
      <c r="J401" s="7">
        <v>0.22</v>
      </c>
    </row>
    <row r="402" spans="1:10" ht="15" thickBot="1" x14ac:dyDescent="0.35">
      <c r="A402" s="6">
        <v>401</v>
      </c>
      <c r="B402" s="4">
        <v>40561</v>
      </c>
      <c r="C402" s="3">
        <v>1</v>
      </c>
      <c r="D402" s="3">
        <v>0</v>
      </c>
      <c r="E402" s="3">
        <v>1</v>
      </c>
      <c r="F402" s="3">
        <v>16</v>
      </c>
      <c r="G402" s="5" t="b">
        <v>0</v>
      </c>
      <c r="H402" s="3">
        <v>2</v>
      </c>
      <c r="I402" s="3">
        <v>2</v>
      </c>
      <c r="J402" s="7">
        <v>0.22</v>
      </c>
    </row>
    <row r="403" spans="1:10" ht="15" thickBot="1" x14ac:dyDescent="0.35">
      <c r="A403" s="6">
        <v>402</v>
      </c>
      <c r="B403" s="4">
        <v>40561</v>
      </c>
      <c r="C403" s="3">
        <v>1</v>
      </c>
      <c r="D403" s="3">
        <v>0</v>
      </c>
      <c r="E403" s="3">
        <v>1</v>
      </c>
      <c r="F403" s="3">
        <v>17</v>
      </c>
      <c r="G403" s="5" t="b">
        <v>0</v>
      </c>
      <c r="H403" s="3">
        <v>2</v>
      </c>
      <c r="I403" s="3">
        <v>2</v>
      </c>
      <c r="J403" s="7">
        <v>0.22</v>
      </c>
    </row>
    <row r="404" spans="1:10" ht="15" thickBot="1" x14ac:dyDescent="0.35">
      <c r="A404" s="6">
        <v>403</v>
      </c>
      <c r="B404" s="4">
        <v>40561</v>
      </c>
      <c r="C404" s="3">
        <v>1</v>
      </c>
      <c r="D404" s="3">
        <v>0</v>
      </c>
      <c r="E404" s="3">
        <v>1</v>
      </c>
      <c r="F404" s="3">
        <v>18</v>
      </c>
      <c r="G404" s="5" t="b">
        <v>0</v>
      </c>
      <c r="H404" s="3">
        <v>2</v>
      </c>
      <c r="I404" s="3">
        <v>2</v>
      </c>
      <c r="J404" s="7">
        <v>0.22</v>
      </c>
    </row>
    <row r="405" spans="1:10" ht="15" thickBot="1" x14ac:dyDescent="0.35">
      <c r="A405" s="6">
        <v>404</v>
      </c>
      <c r="B405" s="4">
        <v>40561</v>
      </c>
      <c r="C405" s="3">
        <v>1</v>
      </c>
      <c r="D405" s="3">
        <v>0</v>
      </c>
      <c r="E405" s="3">
        <v>1</v>
      </c>
      <c r="F405" s="3">
        <v>19</v>
      </c>
      <c r="G405" s="5" t="b">
        <v>0</v>
      </c>
      <c r="H405" s="3">
        <v>2</v>
      </c>
      <c r="I405" s="3">
        <v>2</v>
      </c>
      <c r="J405" s="7">
        <v>0.22</v>
      </c>
    </row>
    <row r="406" spans="1:10" ht="15" thickBot="1" x14ac:dyDescent="0.35">
      <c r="A406" s="6">
        <v>405</v>
      </c>
      <c r="B406" s="4">
        <v>40561</v>
      </c>
      <c r="C406" s="3">
        <v>1</v>
      </c>
      <c r="D406" s="3">
        <v>0</v>
      </c>
      <c r="E406" s="3">
        <v>1</v>
      </c>
      <c r="F406" s="3">
        <v>20</v>
      </c>
      <c r="G406" s="5" t="b">
        <v>0</v>
      </c>
      <c r="H406" s="3">
        <v>2</v>
      </c>
      <c r="I406" s="3">
        <v>2</v>
      </c>
      <c r="J406" s="7">
        <v>0.22</v>
      </c>
    </row>
    <row r="407" spans="1:10" ht="15" thickBot="1" x14ac:dyDescent="0.35">
      <c r="A407" s="6">
        <v>406</v>
      </c>
      <c r="B407" s="4">
        <v>40561</v>
      </c>
      <c r="C407" s="3">
        <v>1</v>
      </c>
      <c r="D407" s="3">
        <v>0</v>
      </c>
      <c r="E407" s="3">
        <v>1</v>
      </c>
      <c r="F407" s="3">
        <v>21</v>
      </c>
      <c r="G407" s="5" t="b">
        <v>0</v>
      </c>
      <c r="H407" s="3">
        <v>2</v>
      </c>
      <c r="I407" s="3">
        <v>2</v>
      </c>
      <c r="J407" s="7">
        <v>0.22</v>
      </c>
    </row>
    <row r="408" spans="1:10" ht="15" thickBot="1" x14ac:dyDescent="0.35">
      <c r="A408" s="6">
        <v>407</v>
      </c>
      <c r="B408" s="4">
        <v>40561</v>
      </c>
      <c r="C408" s="3">
        <v>1</v>
      </c>
      <c r="D408" s="3">
        <v>0</v>
      </c>
      <c r="E408" s="3">
        <v>1</v>
      </c>
      <c r="F408" s="3">
        <v>22</v>
      </c>
      <c r="G408" s="5" t="b">
        <v>0</v>
      </c>
      <c r="H408" s="3">
        <v>2</v>
      </c>
      <c r="I408" s="3">
        <v>2</v>
      </c>
      <c r="J408" s="7">
        <v>0.22</v>
      </c>
    </row>
    <row r="409" spans="1:10" ht="15" thickBot="1" x14ac:dyDescent="0.35">
      <c r="A409" s="6">
        <v>408</v>
      </c>
      <c r="B409" s="4">
        <v>40561</v>
      </c>
      <c r="C409" s="3">
        <v>1</v>
      </c>
      <c r="D409" s="3">
        <v>0</v>
      </c>
      <c r="E409" s="3">
        <v>1</v>
      </c>
      <c r="F409" s="3">
        <v>23</v>
      </c>
      <c r="G409" s="5" t="b">
        <v>0</v>
      </c>
      <c r="H409" s="3">
        <v>2</v>
      </c>
      <c r="I409" s="3">
        <v>2</v>
      </c>
      <c r="J409" s="7">
        <v>0.22</v>
      </c>
    </row>
    <row r="410" spans="1:10" ht="15" thickBot="1" x14ac:dyDescent="0.35">
      <c r="A410" s="6">
        <v>409</v>
      </c>
      <c r="B410" s="4">
        <v>40562</v>
      </c>
      <c r="C410" s="3">
        <v>1</v>
      </c>
      <c r="D410" s="3">
        <v>0</v>
      </c>
      <c r="E410" s="3">
        <v>1</v>
      </c>
      <c r="F410" s="3">
        <v>0</v>
      </c>
      <c r="G410" s="5" t="b">
        <v>0</v>
      </c>
      <c r="H410" s="3">
        <v>3</v>
      </c>
      <c r="I410" s="3">
        <v>2</v>
      </c>
      <c r="J410" s="7">
        <v>0.22</v>
      </c>
    </row>
    <row r="411" spans="1:10" ht="15" thickBot="1" x14ac:dyDescent="0.35">
      <c r="A411" s="6">
        <v>410</v>
      </c>
      <c r="B411" s="4">
        <v>40562</v>
      </c>
      <c r="C411" s="3">
        <v>1</v>
      </c>
      <c r="D411" s="3">
        <v>0</v>
      </c>
      <c r="E411" s="3">
        <v>1</v>
      </c>
      <c r="F411" s="3">
        <v>1</v>
      </c>
      <c r="G411" s="5" t="b">
        <v>0</v>
      </c>
      <c r="H411" s="3">
        <v>3</v>
      </c>
      <c r="I411" s="3">
        <v>3</v>
      </c>
      <c r="J411" s="7">
        <v>0.22</v>
      </c>
    </row>
    <row r="412" spans="1:10" ht="15" thickBot="1" x14ac:dyDescent="0.35">
      <c r="A412" s="6">
        <v>411</v>
      </c>
      <c r="B412" s="4">
        <v>40562</v>
      </c>
      <c r="C412" s="3">
        <v>1</v>
      </c>
      <c r="D412" s="3">
        <v>0</v>
      </c>
      <c r="E412" s="3">
        <v>1</v>
      </c>
      <c r="F412" s="3">
        <v>2</v>
      </c>
      <c r="G412" s="5" t="b">
        <v>0</v>
      </c>
      <c r="H412" s="3">
        <v>3</v>
      </c>
      <c r="I412" s="3">
        <v>3</v>
      </c>
      <c r="J412" s="7">
        <v>0.22</v>
      </c>
    </row>
    <row r="413" spans="1:10" ht="15" thickBot="1" x14ac:dyDescent="0.35">
      <c r="A413" s="6">
        <v>412</v>
      </c>
      <c r="B413" s="4">
        <v>40562</v>
      </c>
      <c r="C413" s="3">
        <v>1</v>
      </c>
      <c r="D413" s="3">
        <v>0</v>
      </c>
      <c r="E413" s="3">
        <v>1</v>
      </c>
      <c r="F413" s="3">
        <v>4</v>
      </c>
      <c r="G413" s="5" t="b">
        <v>0</v>
      </c>
      <c r="H413" s="3">
        <v>3</v>
      </c>
      <c r="I413" s="3">
        <v>3</v>
      </c>
      <c r="J413" s="7">
        <v>0.22</v>
      </c>
    </row>
    <row r="414" spans="1:10" ht="15" thickBot="1" x14ac:dyDescent="0.35">
      <c r="A414" s="6">
        <v>413</v>
      </c>
      <c r="B414" s="4">
        <v>40562</v>
      </c>
      <c r="C414" s="3">
        <v>1</v>
      </c>
      <c r="D414" s="3">
        <v>0</v>
      </c>
      <c r="E414" s="3">
        <v>1</v>
      </c>
      <c r="F414" s="3">
        <v>5</v>
      </c>
      <c r="G414" s="5" t="b">
        <v>0</v>
      </c>
      <c r="H414" s="3">
        <v>3</v>
      </c>
      <c r="I414" s="3">
        <v>2</v>
      </c>
      <c r="J414" s="7">
        <v>0.22</v>
      </c>
    </row>
    <row r="415" spans="1:10" ht="15" thickBot="1" x14ac:dyDescent="0.35">
      <c r="A415" s="6">
        <v>414</v>
      </c>
      <c r="B415" s="4">
        <v>40562</v>
      </c>
      <c r="C415" s="3">
        <v>1</v>
      </c>
      <c r="D415" s="3">
        <v>0</v>
      </c>
      <c r="E415" s="3">
        <v>1</v>
      </c>
      <c r="F415" s="3">
        <v>6</v>
      </c>
      <c r="G415" s="5" t="b">
        <v>0</v>
      </c>
      <c r="H415" s="3">
        <v>3</v>
      </c>
      <c r="I415" s="3">
        <v>2</v>
      </c>
      <c r="J415" s="7">
        <v>0.22</v>
      </c>
    </row>
    <row r="416" spans="1:10" ht="15" thickBot="1" x14ac:dyDescent="0.35">
      <c r="A416" s="6">
        <v>415</v>
      </c>
      <c r="B416" s="4">
        <v>40562</v>
      </c>
      <c r="C416" s="3">
        <v>1</v>
      </c>
      <c r="D416" s="3">
        <v>0</v>
      </c>
      <c r="E416" s="3">
        <v>1</v>
      </c>
      <c r="F416" s="3">
        <v>7</v>
      </c>
      <c r="G416" s="5" t="b">
        <v>0</v>
      </c>
      <c r="H416" s="3">
        <v>3</v>
      </c>
      <c r="I416" s="3">
        <v>2</v>
      </c>
      <c r="J416" s="7">
        <v>0.24</v>
      </c>
    </row>
    <row r="417" spans="1:10" ht="15" thickBot="1" x14ac:dyDescent="0.35">
      <c r="A417" s="6">
        <v>416</v>
      </c>
      <c r="B417" s="4">
        <v>40562</v>
      </c>
      <c r="C417" s="3">
        <v>1</v>
      </c>
      <c r="D417" s="3">
        <v>0</v>
      </c>
      <c r="E417" s="3">
        <v>1</v>
      </c>
      <c r="F417" s="3">
        <v>8</v>
      </c>
      <c r="G417" s="5" t="b">
        <v>0</v>
      </c>
      <c r="H417" s="3">
        <v>3</v>
      </c>
      <c r="I417" s="3">
        <v>2</v>
      </c>
      <c r="J417" s="7">
        <v>0.24</v>
      </c>
    </row>
    <row r="418" spans="1:10" ht="15" thickBot="1" x14ac:dyDescent="0.35">
      <c r="A418" s="6">
        <v>417</v>
      </c>
      <c r="B418" s="4">
        <v>40562</v>
      </c>
      <c r="C418" s="3">
        <v>1</v>
      </c>
      <c r="D418" s="3">
        <v>0</v>
      </c>
      <c r="E418" s="3">
        <v>1</v>
      </c>
      <c r="F418" s="3">
        <v>9</v>
      </c>
      <c r="G418" s="5" t="b">
        <v>0</v>
      </c>
      <c r="H418" s="3">
        <v>3</v>
      </c>
      <c r="I418" s="3">
        <v>2</v>
      </c>
      <c r="J418" s="7">
        <v>0.24</v>
      </c>
    </row>
    <row r="419" spans="1:10" ht="15" thickBot="1" x14ac:dyDescent="0.35">
      <c r="A419" s="6">
        <v>418</v>
      </c>
      <c r="B419" s="4">
        <v>40562</v>
      </c>
      <c r="C419" s="3">
        <v>1</v>
      </c>
      <c r="D419" s="3">
        <v>0</v>
      </c>
      <c r="E419" s="3">
        <v>1</v>
      </c>
      <c r="F419" s="3">
        <v>10</v>
      </c>
      <c r="G419" s="5" t="b">
        <v>0</v>
      </c>
      <c r="H419" s="3">
        <v>3</v>
      </c>
      <c r="I419" s="3">
        <v>2</v>
      </c>
      <c r="J419" s="7">
        <v>0.26</v>
      </c>
    </row>
    <row r="420" spans="1:10" ht="15" thickBot="1" x14ac:dyDescent="0.35">
      <c r="A420" s="6">
        <v>419</v>
      </c>
      <c r="B420" s="4">
        <v>40562</v>
      </c>
      <c r="C420" s="3">
        <v>1</v>
      </c>
      <c r="D420" s="3">
        <v>0</v>
      </c>
      <c r="E420" s="3">
        <v>1</v>
      </c>
      <c r="F420" s="3">
        <v>11</v>
      </c>
      <c r="G420" s="5" t="b">
        <v>0</v>
      </c>
      <c r="H420" s="3">
        <v>3</v>
      </c>
      <c r="I420" s="3">
        <v>2</v>
      </c>
      <c r="J420" s="7">
        <v>0.28000000000000003</v>
      </c>
    </row>
    <row r="421" spans="1:10" ht="15" thickBot="1" x14ac:dyDescent="0.35">
      <c r="A421" s="6">
        <v>420</v>
      </c>
      <c r="B421" s="4">
        <v>40562</v>
      </c>
      <c r="C421" s="3">
        <v>1</v>
      </c>
      <c r="D421" s="3">
        <v>0</v>
      </c>
      <c r="E421" s="3">
        <v>1</v>
      </c>
      <c r="F421" s="3">
        <v>12</v>
      </c>
      <c r="G421" s="5" t="b">
        <v>0</v>
      </c>
      <c r="H421" s="3">
        <v>3</v>
      </c>
      <c r="I421" s="3">
        <v>2</v>
      </c>
      <c r="J421" s="7">
        <v>0.3</v>
      </c>
    </row>
    <row r="422" spans="1:10" ht="15" thickBot="1" x14ac:dyDescent="0.35">
      <c r="A422" s="6">
        <v>421</v>
      </c>
      <c r="B422" s="4">
        <v>40562</v>
      </c>
      <c r="C422" s="3">
        <v>1</v>
      </c>
      <c r="D422" s="3">
        <v>0</v>
      </c>
      <c r="E422" s="3">
        <v>1</v>
      </c>
      <c r="F422" s="3">
        <v>13</v>
      </c>
      <c r="G422" s="5" t="b">
        <v>0</v>
      </c>
      <c r="H422" s="3">
        <v>3</v>
      </c>
      <c r="I422" s="3">
        <v>1</v>
      </c>
      <c r="J422" s="7">
        <v>0.4</v>
      </c>
    </row>
    <row r="423" spans="1:10" ht="15" thickBot="1" x14ac:dyDescent="0.35">
      <c r="A423" s="6">
        <v>422</v>
      </c>
      <c r="B423" s="4">
        <v>40562</v>
      </c>
      <c r="C423" s="3">
        <v>1</v>
      </c>
      <c r="D423" s="3">
        <v>0</v>
      </c>
      <c r="E423" s="3">
        <v>1</v>
      </c>
      <c r="F423" s="3">
        <v>14</v>
      </c>
      <c r="G423" s="5" t="b">
        <v>0</v>
      </c>
      <c r="H423" s="3">
        <v>3</v>
      </c>
      <c r="I423" s="3">
        <v>1</v>
      </c>
      <c r="J423" s="7">
        <v>0.4</v>
      </c>
    </row>
    <row r="424" spans="1:10" ht="15" thickBot="1" x14ac:dyDescent="0.35">
      <c r="A424" s="6">
        <v>423</v>
      </c>
      <c r="B424" s="4">
        <v>40562</v>
      </c>
      <c r="C424" s="3">
        <v>1</v>
      </c>
      <c r="D424" s="3">
        <v>0</v>
      </c>
      <c r="E424" s="3">
        <v>1</v>
      </c>
      <c r="F424" s="3">
        <v>15</v>
      </c>
      <c r="G424" s="5" t="b">
        <v>0</v>
      </c>
      <c r="H424" s="3">
        <v>3</v>
      </c>
      <c r="I424" s="3">
        <v>1</v>
      </c>
      <c r="J424" s="7">
        <v>0.4</v>
      </c>
    </row>
    <row r="425" spans="1:10" ht="15" thickBot="1" x14ac:dyDescent="0.35">
      <c r="A425" s="6">
        <v>424</v>
      </c>
      <c r="B425" s="4">
        <v>40562</v>
      </c>
      <c r="C425" s="3">
        <v>1</v>
      </c>
      <c r="D425" s="3">
        <v>0</v>
      </c>
      <c r="E425" s="3">
        <v>1</v>
      </c>
      <c r="F425" s="3">
        <v>16</v>
      </c>
      <c r="G425" s="5" t="b">
        <v>0</v>
      </c>
      <c r="H425" s="3">
        <v>3</v>
      </c>
      <c r="I425" s="3">
        <v>1</v>
      </c>
      <c r="J425" s="7">
        <v>0.38</v>
      </c>
    </row>
    <row r="426" spans="1:10" ht="15" thickBot="1" x14ac:dyDescent="0.35">
      <c r="A426" s="6">
        <v>425</v>
      </c>
      <c r="B426" s="4">
        <v>40562</v>
      </c>
      <c r="C426" s="3">
        <v>1</v>
      </c>
      <c r="D426" s="3">
        <v>0</v>
      </c>
      <c r="E426" s="3">
        <v>1</v>
      </c>
      <c r="F426" s="3">
        <v>17</v>
      </c>
      <c r="G426" s="5" t="b">
        <v>0</v>
      </c>
      <c r="H426" s="3">
        <v>3</v>
      </c>
      <c r="I426" s="3">
        <v>1</v>
      </c>
      <c r="J426" s="7">
        <v>0.36</v>
      </c>
    </row>
    <row r="427" spans="1:10" ht="15" thickBot="1" x14ac:dyDescent="0.35">
      <c r="A427" s="6">
        <v>426</v>
      </c>
      <c r="B427" s="4">
        <v>40562</v>
      </c>
      <c r="C427" s="3">
        <v>1</v>
      </c>
      <c r="D427" s="3">
        <v>0</v>
      </c>
      <c r="E427" s="3">
        <v>1</v>
      </c>
      <c r="F427" s="3">
        <v>18</v>
      </c>
      <c r="G427" s="5" t="b">
        <v>0</v>
      </c>
      <c r="H427" s="3">
        <v>3</v>
      </c>
      <c r="I427" s="3">
        <v>1</v>
      </c>
      <c r="J427" s="7">
        <v>0.34</v>
      </c>
    </row>
    <row r="428" spans="1:10" ht="15" thickBot="1" x14ac:dyDescent="0.35">
      <c r="A428" s="6">
        <v>427</v>
      </c>
      <c r="B428" s="4">
        <v>40562</v>
      </c>
      <c r="C428" s="3">
        <v>1</v>
      </c>
      <c r="D428" s="3">
        <v>0</v>
      </c>
      <c r="E428" s="3">
        <v>1</v>
      </c>
      <c r="F428" s="3">
        <v>19</v>
      </c>
      <c r="G428" s="5" t="b">
        <v>0</v>
      </c>
      <c r="H428" s="3">
        <v>3</v>
      </c>
      <c r="I428" s="3">
        <v>1</v>
      </c>
      <c r="J428" s="7">
        <v>0.32</v>
      </c>
    </row>
    <row r="429" spans="1:10" ht="15" thickBot="1" x14ac:dyDescent="0.35">
      <c r="A429" s="6">
        <v>428</v>
      </c>
      <c r="B429" s="4">
        <v>40562</v>
      </c>
      <c r="C429" s="3">
        <v>1</v>
      </c>
      <c r="D429" s="3">
        <v>0</v>
      </c>
      <c r="E429" s="3">
        <v>1</v>
      </c>
      <c r="F429" s="3">
        <v>20</v>
      </c>
      <c r="G429" s="5" t="b">
        <v>0</v>
      </c>
      <c r="H429" s="3">
        <v>3</v>
      </c>
      <c r="I429" s="3">
        <v>1</v>
      </c>
      <c r="J429" s="7">
        <v>0.32</v>
      </c>
    </row>
    <row r="430" spans="1:10" ht="15" thickBot="1" x14ac:dyDescent="0.35">
      <c r="A430" s="6">
        <v>429</v>
      </c>
      <c r="B430" s="4">
        <v>40562</v>
      </c>
      <c r="C430" s="3">
        <v>1</v>
      </c>
      <c r="D430" s="3">
        <v>0</v>
      </c>
      <c r="E430" s="3">
        <v>1</v>
      </c>
      <c r="F430" s="3">
        <v>21</v>
      </c>
      <c r="G430" s="5" t="b">
        <v>0</v>
      </c>
      <c r="H430" s="3">
        <v>3</v>
      </c>
      <c r="I430" s="3">
        <v>1</v>
      </c>
      <c r="J430" s="7">
        <v>0.32</v>
      </c>
    </row>
    <row r="431" spans="1:10" ht="15" thickBot="1" x14ac:dyDescent="0.35">
      <c r="A431" s="6">
        <v>430</v>
      </c>
      <c r="B431" s="4">
        <v>40562</v>
      </c>
      <c r="C431" s="3">
        <v>1</v>
      </c>
      <c r="D431" s="3">
        <v>0</v>
      </c>
      <c r="E431" s="3">
        <v>1</v>
      </c>
      <c r="F431" s="3">
        <v>22</v>
      </c>
      <c r="G431" s="5" t="b">
        <v>0</v>
      </c>
      <c r="H431" s="3">
        <v>3</v>
      </c>
      <c r="I431" s="3">
        <v>1</v>
      </c>
      <c r="J431" s="7">
        <v>0.3</v>
      </c>
    </row>
    <row r="432" spans="1:10" ht="15" thickBot="1" x14ac:dyDescent="0.35">
      <c r="A432" s="6">
        <v>431</v>
      </c>
      <c r="B432" s="4">
        <v>40562</v>
      </c>
      <c r="C432" s="3">
        <v>1</v>
      </c>
      <c r="D432" s="3">
        <v>0</v>
      </c>
      <c r="E432" s="3">
        <v>1</v>
      </c>
      <c r="F432" s="3">
        <v>23</v>
      </c>
      <c r="G432" s="5" t="b">
        <v>0</v>
      </c>
      <c r="H432" s="3">
        <v>3</v>
      </c>
      <c r="I432" s="3">
        <v>1</v>
      </c>
      <c r="J432" s="7">
        <v>0.3</v>
      </c>
    </row>
    <row r="433" spans="1:10" ht="15" thickBot="1" x14ac:dyDescent="0.35">
      <c r="A433" s="6">
        <v>432</v>
      </c>
      <c r="B433" s="4">
        <v>40563</v>
      </c>
      <c r="C433" s="3">
        <v>1</v>
      </c>
      <c r="D433" s="3">
        <v>0</v>
      </c>
      <c r="E433" s="3">
        <v>1</v>
      </c>
      <c r="F433" s="3">
        <v>0</v>
      </c>
      <c r="G433" s="5" t="b">
        <v>0</v>
      </c>
      <c r="H433" s="3">
        <v>4</v>
      </c>
      <c r="I433" s="3">
        <v>1</v>
      </c>
      <c r="J433" s="7">
        <v>0.26</v>
      </c>
    </row>
    <row r="434" spans="1:10" ht="15" thickBot="1" x14ac:dyDescent="0.35">
      <c r="A434" s="6">
        <v>433</v>
      </c>
      <c r="B434" s="4">
        <v>40563</v>
      </c>
      <c r="C434" s="3">
        <v>1</v>
      </c>
      <c r="D434" s="3">
        <v>0</v>
      </c>
      <c r="E434" s="3">
        <v>1</v>
      </c>
      <c r="F434" s="3">
        <v>1</v>
      </c>
      <c r="G434" s="5" t="b">
        <v>0</v>
      </c>
      <c r="H434" s="3">
        <v>4</v>
      </c>
      <c r="I434" s="3">
        <v>1</v>
      </c>
      <c r="J434" s="7">
        <v>0.26</v>
      </c>
    </row>
    <row r="435" spans="1:10" ht="15" thickBot="1" x14ac:dyDescent="0.35">
      <c r="A435" s="6">
        <v>434</v>
      </c>
      <c r="B435" s="4">
        <v>40563</v>
      </c>
      <c r="C435" s="3">
        <v>1</v>
      </c>
      <c r="D435" s="3">
        <v>0</v>
      </c>
      <c r="E435" s="3">
        <v>1</v>
      </c>
      <c r="F435" s="3">
        <v>2</v>
      </c>
      <c r="G435" s="5" t="b">
        <v>0</v>
      </c>
      <c r="H435" s="3">
        <v>4</v>
      </c>
      <c r="I435" s="3">
        <v>1</v>
      </c>
      <c r="J435" s="7">
        <v>0.26</v>
      </c>
    </row>
    <row r="436" spans="1:10" ht="15" thickBot="1" x14ac:dyDescent="0.35">
      <c r="A436" s="6">
        <v>435</v>
      </c>
      <c r="B436" s="4">
        <v>40563</v>
      </c>
      <c r="C436" s="3">
        <v>1</v>
      </c>
      <c r="D436" s="3">
        <v>0</v>
      </c>
      <c r="E436" s="3">
        <v>1</v>
      </c>
      <c r="F436" s="3">
        <v>3</v>
      </c>
      <c r="G436" s="5" t="b">
        <v>0</v>
      </c>
      <c r="H436" s="3">
        <v>4</v>
      </c>
      <c r="I436" s="3">
        <v>1</v>
      </c>
      <c r="J436" s="7">
        <v>0.26</v>
      </c>
    </row>
    <row r="437" spans="1:10" ht="15" thickBot="1" x14ac:dyDescent="0.35">
      <c r="A437" s="6">
        <v>436</v>
      </c>
      <c r="B437" s="4">
        <v>40563</v>
      </c>
      <c r="C437" s="3">
        <v>1</v>
      </c>
      <c r="D437" s="3">
        <v>0</v>
      </c>
      <c r="E437" s="3">
        <v>1</v>
      </c>
      <c r="F437" s="3">
        <v>4</v>
      </c>
      <c r="G437" s="5" t="b">
        <v>0</v>
      </c>
      <c r="H437" s="3">
        <v>4</v>
      </c>
      <c r="I437" s="3">
        <v>1</v>
      </c>
      <c r="J437" s="7">
        <v>0.26</v>
      </c>
    </row>
    <row r="438" spans="1:10" ht="15" thickBot="1" x14ac:dyDescent="0.35">
      <c r="A438" s="6">
        <v>437</v>
      </c>
      <c r="B438" s="4">
        <v>40563</v>
      </c>
      <c r="C438" s="3">
        <v>1</v>
      </c>
      <c r="D438" s="3">
        <v>0</v>
      </c>
      <c r="E438" s="3">
        <v>1</v>
      </c>
      <c r="F438" s="3">
        <v>5</v>
      </c>
      <c r="G438" s="5" t="b">
        <v>0</v>
      </c>
      <c r="H438" s="3">
        <v>4</v>
      </c>
      <c r="I438" s="3">
        <v>1</v>
      </c>
      <c r="J438" s="7">
        <v>0.24</v>
      </c>
    </row>
    <row r="439" spans="1:10" ht="15" thickBot="1" x14ac:dyDescent="0.35">
      <c r="A439" s="6">
        <v>438</v>
      </c>
      <c r="B439" s="4">
        <v>40563</v>
      </c>
      <c r="C439" s="3">
        <v>1</v>
      </c>
      <c r="D439" s="3">
        <v>0</v>
      </c>
      <c r="E439" s="3">
        <v>1</v>
      </c>
      <c r="F439" s="3">
        <v>6</v>
      </c>
      <c r="G439" s="5" t="b">
        <v>0</v>
      </c>
      <c r="H439" s="3">
        <v>4</v>
      </c>
      <c r="I439" s="3">
        <v>1</v>
      </c>
      <c r="J439" s="7">
        <v>0.22</v>
      </c>
    </row>
    <row r="440" spans="1:10" ht="15" thickBot="1" x14ac:dyDescent="0.35">
      <c r="A440" s="6">
        <v>439</v>
      </c>
      <c r="B440" s="4">
        <v>40563</v>
      </c>
      <c r="C440" s="3">
        <v>1</v>
      </c>
      <c r="D440" s="3">
        <v>0</v>
      </c>
      <c r="E440" s="3">
        <v>1</v>
      </c>
      <c r="F440" s="3">
        <v>7</v>
      </c>
      <c r="G440" s="5" t="b">
        <v>0</v>
      </c>
      <c r="H440" s="3">
        <v>4</v>
      </c>
      <c r="I440" s="3">
        <v>1</v>
      </c>
      <c r="J440" s="7">
        <v>0.22</v>
      </c>
    </row>
    <row r="441" spans="1:10" ht="15" thickBot="1" x14ac:dyDescent="0.35">
      <c r="A441" s="6">
        <v>440</v>
      </c>
      <c r="B441" s="4">
        <v>40563</v>
      </c>
      <c r="C441" s="3">
        <v>1</v>
      </c>
      <c r="D441" s="3">
        <v>0</v>
      </c>
      <c r="E441" s="3">
        <v>1</v>
      </c>
      <c r="F441" s="3">
        <v>8</v>
      </c>
      <c r="G441" s="5" t="b">
        <v>0</v>
      </c>
      <c r="H441" s="3">
        <v>4</v>
      </c>
      <c r="I441" s="3">
        <v>1</v>
      </c>
      <c r="J441" s="7">
        <v>0.22</v>
      </c>
    </row>
    <row r="442" spans="1:10" ht="15" thickBot="1" x14ac:dyDescent="0.35">
      <c r="A442" s="6">
        <v>441</v>
      </c>
      <c r="B442" s="4">
        <v>40563</v>
      </c>
      <c r="C442" s="3">
        <v>1</v>
      </c>
      <c r="D442" s="3">
        <v>0</v>
      </c>
      <c r="E442" s="3">
        <v>1</v>
      </c>
      <c r="F442" s="3">
        <v>9</v>
      </c>
      <c r="G442" s="5" t="b">
        <v>0</v>
      </c>
      <c r="H442" s="3">
        <v>4</v>
      </c>
      <c r="I442" s="3">
        <v>2</v>
      </c>
      <c r="J442" s="7">
        <v>0.24</v>
      </c>
    </row>
    <row r="443" spans="1:10" ht="15" thickBot="1" x14ac:dyDescent="0.35">
      <c r="A443" s="6">
        <v>442</v>
      </c>
      <c r="B443" s="4">
        <v>40563</v>
      </c>
      <c r="C443" s="3">
        <v>1</v>
      </c>
      <c r="D443" s="3">
        <v>0</v>
      </c>
      <c r="E443" s="3">
        <v>1</v>
      </c>
      <c r="F443" s="3">
        <v>10</v>
      </c>
      <c r="G443" s="5" t="b">
        <v>0</v>
      </c>
      <c r="H443" s="3">
        <v>4</v>
      </c>
      <c r="I443" s="3">
        <v>1</v>
      </c>
      <c r="J443" s="7">
        <v>0.26</v>
      </c>
    </row>
    <row r="444" spans="1:10" ht="15" thickBot="1" x14ac:dyDescent="0.35">
      <c r="A444" s="6">
        <v>443</v>
      </c>
      <c r="B444" s="4">
        <v>40563</v>
      </c>
      <c r="C444" s="3">
        <v>1</v>
      </c>
      <c r="D444" s="3">
        <v>0</v>
      </c>
      <c r="E444" s="3">
        <v>1</v>
      </c>
      <c r="F444" s="3">
        <v>11</v>
      </c>
      <c r="G444" s="5" t="b">
        <v>0</v>
      </c>
      <c r="H444" s="3">
        <v>4</v>
      </c>
      <c r="I444" s="3">
        <v>2</v>
      </c>
      <c r="J444" s="7">
        <v>0.28000000000000003</v>
      </c>
    </row>
    <row r="445" spans="1:10" ht="15" thickBot="1" x14ac:dyDescent="0.35">
      <c r="A445" s="6">
        <v>444</v>
      </c>
      <c r="B445" s="4">
        <v>40563</v>
      </c>
      <c r="C445" s="3">
        <v>1</v>
      </c>
      <c r="D445" s="3">
        <v>0</v>
      </c>
      <c r="E445" s="3">
        <v>1</v>
      </c>
      <c r="F445" s="3">
        <v>12</v>
      </c>
      <c r="G445" s="5" t="b">
        <v>0</v>
      </c>
      <c r="H445" s="3">
        <v>4</v>
      </c>
      <c r="I445" s="3">
        <v>2</v>
      </c>
      <c r="J445" s="7">
        <v>0.3</v>
      </c>
    </row>
    <row r="446" spans="1:10" ht="15" thickBot="1" x14ac:dyDescent="0.35">
      <c r="A446" s="6">
        <v>445</v>
      </c>
      <c r="B446" s="4">
        <v>40563</v>
      </c>
      <c r="C446" s="3">
        <v>1</v>
      </c>
      <c r="D446" s="3">
        <v>0</v>
      </c>
      <c r="E446" s="3">
        <v>1</v>
      </c>
      <c r="F446" s="3">
        <v>13</v>
      </c>
      <c r="G446" s="5" t="b">
        <v>0</v>
      </c>
      <c r="H446" s="3">
        <v>4</v>
      </c>
      <c r="I446" s="3">
        <v>2</v>
      </c>
      <c r="J446" s="7">
        <v>0.28000000000000003</v>
      </c>
    </row>
    <row r="447" spans="1:10" ht="15" thickBot="1" x14ac:dyDescent="0.35">
      <c r="A447" s="6">
        <v>446</v>
      </c>
      <c r="B447" s="4">
        <v>40563</v>
      </c>
      <c r="C447" s="3">
        <v>1</v>
      </c>
      <c r="D447" s="3">
        <v>0</v>
      </c>
      <c r="E447" s="3">
        <v>1</v>
      </c>
      <c r="F447" s="3">
        <v>14</v>
      </c>
      <c r="G447" s="5" t="b">
        <v>0</v>
      </c>
      <c r="H447" s="3">
        <v>4</v>
      </c>
      <c r="I447" s="3">
        <v>2</v>
      </c>
      <c r="J447" s="7">
        <v>0.3</v>
      </c>
    </row>
    <row r="448" spans="1:10" ht="15" thickBot="1" x14ac:dyDescent="0.35">
      <c r="A448" s="6">
        <v>447</v>
      </c>
      <c r="B448" s="4">
        <v>40563</v>
      </c>
      <c r="C448" s="3">
        <v>1</v>
      </c>
      <c r="D448" s="3">
        <v>0</v>
      </c>
      <c r="E448" s="3">
        <v>1</v>
      </c>
      <c r="F448" s="3">
        <v>15</v>
      </c>
      <c r="G448" s="5" t="b">
        <v>0</v>
      </c>
      <c r="H448" s="3">
        <v>4</v>
      </c>
      <c r="I448" s="3">
        <v>2</v>
      </c>
      <c r="J448" s="7">
        <v>0.32</v>
      </c>
    </row>
    <row r="449" spans="1:10" ht="15" thickBot="1" x14ac:dyDescent="0.35">
      <c r="A449" s="6">
        <v>448</v>
      </c>
      <c r="B449" s="4">
        <v>40563</v>
      </c>
      <c r="C449" s="3">
        <v>1</v>
      </c>
      <c r="D449" s="3">
        <v>0</v>
      </c>
      <c r="E449" s="3">
        <v>1</v>
      </c>
      <c r="F449" s="3">
        <v>16</v>
      </c>
      <c r="G449" s="5" t="b">
        <v>0</v>
      </c>
      <c r="H449" s="3">
        <v>4</v>
      </c>
      <c r="I449" s="3">
        <v>2</v>
      </c>
      <c r="J449" s="7">
        <v>0.3</v>
      </c>
    </row>
    <row r="450" spans="1:10" ht="15" thickBot="1" x14ac:dyDescent="0.35">
      <c r="A450" s="6">
        <v>449</v>
      </c>
      <c r="B450" s="4">
        <v>40563</v>
      </c>
      <c r="C450" s="3">
        <v>1</v>
      </c>
      <c r="D450" s="3">
        <v>0</v>
      </c>
      <c r="E450" s="3">
        <v>1</v>
      </c>
      <c r="F450" s="3">
        <v>17</v>
      </c>
      <c r="G450" s="5" t="b">
        <v>0</v>
      </c>
      <c r="H450" s="3">
        <v>4</v>
      </c>
      <c r="I450" s="3">
        <v>2</v>
      </c>
      <c r="J450" s="7">
        <v>0.3</v>
      </c>
    </row>
    <row r="451" spans="1:10" ht="15" thickBot="1" x14ac:dyDescent="0.35">
      <c r="A451" s="6">
        <v>450</v>
      </c>
      <c r="B451" s="4">
        <v>40563</v>
      </c>
      <c r="C451" s="3">
        <v>1</v>
      </c>
      <c r="D451" s="3">
        <v>0</v>
      </c>
      <c r="E451" s="3">
        <v>1</v>
      </c>
      <c r="F451" s="3">
        <v>18</v>
      </c>
      <c r="G451" s="5" t="b">
        <v>0</v>
      </c>
      <c r="H451" s="3">
        <v>4</v>
      </c>
      <c r="I451" s="3">
        <v>2</v>
      </c>
      <c r="J451" s="7">
        <v>0.26</v>
      </c>
    </row>
    <row r="452" spans="1:10" ht="15" thickBot="1" x14ac:dyDescent="0.35">
      <c r="A452" s="6">
        <v>451</v>
      </c>
      <c r="B452" s="4">
        <v>40563</v>
      </c>
      <c r="C452" s="3">
        <v>1</v>
      </c>
      <c r="D452" s="3">
        <v>0</v>
      </c>
      <c r="E452" s="3">
        <v>1</v>
      </c>
      <c r="F452" s="3">
        <v>19</v>
      </c>
      <c r="G452" s="5" t="b">
        <v>0</v>
      </c>
      <c r="H452" s="3">
        <v>4</v>
      </c>
      <c r="I452" s="3">
        <v>1</v>
      </c>
      <c r="J452" s="7">
        <v>0.26</v>
      </c>
    </row>
    <row r="453" spans="1:10" ht="15" thickBot="1" x14ac:dyDescent="0.35">
      <c r="A453" s="6">
        <v>452</v>
      </c>
      <c r="B453" s="4">
        <v>40563</v>
      </c>
      <c r="C453" s="3">
        <v>1</v>
      </c>
      <c r="D453" s="3">
        <v>0</v>
      </c>
      <c r="E453" s="3">
        <v>1</v>
      </c>
      <c r="F453" s="3">
        <v>20</v>
      </c>
      <c r="G453" s="5" t="b">
        <v>0</v>
      </c>
      <c r="H453" s="3">
        <v>4</v>
      </c>
      <c r="I453" s="3">
        <v>2</v>
      </c>
      <c r="J453" s="7">
        <v>0.26</v>
      </c>
    </row>
    <row r="454" spans="1:10" ht="15" thickBot="1" x14ac:dyDescent="0.35">
      <c r="A454" s="6">
        <v>453</v>
      </c>
      <c r="B454" s="4">
        <v>40563</v>
      </c>
      <c r="C454" s="3">
        <v>1</v>
      </c>
      <c r="D454" s="3">
        <v>0</v>
      </c>
      <c r="E454" s="3">
        <v>1</v>
      </c>
      <c r="F454" s="3">
        <v>21</v>
      </c>
      <c r="G454" s="5" t="b">
        <v>0</v>
      </c>
      <c r="H454" s="3">
        <v>4</v>
      </c>
      <c r="I454" s="3">
        <v>2</v>
      </c>
      <c r="J454" s="7">
        <v>0.24</v>
      </c>
    </row>
    <row r="455" spans="1:10" ht="15" thickBot="1" x14ac:dyDescent="0.35">
      <c r="A455" s="6">
        <v>454</v>
      </c>
      <c r="B455" s="4">
        <v>40563</v>
      </c>
      <c r="C455" s="3">
        <v>1</v>
      </c>
      <c r="D455" s="3">
        <v>0</v>
      </c>
      <c r="E455" s="3">
        <v>1</v>
      </c>
      <c r="F455" s="3">
        <v>22</v>
      </c>
      <c r="G455" s="5" t="b">
        <v>0</v>
      </c>
      <c r="H455" s="3">
        <v>4</v>
      </c>
      <c r="I455" s="3">
        <v>2</v>
      </c>
      <c r="J455" s="7">
        <v>0.24</v>
      </c>
    </row>
    <row r="456" spans="1:10" ht="15" thickBot="1" x14ac:dyDescent="0.35">
      <c r="A456" s="6">
        <v>455</v>
      </c>
      <c r="B456" s="4">
        <v>40563</v>
      </c>
      <c r="C456" s="3">
        <v>1</v>
      </c>
      <c r="D456" s="3">
        <v>0</v>
      </c>
      <c r="E456" s="3">
        <v>1</v>
      </c>
      <c r="F456" s="3">
        <v>23</v>
      </c>
      <c r="G456" s="5" t="b">
        <v>0</v>
      </c>
      <c r="H456" s="3">
        <v>4</v>
      </c>
      <c r="I456" s="3">
        <v>2</v>
      </c>
      <c r="J456" s="7">
        <v>0.24</v>
      </c>
    </row>
    <row r="457" spans="1:10" ht="15" thickBot="1" x14ac:dyDescent="0.35">
      <c r="A457" s="6">
        <v>456</v>
      </c>
      <c r="B457" s="4">
        <v>40564</v>
      </c>
      <c r="C457" s="3">
        <v>1</v>
      </c>
      <c r="D457" s="3">
        <v>0</v>
      </c>
      <c r="E457" s="3">
        <v>1</v>
      </c>
      <c r="F457" s="3">
        <v>0</v>
      </c>
      <c r="G457" s="5" t="b">
        <v>0</v>
      </c>
      <c r="H457" s="3">
        <v>5</v>
      </c>
      <c r="I457" s="3">
        <v>2</v>
      </c>
      <c r="J457" s="7">
        <v>0.24</v>
      </c>
    </row>
    <row r="458" spans="1:10" ht="15" thickBot="1" x14ac:dyDescent="0.35">
      <c r="A458" s="6">
        <v>457</v>
      </c>
      <c r="B458" s="4">
        <v>40564</v>
      </c>
      <c r="C458" s="3">
        <v>1</v>
      </c>
      <c r="D458" s="3">
        <v>0</v>
      </c>
      <c r="E458" s="3">
        <v>1</v>
      </c>
      <c r="F458" s="3">
        <v>1</v>
      </c>
      <c r="G458" s="5" t="b">
        <v>0</v>
      </c>
      <c r="H458" s="3">
        <v>5</v>
      </c>
      <c r="I458" s="3">
        <v>2</v>
      </c>
      <c r="J458" s="7">
        <v>0.24</v>
      </c>
    </row>
    <row r="459" spans="1:10" ht="15" thickBot="1" x14ac:dyDescent="0.35">
      <c r="A459" s="6">
        <v>458</v>
      </c>
      <c r="B459" s="4">
        <v>40564</v>
      </c>
      <c r="C459" s="3">
        <v>1</v>
      </c>
      <c r="D459" s="3">
        <v>0</v>
      </c>
      <c r="E459" s="3">
        <v>1</v>
      </c>
      <c r="F459" s="3">
        <v>2</v>
      </c>
      <c r="G459" s="5" t="b">
        <v>0</v>
      </c>
      <c r="H459" s="3">
        <v>5</v>
      </c>
      <c r="I459" s="3">
        <v>3</v>
      </c>
      <c r="J459" s="7">
        <v>0.24</v>
      </c>
    </row>
    <row r="460" spans="1:10" ht="15" thickBot="1" x14ac:dyDescent="0.35">
      <c r="A460" s="6">
        <v>459</v>
      </c>
      <c r="B460" s="4">
        <v>40564</v>
      </c>
      <c r="C460" s="3">
        <v>1</v>
      </c>
      <c r="D460" s="3">
        <v>0</v>
      </c>
      <c r="E460" s="3">
        <v>1</v>
      </c>
      <c r="F460" s="3">
        <v>3</v>
      </c>
      <c r="G460" s="5" t="b">
        <v>0</v>
      </c>
      <c r="H460" s="3">
        <v>5</v>
      </c>
      <c r="I460" s="3">
        <v>3</v>
      </c>
      <c r="J460" s="7">
        <v>0.22</v>
      </c>
    </row>
    <row r="461" spans="1:10" ht="15" thickBot="1" x14ac:dyDescent="0.35">
      <c r="A461" s="6">
        <v>460</v>
      </c>
      <c r="B461" s="4">
        <v>40564</v>
      </c>
      <c r="C461" s="3">
        <v>1</v>
      </c>
      <c r="D461" s="3">
        <v>0</v>
      </c>
      <c r="E461" s="3">
        <v>1</v>
      </c>
      <c r="F461" s="3">
        <v>4</v>
      </c>
      <c r="G461" s="5" t="b">
        <v>0</v>
      </c>
      <c r="H461" s="3">
        <v>5</v>
      </c>
      <c r="I461" s="3">
        <v>2</v>
      </c>
      <c r="J461" s="7">
        <v>0.22</v>
      </c>
    </row>
    <row r="462" spans="1:10" ht="15" thickBot="1" x14ac:dyDescent="0.35">
      <c r="A462" s="6">
        <v>461</v>
      </c>
      <c r="B462" s="4">
        <v>40564</v>
      </c>
      <c r="C462" s="3">
        <v>1</v>
      </c>
      <c r="D462" s="3">
        <v>0</v>
      </c>
      <c r="E462" s="3">
        <v>1</v>
      </c>
      <c r="F462" s="3">
        <v>5</v>
      </c>
      <c r="G462" s="5" t="b">
        <v>0</v>
      </c>
      <c r="H462" s="3">
        <v>5</v>
      </c>
      <c r="I462" s="3">
        <v>1</v>
      </c>
      <c r="J462" s="7">
        <v>0.24</v>
      </c>
    </row>
    <row r="463" spans="1:10" ht="15" thickBot="1" x14ac:dyDescent="0.35">
      <c r="A463" s="6">
        <v>462</v>
      </c>
      <c r="B463" s="4">
        <v>40564</v>
      </c>
      <c r="C463" s="3">
        <v>1</v>
      </c>
      <c r="D463" s="3">
        <v>0</v>
      </c>
      <c r="E463" s="3">
        <v>1</v>
      </c>
      <c r="F463" s="3">
        <v>6</v>
      </c>
      <c r="G463" s="5" t="b">
        <v>0</v>
      </c>
      <c r="H463" s="3">
        <v>5</v>
      </c>
      <c r="I463" s="3">
        <v>1</v>
      </c>
      <c r="J463" s="7">
        <v>0.22</v>
      </c>
    </row>
    <row r="464" spans="1:10" ht="15" thickBot="1" x14ac:dyDescent="0.35">
      <c r="A464" s="6">
        <v>463</v>
      </c>
      <c r="B464" s="4">
        <v>40564</v>
      </c>
      <c r="C464" s="3">
        <v>1</v>
      </c>
      <c r="D464" s="3">
        <v>0</v>
      </c>
      <c r="E464" s="3">
        <v>1</v>
      </c>
      <c r="F464" s="3">
        <v>7</v>
      </c>
      <c r="G464" s="5" t="b">
        <v>0</v>
      </c>
      <c r="H464" s="3">
        <v>5</v>
      </c>
      <c r="I464" s="3">
        <v>1</v>
      </c>
      <c r="J464" s="7">
        <v>0.2</v>
      </c>
    </row>
    <row r="465" spans="1:10" ht="15" thickBot="1" x14ac:dyDescent="0.35">
      <c r="A465" s="6">
        <v>464</v>
      </c>
      <c r="B465" s="4">
        <v>40564</v>
      </c>
      <c r="C465" s="3">
        <v>1</v>
      </c>
      <c r="D465" s="3">
        <v>0</v>
      </c>
      <c r="E465" s="3">
        <v>1</v>
      </c>
      <c r="F465" s="3">
        <v>8</v>
      </c>
      <c r="G465" s="5" t="b">
        <v>0</v>
      </c>
      <c r="H465" s="3">
        <v>5</v>
      </c>
      <c r="I465" s="3">
        <v>1</v>
      </c>
      <c r="J465" s="7">
        <v>0.2</v>
      </c>
    </row>
    <row r="466" spans="1:10" ht="15" thickBot="1" x14ac:dyDescent="0.35">
      <c r="A466" s="6">
        <v>465</v>
      </c>
      <c r="B466" s="4">
        <v>40564</v>
      </c>
      <c r="C466" s="3">
        <v>1</v>
      </c>
      <c r="D466" s="3">
        <v>0</v>
      </c>
      <c r="E466" s="3">
        <v>1</v>
      </c>
      <c r="F466" s="3">
        <v>9</v>
      </c>
      <c r="G466" s="5" t="b">
        <v>0</v>
      </c>
      <c r="H466" s="3">
        <v>5</v>
      </c>
      <c r="I466" s="3">
        <v>1</v>
      </c>
      <c r="J466" s="7">
        <v>0.2</v>
      </c>
    </row>
    <row r="467" spans="1:10" ht="15" thickBot="1" x14ac:dyDescent="0.35">
      <c r="A467" s="6">
        <v>466</v>
      </c>
      <c r="B467" s="4">
        <v>40564</v>
      </c>
      <c r="C467" s="3">
        <v>1</v>
      </c>
      <c r="D467" s="3">
        <v>0</v>
      </c>
      <c r="E467" s="3">
        <v>1</v>
      </c>
      <c r="F467" s="3">
        <v>10</v>
      </c>
      <c r="G467" s="5" t="b">
        <v>0</v>
      </c>
      <c r="H467" s="3">
        <v>5</v>
      </c>
      <c r="I467" s="3">
        <v>1</v>
      </c>
      <c r="J467" s="7">
        <v>0.2</v>
      </c>
    </row>
    <row r="468" spans="1:10" ht="15" thickBot="1" x14ac:dyDescent="0.35">
      <c r="A468" s="6">
        <v>467</v>
      </c>
      <c r="B468" s="4">
        <v>40564</v>
      </c>
      <c r="C468" s="3">
        <v>1</v>
      </c>
      <c r="D468" s="3">
        <v>0</v>
      </c>
      <c r="E468" s="3">
        <v>1</v>
      </c>
      <c r="F468" s="3">
        <v>11</v>
      </c>
      <c r="G468" s="5" t="b">
        <v>0</v>
      </c>
      <c r="H468" s="3">
        <v>5</v>
      </c>
      <c r="I468" s="3">
        <v>1</v>
      </c>
      <c r="J468" s="7">
        <v>0.22</v>
      </c>
    </row>
    <row r="469" spans="1:10" ht="15" thickBot="1" x14ac:dyDescent="0.35">
      <c r="A469" s="6">
        <v>468</v>
      </c>
      <c r="B469" s="4">
        <v>40564</v>
      </c>
      <c r="C469" s="3">
        <v>1</v>
      </c>
      <c r="D469" s="3">
        <v>0</v>
      </c>
      <c r="E469" s="3">
        <v>1</v>
      </c>
      <c r="F469" s="3">
        <v>12</v>
      </c>
      <c r="G469" s="5" t="b">
        <v>0</v>
      </c>
      <c r="H469" s="3">
        <v>5</v>
      </c>
      <c r="I469" s="3">
        <v>1</v>
      </c>
      <c r="J469" s="7">
        <v>0.22</v>
      </c>
    </row>
    <row r="470" spans="1:10" ht="15" thickBot="1" x14ac:dyDescent="0.35">
      <c r="A470" s="6">
        <v>469</v>
      </c>
      <c r="B470" s="4">
        <v>40564</v>
      </c>
      <c r="C470" s="3">
        <v>1</v>
      </c>
      <c r="D470" s="3">
        <v>0</v>
      </c>
      <c r="E470" s="3">
        <v>1</v>
      </c>
      <c r="F470" s="3">
        <v>13</v>
      </c>
      <c r="G470" s="5" t="b">
        <v>0</v>
      </c>
      <c r="H470" s="3">
        <v>5</v>
      </c>
      <c r="I470" s="3">
        <v>1</v>
      </c>
      <c r="J470" s="7">
        <v>0.2</v>
      </c>
    </row>
    <row r="471" spans="1:10" ht="15" thickBot="1" x14ac:dyDescent="0.35">
      <c r="A471" s="6">
        <v>470</v>
      </c>
      <c r="B471" s="4">
        <v>40564</v>
      </c>
      <c r="C471" s="3">
        <v>1</v>
      </c>
      <c r="D471" s="3">
        <v>0</v>
      </c>
      <c r="E471" s="3">
        <v>1</v>
      </c>
      <c r="F471" s="3">
        <v>14</v>
      </c>
      <c r="G471" s="5" t="b">
        <v>0</v>
      </c>
      <c r="H471" s="3">
        <v>5</v>
      </c>
      <c r="I471" s="3">
        <v>1</v>
      </c>
      <c r="J471" s="7">
        <v>0.2</v>
      </c>
    </row>
    <row r="472" spans="1:10" ht="15" thickBot="1" x14ac:dyDescent="0.35">
      <c r="A472" s="6">
        <v>471</v>
      </c>
      <c r="B472" s="4">
        <v>40564</v>
      </c>
      <c r="C472" s="3">
        <v>1</v>
      </c>
      <c r="D472" s="3">
        <v>0</v>
      </c>
      <c r="E472" s="3">
        <v>1</v>
      </c>
      <c r="F472" s="3">
        <v>15</v>
      </c>
      <c r="G472" s="5" t="b">
        <v>0</v>
      </c>
      <c r="H472" s="3">
        <v>5</v>
      </c>
      <c r="I472" s="3">
        <v>1</v>
      </c>
      <c r="J472" s="7">
        <v>0.16</v>
      </c>
    </row>
    <row r="473" spans="1:10" ht="15" thickBot="1" x14ac:dyDescent="0.35">
      <c r="A473" s="6">
        <v>472</v>
      </c>
      <c r="B473" s="4">
        <v>40564</v>
      </c>
      <c r="C473" s="3">
        <v>1</v>
      </c>
      <c r="D473" s="3">
        <v>0</v>
      </c>
      <c r="E473" s="3">
        <v>1</v>
      </c>
      <c r="F473" s="3">
        <v>16</v>
      </c>
      <c r="G473" s="5" t="b">
        <v>0</v>
      </c>
      <c r="H473" s="3">
        <v>5</v>
      </c>
      <c r="I473" s="3">
        <v>1</v>
      </c>
      <c r="J473" s="7">
        <v>0.16</v>
      </c>
    </row>
    <row r="474" spans="1:10" ht="15" thickBot="1" x14ac:dyDescent="0.35">
      <c r="A474" s="6">
        <v>473</v>
      </c>
      <c r="B474" s="4">
        <v>40564</v>
      </c>
      <c r="C474" s="3">
        <v>1</v>
      </c>
      <c r="D474" s="3">
        <v>0</v>
      </c>
      <c r="E474" s="3">
        <v>1</v>
      </c>
      <c r="F474" s="3">
        <v>17</v>
      </c>
      <c r="G474" s="5" t="b">
        <v>0</v>
      </c>
      <c r="H474" s="3">
        <v>5</v>
      </c>
      <c r="I474" s="3">
        <v>1</v>
      </c>
      <c r="J474" s="7">
        <v>0.14000000000000001</v>
      </c>
    </row>
    <row r="475" spans="1:10" ht="15" thickBot="1" x14ac:dyDescent="0.35">
      <c r="A475" s="6">
        <v>474</v>
      </c>
      <c r="B475" s="4">
        <v>40564</v>
      </c>
      <c r="C475" s="3">
        <v>1</v>
      </c>
      <c r="D475" s="3">
        <v>0</v>
      </c>
      <c r="E475" s="3">
        <v>1</v>
      </c>
      <c r="F475" s="3">
        <v>18</v>
      </c>
      <c r="G475" s="5" t="b">
        <v>0</v>
      </c>
      <c r="H475" s="3">
        <v>5</v>
      </c>
      <c r="I475" s="3">
        <v>1</v>
      </c>
      <c r="J475" s="7">
        <v>0.12</v>
      </c>
    </row>
    <row r="476" spans="1:10" ht="15" thickBot="1" x14ac:dyDescent="0.35">
      <c r="A476" s="6">
        <v>475</v>
      </c>
      <c r="B476" s="4">
        <v>40564</v>
      </c>
      <c r="C476" s="3">
        <v>1</v>
      </c>
      <c r="D476" s="3">
        <v>0</v>
      </c>
      <c r="E476" s="3">
        <v>1</v>
      </c>
      <c r="F476" s="3">
        <v>19</v>
      </c>
      <c r="G476" s="5" t="b">
        <v>0</v>
      </c>
      <c r="H476" s="3">
        <v>5</v>
      </c>
      <c r="I476" s="3">
        <v>1</v>
      </c>
      <c r="J476" s="7">
        <v>0.12</v>
      </c>
    </row>
    <row r="477" spans="1:10" ht="15" thickBot="1" x14ac:dyDescent="0.35">
      <c r="A477" s="6">
        <v>476</v>
      </c>
      <c r="B477" s="4">
        <v>40564</v>
      </c>
      <c r="C477" s="3">
        <v>1</v>
      </c>
      <c r="D477" s="3">
        <v>0</v>
      </c>
      <c r="E477" s="3">
        <v>1</v>
      </c>
      <c r="F477" s="3">
        <v>20</v>
      </c>
      <c r="G477" s="5" t="b">
        <v>0</v>
      </c>
      <c r="H477" s="3">
        <v>5</v>
      </c>
      <c r="I477" s="3">
        <v>1</v>
      </c>
      <c r="J477" s="7">
        <v>0.1</v>
      </c>
    </row>
    <row r="478" spans="1:10" ht="15" thickBot="1" x14ac:dyDescent="0.35">
      <c r="A478" s="6">
        <v>477</v>
      </c>
      <c r="B478" s="4">
        <v>40564</v>
      </c>
      <c r="C478" s="3">
        <v>1</v>
      </c>
      <c r="D478" s="3">
        <v>0</v>
      </c>
      <c r="E478" s="3">
        <v>1</v>
      </c>
      <c r="F478" s="3">
        <v>21</v>
      </c>
      <c r="G478" s="5" t="b">
        <v>0</v>
      </c>
      <c r="H478" s="3">
        <v>5</v>
      </c>
      <c r="I478" s="3">
        <v>1</v>
      </c>
      <c r="J478" s="7">
        <v>0.08</v>
      </c>
    </row>
    <row r="479" spans="1:10" ht="15" thickBot="1" x14ac:dyDescent="0.35">
      <c r="A479" s="6">
        <v>478</v>
      </c>
      <c r="B479" s="4">
        <v>40564</v>
      </c>
      <c r="C479" s="3">
        <v>1</v>
      </c>
      <c r="D479" s="3">
        <v>0</v>
      </c>
      <c r="E479" s="3">
        <v>1</v>
      </c>
      <c r="F479" s="3">
        <v>22</v>
      </c>
      <c r="G479" s="5" t="b">
        <v>0</v>
      </c>
      <c r="H479" s="3">
        <v>5</v>
      </c>
      <c r="I479" s="3">
        <v>1</v>
      </c>
      <c r="J479" s="7">
        <v>0.06</v>
      </c>
    </row>
    <row r="480" spans="1:10" ht="15" thickBot="1" x14ac:dyDescent="0.35">
      <c r="A480" s="6">
        <v>479</v>
      </c>
      <c r="B480" s="4">
        <v>40564</v>
      </c>
      <c r="C480" s="3">
        <v>1</v>
      </c>
      <c r="D480" s="3">
        <v>0</v>
      </c>
      <c r="E480" s="3">
        <v>1</v>
      </c>
      <c r="F480" s="3">
        <v>23</v>
      </c>
      <c r="G480" s="5" t="b">
        <v>0</v>
      </c>
      <c r="H480" s="3">
        <v>5</v>
      </c>
      <c r="I480" s="3">
        <v>1</v>
      </c>
      <c r="J480" s="7">
        <v>0.06</v>
      </c>
    </row>
    <row r="481" spans="1:10" ht="15" thickBot="1" x14ac:dyDescent="0.35">
      <c r="A481" s="6">
        <v>480</v>
      </c>
      <c r="B481" s="4">
        <v>40565</v>
      </c>
      <c r="C481" s="3">
        <v>1</v>
      </c>
      <c r="D481" s="3">
        <v>0</v>
      </c>
      <c r="E481" s="3">
        <v>1</v>
      </c>
      <c r="F481" s="3">
        <v>0</v>
      </c>
      <c r="G481" s="5" t="b">
        <v>0</v>
      </c>
      <c r="H481" s="3">
        <v>6</v>
      </c>
      <c r="I481" s="3">
        <v>1</v>
      </c>
      <c r="J481" s="7">
        <v>0.04</v>
      </c>
    </row>
    <row r="482" spans="1:10" ht="15" thickBot="1" x14ac:dyDescent="0.35">
      <c r="A482" s="6">
        <v>481</v>
      </c>
      <c r="B482" s="4">
        <v>40565</v>
      </c>
      <c r="C482" s="3">
        <v>1</v>
      </c>
      <c r="D482" s="3">
        <v>0</v>
      </c>
      <c r="E482" s="3">
        <v>1</v>
      </c>
      <c r="F482" s="3">
        <v>1</v>
      </c>
      <c r="G482" s="5" t="b">
        <v>0</v>
      </c>
      <c r="H482" s="3">
        <v>6</v>
      </c>
      <c r="I482" s="3">
        <v>2</v>
      </c>
      <c r="J482" s="7">
        <v>0.04</v>
      </c>
    </row>
    <row r="483" spans="1:10" ht="15" thickBot="1" x14ac:dyDescent="0.35">
      <c r="A483" s="6">
        <v>482</v>
      </c>
      <c r="B483" s="4">
        <v>40565</v>
      </c>
      <c r="C483" s="3">
        <v>1</v>
      </c>
      <c r="D483" s="3">
        <v>0</v>
      </c>
      <c r="E483" s="3">
        <v>1</v>
      </c>
      <c r="F483" s="3">
        <v>2</v>
      </c>
      <c r="G483" s="5" t="b">
        <v>0</v>
      </c>
      <c r="H483" s="3">
        <v>6</v>
      </c>
      <c r="I483" s="3">
        <v>2</v>
      </c>
      <c r="J483" s="7">
        <v>0.04</v>
      </c>
    </row>
    <row r="484" spans="1:10" ht="15" thickBot="1" x14ac:dyDescent="0.35">
      <c r="A484" s="6">
        <v>483</v>
      </c>
      <c r="B484" s="4">
        <v>40565</v>
      </c>
      <c r="C484" s="3">
        <v>1</v>
      </c>
      <c r="D484" s="3">
        <v>0</v>
      </c>
      <c r="E484" s="3">
        <v>1</v>
      </c>
      <c r="F484" s="3">
        <v>3</v>
      </c>
      <c r="G484" s="5" t="b">
        <v>0</v>
      </c>
      <c r="H484" s="3">
        <v>6</v>
      </c>
      <c r="I484" s="3">
        <v>2</v>
      </c>
      <c r="J484" s="7">
        <v>0.04</v>
      </c>
    </row>
    <row r="485" spans="1:10" ht="15" thickBot="1" x14ac:dyDescent="0.35">
      <c r="A485" s="6">
        <v>484</v>
      </c>
      <c r="B485" s="4">
        <v>40565</v>
      </c>
      <c r="C485" s="3">
        <v>1</v>
      </c>
      <c r="D485" s="3">
        <v>0</v>
      </c>
      <c r="E485" s="3">
        <v>1</v>
      </c>
      <c r="F485" s="3">
        <v>4</v>
      </c>
      <c r="G485" s="5" t="b">
        <v>0</v>
      </c>
      <c r="H485" s="3">
        <v>6</v>
      </c>
      <c r="I485" s="3">
        <v>2</v>
      </c>
      <c r="J485" s="7">
        <v>0.02</v>
      </c>
    </row>
    <row r="486" spans="1:10" ht="15" thickBot="1" x14ac:dyDescent="0.35">
      <c r="A486" s="6">
        <v>485</v>
      </c>
      <c r="B486" s="4">
        <v>40565</v>
      </c>
      <c r="C486" s="3">
        <v>1</v>
      </c>
      <c r="D486" s="3">
        <v>0</v>
      </c>
      <c r="E486" s="3">
        <v>1</v>
      </c>
      <c r="F486" s="3">
        <v>6</v>
      </c>
      <c r="G486" s="5" t="b">
        <v>0</v>
      </c>
      <c r="H486" s="3">
        <v>6</v>
      </c>
      <c r="I486" s="3">
        <v>2</v>
      </c>
      <c r="J486" s="7">
        <v>0.02</v>
      </c>
    </row>
    <row r="487" spans="1:10" ht="15" thickBot="1" x14ac:dyDescent="0.35">
      <c r="A487" s="6">
        <v>486</v>
      </c>
      <c r="B487" s="4">
        <v>40565</v>
      </c>
      <c r="C487" s="3">
        <v>1</v>
      </c>
      <c r="D487" s="3">
        <v>0</v>
      </c>
      <c r="E487" s="3">
        <v>1</v>
      </c>
      <c r="F487" s="3">
        <v>7</v>
      </c>
      <c r="G487" s="5" t="b">
        <v>0</v>
      </c>
      <c r="H487" s="3">
        <v>6</v>
      </c>
      <c r="I487" s="3">
        <v>1</v>
      </c>
      <c r="J487" s="7">
        <v>0.02</v>
      </c>
    </row>
    <row r="488" spans="1:10" ht="15" thickBot="1" x14ac:dyDescent="0.35">
      <c r="A488" s="6">
        <v>487</v>
      </c>
      <c r="B488" s="4">
        <v>40565</v>
      </c>
      <c r="C488" s="3">
        <v>1</v>
      </c>
      <c r="D488" s="3">
        <v>0</v>
      </c>
      <c r="E488" s="3">
        <v>1</v>
      </c>
      <c r="F488" s="3">
        <v>8</v>
      </c>
      <c r="G488" s="5" t="b">
        <v>0</v>
      </c>
      <c r="H488" s="3">
        <v>6</v>
      </c>
      <c r="I488" s="3">
        <v>1</v>
      </c>
      <c r="J488" s="7">
        <v>0.02</v>
      </c>
    </row>
    <row r="489" spans="1:10" ht="15" thickBot="1" x14ac:dyDescent="0.35">
      <c r="A489" s="6">
        <v>488</v>
      </c>
      <c r="B489" s="4">
        <v>40565</v>
      </c>
      <c r="C489" s="3">
        <v>1</v>
      </c>
      <c r="D489" s="3">
        <v>0</v>
      </c>
      <c r="E489" s="3">
        <v>1</v>
      </c>
      <c r="F489" s="3">
        <v>9</v>
      </c>
      <c r="G489" s="5" t="b">
        <v>0</v>
      </c>
      <c r="H489" s="3">
        <v>6</v>
      </c>
      <c r="I489" s="3">
        <v>1</v>
      </c>
      <c r="J489" s="7">
        <v>0.04</v>
      </c>
    </row>
    <row r="490" spans="1:10" ht="15" thickBot="1" x14ac:dyDescent="0.35">
      <c r="A490" s="6">
        <v>489</v>
      </c>
      <c r="B490" s="4">
        <v>40565</v>
      </c>
      <c r="C490" s="3">
        <v>1</v>
      </c>
      <c r="D490" s="3">
        <v>0</v>
      </c>
      <c r="E490" s="3">
        <v>1</v>
      </c>
      <c r="F490" s="3">
        <v>10</v>
      </c>
      <c r="G490" s="5" t="b">
        <v>0</v>
      </c>
      <c r="H490" s="3">
        <v>6</v>
      </c>
      <c r="I490" s="3">
        <v>2</v>
      </c>
      <c r="J490" s="7">
        <v>0.04</v>
      </c>
    </row>
    <row r="491" spans="1:10" ht="15" thickBot="1" x14ac:dyDescent="0.35">
      <c r="A491" s="6">
        <v>490</v>
      </c>
      <c r="B491" s="4">
        <v>40565</v>
      </c>
      <c r="C491" s="3">
        <v>1</v>
      </c>
      <c r="D491" s="3">
        <v>0</v>
      </c>
      <c r="E491" s="3">
        <v>1</v>
      </c>
      <c r="F491" s="3">
        <v>11</v>
      </c>
      <c r="G491" s="5" t="b">
        <v>0</v>
      </c>
      <c r="H491" s="3">
        <v>6</v>
      </c>
      <c r="I491" s="3">
        <v>2</v>
      </c>
      <c r="J491" s="7">
        <v>0.06</v>
      </c>
    </row>
    <row r="492" spans="1:10" ht="15" thickBot="1" x14ac:dyDescent="0.35">
      <c r="A492" s="6">
        <v>491</v>
      </c>
      <c r="B492" s="4">
        <v>40565</v>
      </c>
      <c r="C492" s="3">
        <v>1</v>
      </c>
      <c r="D492" s="3">
        <v>0</v>
      </c>
      <c r="E492" s="3">
        <v>1</v>
      </c>
      <c r="F492" s="3">
        <v>12</v>
      </c>
      <c r="G492" s="5" t="b">
        <v>0</v>
      </c>
      <c r="H492" s="3">
        <v>6</v>
      </c>
      <c r="I492" s="3">
        <v>2</v>
      </c>
      <c r="J492" s="7">
        <v>0.06</v>
      </c>
    </row>
    <row r="493" spans="1:10" ht="15" thickBot="1" x14ac:dyDescent="0.35">
      <c r="A493" s="6">
        <v>492</v>
      </c>
      <c r="B493" s="4">
        <v>40565</v>
      </c>
      <c r="C493" s="3">
        <v>1</v>
      </c>
      <c r="D493" s="3">
        <v>0</v>
      </c>
      <c r="E493" s="3">
        <v>1</v>
      </c>
      <c r="F493" s="3">
        <v>13</v>
      </c>
      <c r="G493" s="5" t="b">
        <v>0</v>
      </c>
      <c r="H493" s="3">
        <v>6</v>
      </c>
      <c r="I493" s="3">
        <v>1</v>
      </c>
      <c r="J493" s="7">
        <v>0.08</v>
      </c>
    </row>
    <row r="494" spans="1:10" ht="15" thickBot="1" x14ac:dyDescent="0.35">
      <c r="A494" s="6">
        <v>493</v>
      </c>
      <c r="B494" s="4">
        <v>40565</v>
      </c>
      <c r="C494" s="3">
        <v>1</v>
      </c>
      <c r="D494" s="3">
        <v>0</v>
      </c>
      <c r="E494" s="3">
        <v>1</v>
      </c>
      <c r="F494" s="3">
        <v>14</v>
      </c>
      <c r="G494" s="5" t="b">
        <v>0</v>
      </c>
      <c r="H494" s="3">
        <v>6</v>
      </c>
      <c r="I494" s="3">
        <v>1</v>
      </c>
      <c r="J494" s="7">
        <v>0.1</v>
      </c>
    </row>
    <row r="495" spans="1:10" ht="15" thickBot="1" x14ac:dyDescent="0.35">
      <c r="A495" s="6">
        <v>494</v>
      </c>
      <c r="B495" s="4">
        <v>40565</v>
      </c>
      <c r="C495" s="3">
        <v>1</v>
      </c>
      <c r="D495" s="3">
        <v>0</v>
      </c>
      <c r="E495" s="3">
        <v>1</v>
      </c>
      <c r="F495" s="3">
        <v>15</v>
      </c>
      <c r="G495" s="5" t="b">
        <v>0</v>
      </c>
      <c r="H495" s="3">
        <v>6</v>
      </c>
      <c r="I495" s="3">
        <v>1</v>
      </c>
      <c r="J495" s="7">
        <v>0.12</v>
      </c>
    </row>
    <row r="496" spans="1:10" ht="15" thickBot="1" x14ac:dyDescent="0.35">
      <c r="A496" s="6">
        <v>495</v>
      </c>
      <c r="B496" s="4">
        <v>40565</v>
      </c>
      <c r="C496" s="3">
        <v>1</v>
      </c>
      <c r="D496" s="3">
        <v>0</v>
      </c>
      <c r="E496" s="3">
        <v>1</v>
      </c>
      <c r="F496" s="3">
        <v>16</v>
      </c>
      <c r="G496" s="5" t="b">
        <v>0</v>
      </c>
      <c r="H496" s="3">
        <v>6</v>
      </c>
      <c r="I496" s="3">
        <v>1</v>
      </c>
      <c r="J496" s="7">
        <v>0.12</v>
      </c>
    </row>
    <row r="497" spans="1:10" ht="15" thickBot="1" x14ac:dyDescent="0.35">
      <c r="A497" s="6">
        <v>496</v>
      </c>
      <c r="B497" s="4">
        <v>40565</v>
      </c>
      <c r="C497" s="3">
        <v>1</v>
      </c>
      <c r="D497" s="3">
        <v>0</v>
      </c>
      <c r="E497" s="3">
        <v>1</v>
      </c>
      <c r="F497" s="3">
        <v>17</v>
      </c>
      <c r="G497" s="5" t="b">
        <v>0</v>
      </c>
      <c r="H497" s="3">
        <v>6</v>
      </c>
      <c r="I497" s="3">
        <v>1</v>
      </c>
      <c r="J497" s="7">
        <v>0.12</v>
      </c>
    </row>
    <row r="498" spans="1:10" ht="15" thickBot="1" x14ac:dyDescent="0.35">
      <c r="A498" s="6">
        <v>497</v>
      </c>
      <c r="B498" s="4">
        <v>40565</v>
      </c>
      <c r="C498" s="3">
        <v>1</v>
      </c>
      <c r="D498" s="3">
        <v>0</v>
      </c>
      <c r="E498" s="3">
        <v>1</v>
      </c>
      <c r="F498" s="3">
        <v>18</v>
      </c>
      <c r="G498" s="5" t="b">
        <v>0</v>
      </c>
      <c r="H498" s="3">
        <v>6</v>
      </c>
      <c r="I498" s="3">
        <v>1</v>
      </c>
      <c r="J498" s="7">
        <v>0.08</v>
      </c>
    </row>
    <row r="499" spans="1:10" ht="15" thickBot="1" x14ac:dyDescent="0.35">
      <c r="A499" s="6">
        <v>498</v>
      </c>
      <c r="B499" s="4">
        <v>40565</v>
      </c>
      <c r="C499" s="3">
        <v>1</v>
      </c>
      <c r="D499" s="3">
        <v>0</v>
      </c>
      <c r="E499" s="3">
        <v>1</v>
      </c>
      <c r="F499" s="3">
        <v>19</v>
      </c>
      <c r="G499" s="5" t="b">
        <v>0</v>
      </c>
      <c r="H499" s="3">
        <v>6</v>
      </c>
      <c r="I499" s="3">
        <v>1</v>
      </c>
      <c r="J499" s="7">
        <v>0.08</v>
      </c>
    </row>
    <row r="500" spans="1:10" ht="15" thickBot="1" x14ac:dyDescent="0.35">
      <c r="A500" s="6">
        <v>499</v>
      </c>
      <c r="B500" s="4">
        <v>40565</v>
      </c>
      <c r="C500" s="3">
        <v>1</v>
      </c>
      <c r="D500" s="3">
        <v>0</v>
      </c>
      <c r="E500" s="3">
        <v>1</v>
      </c>
      <c r="F500" s="3">
        <v>20</v>
      </c>
      <c r="G500" s="5" t="b">
        <v>0</v>
      </c>
      <c r="H500" s="3">
        <v>6</v>
      </c>
      <c r="I500" s="3">
        <v>1</v>
      </c>
      <c r="J500" s="7">
        <v>0.06</v>
      </c>
    </row>
    <row r="501" spans="1:10" ht="15" thickBot="1" x14ac:dyDescent="0.35">
      <c r="A501" s="6">
        <v>500</v>
      </c>
      <c r="B501" s="4">
        <v>40565</v>
      </c>
      <c r="C501" s="3">
        <v>1</v>
      </c>
      <c r="D501" s="3">
        <v>0</v>
      </c>
      <c r="E501" s="3">
        <v>1</v>
      </c>
      <c r="F501" s="3">
        <v>21</v>
      </c>
      <c r="G501" s="5" t="b">
        <v>0</v>
      </c>
      <c r="H501" s="3">
        <v>6</v>
      </c>
      <c r="I501" s="3">
        <v>1</v>
      </c>
      <c r="J501" s="7">
        <v>0.06</v>
      </c>
    </row>
    <row r="502" spans="1:10" ht="15" thickBot="1" x14ac:dyDescent="0.35">
      <c r="A502" s="6">
        <v>501</v>
      </c>
      <c r="B502" s="4">
        <v>40565</v>
      </c>
      <c r="C502" s="3">
        <v>1</v>
      </c>
      <c r="D502" s="3">
        <v>0</v>
      </c>
      <c r="E502" s="3">
        <v>1</v>
      </c>
      <c r="F502" s="3">
        <v>22</v>
      </c>
      <c r="G502" s="5" t="b">
        <v>0</v>
      </c>
      <c r="H502" s="3">
        <v>6</v>
      </c>
      <c r="I502" s="3">
        <v>1</v>
      </c>
      <c r="J502" s="7">
        <v>0.06</v>
      </c>
    </row>
    <row r="503" spans="1:10" ht="15" thickBot="1" x14ac:dyDescent="0.35">
      <c r="A503" s="6">
        <v>502</v>
      </c>
      <c r="B503" s="4">
        <v>40565</v>
      </c>
      <c r="C503" s="3">
        <v>1</v>
      </c>
      <c r="D503" s="3">
        <v>0</v>
      </c>
      <c r="E503" s="3">
        <v>1</v>
      </c>
      <c r="F503" s="3">
        <v>23</v>
      </c>
      <c r="G503" s="5" t="b">
        <v>0</v>
      </c>
      <c r="H503" s="3">
        <v>6</v>
      </c>
      <c r="I503" s="3">
        <v>1</v>
      </c>
      <c r="J503" s="7">
        <v>0.04</v>
      </c>
    </row>
    <row r="504" spans="1:10" ht="15" thickBot="1" x14ac:dyDescent="0.35">
      <c r="A504" s="6">
        <v>503</v>
      </c>
      <c r="B504" s="4">
        <v>40566</v>
      </c>
      <c r="C504" s="3">
        <v>1</v>
      </c>
      <c r="D504" s="3">
        <v>0</v>
      </c>
      <c r="E504" s="3">
        <v>1</v>
      </c>
      <c r="F504" s="3">
        <v>0</v>
      </c>
      <c r="G504" s="5" t="b">
        <v>0</v>
      </c>
      <c r="H504" s="3">
        <v>0</v>
      </c>
      <c r="I504" s="3">
        <v>1</v>
      </c>
      <c r="J504" s="7">
        <v>0.04</v>
      </c>
    </row>
    <row r="505" spans="1:10" ht="15" thickBot="1" x14ac:dyDescent="0.35">
      <c r="A505" s="6">
        <v>504</v>
      </c>
      <c r="B505" s="4">
        <v>40566</v>
      </c>
      <c r="C505" s="3">
        <v>1</v>
      </c>
      <c r="D505" s="3">
        <v>0</v>
      </c>
      <c r="E505" s="3">
        <v>1</v>
      </c>
      <c r="F505" s="3">
        <v>1</v>
      </c>
      <c r="G505" s="5" t="b">
        <v>0</v>
      </c>
      <c r="H505" s="3">
        <v>0</v>
      </c>
      <c r="I505" s="3">
        <v>1</v>
      </c>
      <c r="J505" s="7">
        <v>0.04</v>
      </c>
    </row>
    <row r="506" spans="1:10" ht="15" thickBot="1" x14ac:dyDescent="0.35">
      <c r="A506" s="6">
        <v>505</v>
      </c>
      <c r="B506" s="4">
        <v>40566</v>
      </c>
      <c r="C506" s="3">
        <v>1</v>
      </c>
      <c r="D506" s="3">
        <v>0</v>
      </c>
      <c r="E506" s="3">
        <v>1</v>
      </c>
      <c r="F506" s="3">
        <v>2</v>
      </c>
      <c r="G506" s="5" t="b">
        <v>0</v>
      </c>
      <c r="H506" s="3">
        <v>0</v>
      </c>
      <c r="I506" s="3">
        <v>1</v>
      </c>
      <c r="J506" s="7">
        <v>0.02</v>
      </c>
    </row>
    <row r="507" spans="1:10" ht="15" thickBot="1" x14ac:dyDescent="0.35">
      <c r="A507" s="6">
        <v>506</v>
      </c>
      <c r="B507" s="4">
        <v>40566</v>
      </c>
      <c r="C507" s="3">
        <v>1</v>
      </c>
      <c r="D507" s="3">
        <v>0</v>
      </c>
      <c r="E507" s="3">
        <v>1</v>
      </c>
      <c r="F507" s="3">
        <v>3</v>
      </c>
      <c r="G507" s="5" t="b">
        <v>0</v>
      </c>
      <c r="H507" s="3">
        <v>0</v>
      </c>
      <c r="I507" s="3">
        <v>1</v>
      </c>
      <c r="J507" s="7">
        <v>0.02</v>
      </c>
    </row>
    <row r="508" spans="1:10" ht="15" thickBot="1" x14ac:dyDescent="0.35">
      <c r="A508" s="6">
        <v>507</v>
      </c>
      <c r="B508" s="4">
        <v>40566</v>
      </c>
      <c r="C508" s="3">
        <v>1</v>
      </c>
      <c r="D508" s="3">
        <v>0</v>
      </c>
      <c r="E508" s="3">
        <v>1</v>
      </c>
      <c r="F508" s="3">
        <v>5</v>
      </c>
      <c r="G508" s="5" t="b">
        <v>0</v>
      </c>
      <c r="H508" s="3">
        <v>0</v>
      </c>
      <c r="I508" s="3">
        <v>2</v>
      </c>
      <c r="J508" s="7">
        <v>0.04</v>
      </c>
    </row>
    <row r="509" spans="1:10" ht="15" thickBot="1" x14ac:dyDescent="0.35">
      <c r="A509" s="6">
        <v>508</v>
      </c>
      <c r="B509" s="4">
        <v>40566</v>
      </c>
      <c r="C509" s="3">
        <v>1</v>
      </c>
      <c r="D509" s="3">
        <v>0</v>
      </c>
      <c r="E509" s="3">
        <v>1</v>
      </c>
      <c r="F509" s="3">
        <v>6</v>
      </c>
      <c r="G509" s="5" t="b">
        <v>0</v>
      </c>
      <c r="H509" s="3">
        <v>0</v>
      </c>
      <c r="I509" s="3">
        <v>2</v>
      </c>
      <c r="J509" s="7">
        <v>0.04</v>
      </c>
    </row>
    <row r="510" spans="1:10" ht="15" thickBot="1" x14ac:dyDescent="0.35">
      <c r="A510" s="6">
        <v>509</v>
      </c>
      <c r="B510" s="4">
        <v>40566</v>
      </c>
      <c r="C510" s="3">
        <v>1</v>
      </c>
      <c r="D510" s="3">
        <v>0</v>
      </c>
      <c r="E510" s="3">
        <v>1</v>
      </c>
      <c r="F510" s="3">
        <v>7</v>
      </c>
      <c r="G510" s="5" t="b">
        <v>0</v>
      </c>
      <c r="H510" s="3">
        <v>0</v>
      </c>
      <c r="I510" s="3">
        <v>1</v>
      </c>
      <c r="J510" s="7">
        <v>0.08</v>
      </c>
    </row>
    <row r="511" spans="1:10" ht="15" thickBot="1" x14ac:dyDescent="0.35">
      <c r="A511" s="6">
        <v>510</v>
      </c>
      <c r="B511" s="4">
        <v>40566</v>
      </c>
      <c r="C511" s="3">
        <v>1</v>
      </c>
      <c r="D511" s="3">
        <v>0</v>
      </c>
      <c r="E511" s="3">
        <v>1</v>
      </c>
      <c r="F511" s="3">
        <v>8</v>
      </c>
      <c r="G511" s="5" t="b">
        <v>0</v>
      </c>
      <c r="H511" s="3">
        <v>0</v>
      </c>
      <c r="I511" s="3">
        <v>1</v>
      </c>
      <c r="J511" s="7">
        <v>0.06</v>
      </c>
    </row>
    <row r="512" spans="1:10" ht="15" thickBot="1" x14ac:dyDescent="0.35">
      <c r="A512" s="6">
        <v>511</v>
      </c>
      <c r="B512" s="4">
        <v>40566</v>
      </c>
      <c r="C512" s="3">
        <v>1</v>
      </c>
      <c r="D512" s="3">
        <v>0</v>
      </c>
      <c r="E512" s="3">
        <v>1</v>
      </c>
      <c r="F512" s="3">
        <v>9</v>
      </c>
      <c r="G512" s="5" t="b">
        <v>0</v>
      </c>
      <c r="H512" s="3">
        <v>0</v>
      </c>
      <c r="I512" s="3">
        <v>1</v>
      </c>
      <c r="J512" s="7">
        <v>0.1</v>
      </c>
    </row>
    <row r="513" spans="1:10" ht="15" thickBot="1" x14ac:dyDescent="0.35">
      <c r="A513" s="6">
        <v>512</v>
      </c>
      <c r="B513" s="4">
        <v>40566</v>
      </c>
      <c r="C513" s="3">
        <v>1</v>
      </c>
      <c r="D513" s="3">
        <v>0</v>
      </c>
      <c r="E513" s="3">
        <v>1</v>
      </c>
      <c r="F513" s="3">
        <v>10</v>
      </c>
      <c r="G513" s="5" t="b">
        <v>0</v>
      </c>
      <c r="H513" s="3">
        <v>0</v>
      </c>
      <c r="I513" s="3">
        <v>1</v>
      </c>
      <c r="J513" s="7">
        <v>0.14000000000000001</v>
      </c>
    </row>
    <row r="514" spans="1:10" ht="15" thickBot="1" x14ac:dyDescent="0.35">
      <c r="A514" s="6">
        <v>513</v>
      </c>
      <c r="B514" s="4">
        <v>40566</v>
      </c>
      <c r="C514" s="3">
        <v>1</v>
      </c>
      <c r="D514" s="3">
        <v>0</v>
      </c>
      <c r="E514" s="3">
        <v>1</v>
      </c>
      <c r="F514" s="3">
        <v>11</v>
      </c>
      <c r="G514" s="5" t="b">
        <v>0</v>
      </c>
      <c r="H514" s="3">
        <v>0</v>
      </c>
      <c r="I514" s="3">
        <v>1</v>
      </c>
      <c r="J514" s="7">
        <v>0.14000000000000001</v>
      </c>
    </row>
    <row r="515" spans="1:10" ht="15" thickBot="1" x14ac:dyDescent="0.35">
      <c r="A515" s="6">
        <v>514</v>
      </c>
      <c r="B515" s="4">
        <v>40566</v>
      </c>
      <c r="C515" s="3">
        <v>1</v>
      </c>
      <c r="D515" s="3">
        <v>0</v>
      </c>
      <c r="E515" s="3">
        <v>1</v>
      </c>
      <c r="F515" s="3">
        <v>12</v>
      </c>
      <c r="G515" s="5" t="b">
        <v>0</v>
      </c>
      <c r="H515" s="3">
        <v>0</v>
      </c>
      <c r="I515" s="3">
        <v>1</v>
      </c>
      <c r="J515" s="7">
        <v>0.16</v>
      </c>
    </row>
    <row r="516" spans="1:10" ht="15" thickBot="1" x14ac:dyDescent="0.35">
      <c r="A516" s="6">
        <v>515</v>
      </c>
      <c r="B516" s="4">
        <v>40566</v>
      </c>
      <c r="C516" s="3">
        <v>1</v>
      </c>
      <c r="D516" s="3">
        <v>0</v>
      </c>
      <c r="E516" s="3">
        <v>1</v>
      </c>
      <c r="F516" s="3">
        <v>13</v>
      </c>
      <c r="G516" s="5" t="b">
        <v>0</v>
      </c>
      <c r="H516" s="3">
        <v>0</v>
      </c>
      <c r="I516" s="3">
        <v>1</v>
      </c>
      <c r="J516" s="7">
        <v>0.14000000000000001</v>
      </c>
    </row>
    <row r="517" spans="1:10" ht="15" thickBot="1" x14ac:dyDescent="0.35">
      <c r="A517" s="6">
        <v>516</v>
      </c>
      <c r="B517" s="4">
        <v>40566</v>
      </c>
      <c r="C517" s="3">
        <v>1</v>
      </c>
      <c r="D517" s="3">
        <v>0</v>
      </c>
      <c r="E517" s="3">
        <v>1</v>
      </c>
      <c r="F517" s="3">
        <v>14</v>
      </c>
      <c r="G517" s="5" t="b">
        <v>0</v>
      </c>
      <c r="H517" s="3">
        <v>0</v>
      </c>
      <c r="I517" s="3">
        <v>1</v>
      </c>
      <c r="J517" s="7">
        <v>0.16</v>
      </c>
    </row>
    <row r="518" spans="1:10" ht="15" thickBot="1" x14ac:dyDescent="0.35">
      <c r="A518" s="6">
        <v>517</v>
      </c>
      <c r="B518" s="4">
        <v>40566</v>
      </c>
      <c r="C518" s="3">
        <v>1</v>
      </c>
      <c r="D518" s="3">
        <v>0</v>
      </c>
      <c r="E518" s="3">
        <v>1</v>
      </c>
      <c r="F518" s="3">
        <v>15</v>
      </c>
      <c r="G518" s="5" t="b">
        <v>0</v>
      </c>
      <c r="H518" s="3">
        <v>0</v>
      </c>
      <c r="I518" s="3">
        <v>1</v>
      </c>
      <c r="J518" s="7">
        <v>0.16</v>
      </c>
    </row>
    <row r="519" spans="1:10" ht="15" thickBot="1" x14ac:dyDescent="0.35">
      <c r="A519" s="6">
        <v>518</v>
      </c>
      <c r="B519" s="4">
        <v>40566</v>
      </c>
      <c r="C519" s="3">
        <v>1</v>
      </c>
      <c r="D519" s="3">
        <v>0</v>
      </c>
      <c r="E519" s="3">
        <v>1</v>
      </c>
      <c r="F519" s="3">
        <v>16</v>
      </c>
      <c r="G519" s="5" t="b">
        <v>0</v>
      </c>
      <c r="H519" s="3">
        <v>0</v>
      </c>
      <c r="I519" s="3">
        <v>1</v>
      </c>
      <c r="J519" s="7">
        <v>0.16</v>
      </c>
    </row>
    <row r="520" spans="1:10" ht="15" thickBot="1" x14ac:dyDescent="0.35">
      <c r="A520" s="6">
        <v>519</v>
      </c>
      <c r="B520" s="4">
        <v>40566</v>
      </c>
      <c r="C520" s="3">
        <v>1</v>
      </c>
      <c r="D520" s="3">
        <v>0</v>
      </c>
      <c r="E520" s="3">
        <v>1</v>
      </c>
      <c r="F520" s="3">
        <v>17</v>
      </c>
      <c r="G520" s="5" t="b">
        <v>0</v>
      </c>
      <c r="H520" s="3">
        <v>0</v>
      </c>
      <c r="I520" s="3">
        <v>1</v>
      </c>
      <c r="J520" s="7">
        <v>0.14000000000000001</v>
      </c>
    </row>
    <row r="521" spans="1:10" ht="15" thickBot="1" x14ac:dyDescent="0.35">
      <c r="A521" s="6">
        <v>520</v>
      </c>
      <c r="B521" s="4">
        <v>40566</v>
      </c>
      <c r="C521" s="3">
        <v>1</v>
      </c>
      <c r="D521" s="3">
        <v>0</v>
      </c>
      <c r="E521" s="3">
        <v>1</v>
      </c>
      <c r="F521" s="3">
        <v>18</v>
      </c>
      <c r="G521" s="5" t="b">
        <v>0</v>
      </c>
      <c r="H521" s="3">
        <v>0</v>
      </c>
      <c r="I521" s="3">
        <v>1</v>
      </c>
      <c r="J521" s="7">
        <v>0.12</v>
      </c>
    </row>
    <row r="522" spans="1:10" ht="15" thickBot="1" x14ac:dyDescent="0.35">
      <c r="A522" s="6">
        <v>521</v>
      </c>
      <c r="B522" s="4">
        <v>40566</v>
      </c>
      <c r="C522" s="3">
        <v>1</v>
      </c>
      <c r="D522" s="3">
        <v>0</v>
      </c>
      <c r="E522" s="3">
        <v>1</v>
      </c>
      <c r="F522" s="3">
        <v>19</v>
      </c>
      <c r="G522" s="5" t="b">
        <v>0</v>
      </c>
      <c r="H522" s="3">
        <v>0</v>
      </c>
      <c r="I522" s="3">
        <v>1</v>
      </c>
      <c r="J522" s="7">
        <v>0.12</v>
      </c>
    </row>
    <row r="523" spans="1:10" ht="15" thickBot="1" x14ac:dyDescent="0.35">
      <c r="A523" s="6">
        <v>522</v>
      </c>
      <c r="B523" s="4">
        <v>40566</v>
      </c>
      <c r="C523" s="3">
        <v>1</v>
      </c>
      <c r="D523" s="3">
        <v>0</v>
      </c>
      <c r="E523" s="3">
        <v>1</v>
      </c>
      <c r="F523" s="3">
        <v>20</v>
      </c>
      <c r="G523" s="5" t="b">
        <v>0</v>
      </c>
      <c r="H523" s="3">
        <v>0</v>
      </c>
      <c r="I523" s="3">
        <v>1</v>
      </c>
      <c r="J523" s="7">
        <v>0.1</v>
      </c>
    </row>
    <row r="524" spans="1:10" ht="15" thickBot="1" x14ac:dyDescent="0.35">
      <c r="A524" s="6">
        <v>523</v>
      </c>
      <c r="B524" s="4">
        <v>40566</v>
      </c>
      <c r="C524" s="3">
        <v>1</v>
      </c>
      <c r="D524" s="3">
        <v>0</v>
      </c>
      <c r="E524" s="3">
        <v>1</v>
      </c>
      <c r="F524" s="3">
        <v>21</v>
      </c>
      <c r="G524" s="5" t="b">
        <v>0</v>
      </c>
      <c r="H524" s="3">
        <v>0</v>
      </c>
      <c r="I524" s="3">
        <v>1</v>
      </c>
      <c r="J524" s="7">
        <v>0.1</v>
      </c>
    </row>
    <row r="525" spans="1:10" ht="15" thickBot="1" x14ac:dyDescent="0.35">
      <c r="A525" s="6">
        <v>524</v>
      </c>
      <c r="B525" s="4">
        <v>40566</v>
      </c>
      <c r="C525" s="3">
        <v>1</v>
      </c>
      <c r="D525" s="3">
        <v>0</v>
      </c>
      <c r="E525" s="3">
        <v>1</v>
      </c>
      <c r="F525" s="3">
        <v>22</v>
      </c>
      <c r="G525" s="5" t="b">
        <v>0</v>
      </c>
      <c r="H525" s="3">
        <v>0</v>
      </c>
      <c r="I525" s="3">
        <v>1</v>
      </c>
      <c r="J525" s="7">
        <v>0.08</v>
      </c>
    </row>
    <row r="526" spans="1:10" ht="15" thickBot="1" x14ac:dyDescent="0.35">
      <c r="A526" s="6">
        <v>525</v>
      </c>
      <c r="B526" s="4">
        <v>40566</v>
      </c>
      <c r="C526" s="3">
        <v>1</v>
      </c>
      <c r="D526" s="3">
        <v>0</v>
      </c>
      <c r="E526" s="3">
        <v>1</v>
      </c>
      <c r="F526" s="3">
        <v>23</v>
      </c>
      <c r="G526" s="5" t="b">
        <v>0</v>
      </c>
      <c r="H526" s="3">
        <v>0</v>
      </c>
      <c r="I526" s="3">
        <v>1</v>
      </c>
      <c r="J526" s="7">
        <v>0.06</v>
      </c>
    </row>
    <row r="527" spans="1:10" ht="15" thickBot="1" x14ac:dyDescent="0.35">
      <c r="A527" s="6">
        <v>526</v>
      </c>
      <c r="B527" s="4">
        <v>40567</v>
      </c>
      <c r="C527" s="3">
        <v>1</v>
      </c>
      <c r="D527" s="3">
        <v>0</v>
      </c>
      <c r="E527" s="3">
        <v>1</v>
      </c>
      <c r="F527" s="3">
        <v>0</v>
      </c>
      <c r="G527" s="5" t="b">
        <v>0</v>
      </c>
      <c r="H527" s="3">
        <v>1</v>
      </c>
      <c r="I527" s="3">
        <v>1</v>
      </c>
      <c r="J527" s="7">
        <v>0.06</v>
      </c>
    </row>
    <row r="528" spans="1:10" ht="15" thickBot="1" x14ac:dyDescent="0.35">
      <c r="A528" s="6">
        <v>527</v>
      </c>
      <c r="B528" s="4">
        <v>40567</v>
      </c>
      <c r="C528" s="3">
        <v>1</v>
      </c>
      <c r="D528" s="3">
        <v>0</v>
      </c>
      <c r="E528" s="3">
        <v>1</v>
      </c>
      <c r="F528" s="3">
        <v>1</v>
      </c>
      <c r="G528" s="5" t="b">
        <v>0</v>
      </c>
      <c r="H528" s="3">
        <v>1</v>
      </c>
      <c r="I528" s="3">
        <v>1</v>
      </c>
      <c r="J528" s="7">
        <v>0.04</v>
      </c>
    </row>
    <row r="529" spans="1:10" ht="15" thickBot="1" x14ac:dyDescent="0.35">
      <c r="A529" s="6">
        <v>528</v>
      </c>
      <c r="B529" s="4">
        <v>40567</v>
      </c>
      <c r="C529" s="3">
        <v>1</v>
      </c>
      <c r="D529" s="3">
        <v>0</v>
      </c>
      <c r="E529" s="3">
        <v>1</v>
      </c>
      <c r="F529" s="3">
        <v>3</v>
      </c>
      <c r="G529" s="5" t="b">
        <v>0</v>
      </c>
      <c r="H529" s="3">
        <v>1</v>
      </c>
      <c r="I529" s="3">
        <v>1</v>
      </c>
      <c r="J529" s="7">
        <v>0.04</v>
      </c>
    </row>
    <row r="530" spans="1:10" ht="15" thickBot="1" x14ac:dyDescent="0.35">
      <c r="A530" s="6">
        <v>529</v>
      </c>
      <c r="B530" s="4">
        <v>40567</v>
      </c>
      <c r="C530" s="3">
        <v>1</v>
      </c>
      <c r="D530" s="3">
        <v>0</v>
      </c>
      <c r="E530" s="3">
        <v>1</v>
      </c>
      <c r="F530" s="3">
        <v>4</v>
      </c>
      <c r="G530" s="5" t="b">
        <v>0</v>
      </c>
      <c r="H530" s="3">
        <v>1</v>
      </c>
      <c r="I530" s="3">
        <v>1</v>
      </c>
      <c r="J530" s="7">
        <v>0.02</v>
      </c>
    </row>
    <row r="531" spans="1:10" ht="15" thickBot="1" x14ac:dyDescent="0.35">
      <c r="A531" s="6">
        <v>530</v>
      </c>
      <c r="B531" s="4">
        <v>40567</v>
      </c>
      <c r="C531" s="3">
        <v>1</v>
      </c>
      <c r="D531" s="3">
        <v>0</v>
      </c>
      <c r="E531" s="3">
        <v>1</v>
      </c>
      <c r="F531" s="3">
        <v>5</v>
      </c>
      <c r="G531" s="5" t="b">
        <v>0</v>
      </c>
      <c r="H531" s="3">
        <v>1</v>
      </c>
      <c r="I531" s="3">
        <v>1</v>
      </c>
      <c r="J531" s="7">
        <v>0.02</v>
      </c>
    </row>
    <row r="532" spans="1:10" ht="15" thickBot="1" x14ac:dyDescent="0.35">
      <c r="A532" s="6">
        <v>531</v>
      </c>
      <c r="B532" s="4">
        <v>40567</v>
      </c>
      <c r="C532" s="3">
        <v>1</v>
      </c>
      <c r="D532" s="3">
        <v>0</v>
      </c>
      <c r="E532" s="3">
        <v>1</v>
      </c>
      <c r="F532" s="3">
        <v>6</v>
      </c>
      <c r="G532" s="5" t="b">
        <v>0</v>
      </c>
      <c r="H532" s="3">
        <v>1</v>
      </c>
      <c r="I532" s="3">
        <v>1</v>
      </c>
      <c r="J532" s="7">
        <v>0.02</v>
      </c>
    </row>
    <row r="533" spans="1:10" ht="15" thickBot="1" x14ac:dyDescent="0.35">
      <c r="A533" s="6">
        <v>532</v>
      </c>
      <c r="B533" s="4">
        <v>40567</v>
      </c>
      <c r="C533" s="3">
        <v>1</v>
      </c>
      <c r="D533" s="3">
        <v>0</v>
      </c>
      <c r="E533" s="3">
        <v>1</v>
      </c>
      <c r="F533" s="3">
        <v>7</v>
      </c>
      <c r="G533" s="5" t="b">
        <v>0</v>
      </c>
      <c r="H533" s="3">
        <v>1</v>
      </c>
      <c r="I533" s="3">
        <v>1</v>
      </c>
      <c r="J533" s="7">
        <v>0.02</v>
      </c>
    </row>
    <row r="534" spans="1:10" ht="15" thickBot="1" x14ac:dyDescent="0.35">
      <c r="A534" s="6">
        <v>533</v>
      </c>
      <c r="B534" s="4">
        <v>40567</v>
      </c>
      <c r="C534" s="3">
        <v>1</v>
      </c>
      <c r="D534" s="3">
        <v>0</v>
      </c>
      <c r="E534" s="3">
        <v>1</v>
      </c>
      <c r="F534" s="3">
        <v>8</v>
      </c>
      <c r="G534" s="5" t="b">
        <v>0</v>
      </c>
      <c r="H534" s="3">
        <v>1</v>
      </c>
      <c r="I534" s="3">
        <v>1</v>
      </c>
      <c r="J534" s="7">
        <v>0.04</v>
      </c>
    </row>
    <row r="535" spans="1:10" ht="15" thickBot="1" x14ac:dyDescent="0.35">
      <c r="A535" s="6">
        <v>534</v>
      </c>
      <c r="B535" s="4">
        <v>40567</v>
      </c>
      <c r="C535" s="3">
        <v>1</v>
      </c>
      <c r="D535" s="3">
        <v>0</v>
      </c>
      <c r="E535" s="3">
        <v>1</v>
      </c>
      <c r="F535" s="3">
        <v>9</v>
      </c>
      <c r="G535" s="5" t="b">
        <v>0</v>
      </c>
      <c r="H535" s="3">
        <v>1</v>
      </c>
      <c r="I535" s="3">
        <v>1</v>
      </c>
      <c r="J535" s="7">
        <v>0.06</v>
      </c>
    </row>
    <row r="536" spans="1:10" ht="15" thickBot="1" x14ac:dyDescent="0.35">
      <c r="A536" s="6">
        <v>535</v>
      </c>
      <c r="B536" s="4">
        <v>40567</v>
      </c>
      <c r="C536" s="3">
        <v>1</v>
      </c>
      <c r="D536" s="3">
        <v>0</v>
      </c>
      <c r="E536" s="3">
        <v>1</v>
      </c>
      <c r="F536" s="3">
        <v>10</v>
      </c>
      <c r="G536" s="5" t="b">
        <v>0</v>
      </c>
      <c r="H536" s="3">
        <v>1</v>
      </c>
      <c r="I536" s="3">
        <v>1</v>
      </c>
      <c r="J536" s="7">
        <v>0.1</v>
      </c>
    </row>
    <row r="537" spans="1:10" ht="15" thickBot="1" x14ac:dyDescent="0.35">
      <c r="A537" s="6">
        <v>536</v>
      </c>
      <c r="B537" s="4">
        <v>40567</v>
      </c>
      <c r="C537" s="3">
        <v>1</v>
      </c>
      <c r="D537" s="3">
        <v>0</v>
      </c>
      <c r="E537" s="3">
        <v>1</v>
      </c>
      <c r="F537" s="3">
        <v>11</v>
      </c>
      <c r="G537" s="5" t="b">
        <v>0</v>
      </c>
      <c r="H537" s="3">
        <v>1</v>
      </c>
      <c r="I537" s="3">
        <v>1</v>
      </c>
      <c r="J537" s="7">
        <v>0.1</v>
      </c>
    </row>
    <row r="538" spans="1:10" ht="15" thickBot="1" x14ac:dyDescent="0.35">
      <c r="A538" s="6">
        <v>537</v>
      </c>
      <c r="B538" s="4">
        <v>40567</v>
      </c>
      <c r="C538" s="3">
        <v>1</v>
      </c>
      <c r="D538" s="3">
        <v>0</v>
      </c>
      <c r="E538" s="3">
        <v>1</v>
      </c>
      <c r="F538" s="3">
        <v>12</v>
      </c>
      <c r="G538" s="5" t="b">
        <v>0</v>
      </c>
      <c r="H538" s="3">
        <v>1</v>
      </c>
      <c r="I538" s="3">
        <v>2</v>
      </c>
      <c r="J538" s="7">
        <v>0.12</v>
      </c>
    </row>
    <row r="539" spans="1:10" ht="15" thickBot="1" x14ac:dyDescent="0.35">
      <c r="A539" s="6">
        <v>538</v>
      </c>
      <c r="B539" s="4">
        <v>40567</v>
      </c>
      <c r="C539" s="3">
        <v>1</v>
      </c>
      <c r="D539" s="3">
        <v>0</v>
      </c>
      <c r="E539" s="3">
        <v>1</v>
      </c>
      <c r="F539" s="3">
        <v>13</v>
      </c>
      <c r="G539" s="5" t="b">
        <v>0</v>
      </c>
      <c r="H539" s="3">
        <v>1</v>
      </c>
      <c r="I539" s="3">
        <v>2</v>
      </c>
      <c r="J539" s="7">
        <v>0.14000000000000001</v>
      </c>
    </row>
    <row r="540" spans="1:10" ht="15" thickBot="1" x14ac:dyDescent="0.35">
      <c r="A540" s="6">
        <v>539</v>
      </c>
      <c r="B540" s="4">
        <v>40567</v>
      </c>
      <c r="C540" s="3">
        <v>1</v>
      </c>
      <c r="D540" s="3">
        <v>0</v>
      </c>
      <c r="E540" s="3">
        <v>1</v>
      </c>
      <c r="F540" s="3">
        <v>14</v>
      </c>
      <c r="G540" s="5" t="b">
        <v>0</v>
      </c>
      <c r="H540" s="3">
        <v>1</v>
      </c>
      <c r="I540" s="3">
        <v>2</v>
      </c>
      <c r="J540" s="7">
        <v>0.14000000000000001</v>
      </c>
    </row>
    <row r="541" spans="1:10" ht="15" thickBot="1" x14ac:dyDescent="0.35">
      <c r="A541" s="6">
        <v>540</v>
      </c>
      <c r="B541" s="4">
        <v>40567</v>
      </c>
      <c r="C541" s="3">
        <v>1</v>
      </c>
      <c r="D541" s="3">
        <v>0</v>
      </c>
      <c r="E541" s="3">
        <v>1</v>
      </c>
      <c r="F541" s="3">
        <v>15</v>
      </c>
      <c r="G541" s="5" t="b">
        <v>0</v>
      </c>
      <c r="H541" s="3">
        <v>1</v>
      </c>
      <c r="I541" s="3">
        <v>1</v>
      </c>
      <c r="J541" s="7">
        <v>0.16</v>
      </c>
    </row>
    <row r="542" spans="1:10" ht="15" thickBot="1" x14ac:dyDescent="0.35">
      <c r="A542" s="6">
        <v>541</v>
      </c>
      <c r="B542" s="4">
        <v>40567</v>
      </c>
      <c r="C542" s="3">
        <v>1</v>
      </c>
      <c r="D542" s="3">
        <v>0</v>
      </c>
      <c r="E542" s="3">
        <v>1</v>
      </c>
      <c r="F542" s="3">
        <v>16</v>
      </c>
      <c r="G542" s="5" t="b">
        <v>0</v>
      </c>
      <c r="H542" s="3">
        <v>1</v>
      </c>
      <c r="I542" s="3">
        <v>1</v>
      </c>
      <c r="J542" s="7">
        <v>0.16</v>
      </c>
    </row>
    <row r="543" spans="1:10" ht="15" thickBot="1" x14ac:dyDescent="0.35">
      <c r="A543" s="6">
        <v>542</v>
      </c>
      <c r="B543" s="4">
        <v>40567</v>
      </c>
      <c r="C543" s="3">
        <v>1</v>
      </c>
      <c r="D543" s="3">
        <v>0</v>
      </c>
      <c r="E543" s="3">
        <v>1</v>
      </c>
      <c r="F543" s="3">
        <v>17</v>
      </c>
      <c r="G543" s="5" t="b">
        <v>0</v>
      </c>
      <c r="H543" s="3">
        <v>1</v>
      </c>
      <c r="I543" s="3">
        <v>1</v>
      </c>
      <c r="J543" s="7">
        <v>0.14000000000000001</v>
      </c>
    </row>
    <row r="544" spans="1:10" ht="15" thickBot="1" x14ac:dyDescent="0.35">
      <c r="A544" s="6">
        <v>543</v>
      </c>
      <c r="B544" s="4">
        <v>40567</v>
      </c>
      <c r="C544" s="3">
        <v>1</v>
      </c>
      <c r="D544" s="3">
        <v>0</v>
      </c>
      <c r="E544" s="3">
        <v>1</v>
      </c>
      <c r="F544" s="3">
        <v>18</v>
      </c>
      <c r="G544" s="5" t="b">
        <v>0</v>
      </c>
      <c r="H544" s="3">
        <v>1</v>
      </c>
      <c r="I544" s="3">
        <v>1</v>
      </c>
      <c r="J544" s="7">
        <v>0.14000000000000001</v>
      </c>
    </row>
    <row r="545" spans="1:10" ht="15" thickBot="1" x14ac:dyDescent="0.35">
      <c r="A545" s="6">
        <v>544</v>
      </c>
      <c r="B545" s="4">
        <v>40567</v>
      </c>
      <c r="C545" s="3">
        <v>1</v>
      </c>
      <c r="D545" s="3">
        <v>0</v>
      </c>
      <c r="E545" s="3">
        <v>1</v>
      </c>
      <c r="F545" s="3">
        <v>19</v>
      </c>
      <c r="G545" s="5" t="b">
        <v>0</v>
      </c>
      <c r="H545" s="3">
        <v>1</v>
      </c>
      <c r="I545" s="3">
        <v>1</v>
      </c>
      <c r="J545" s="7">
        <v>0.14000000000000001</v>
      </c>
    </row>
    <row r="546" spans="1:10" ht="15" thickBot="1" x14ac:dyDescent="0.35">
      <c r="A546" s="6">
        <v>545</v>
      </c>
      <c r="B546" s="4">
        <v>40567</v>
      </c>
      <c r="C546" s="3">
        <v>1</v>
      </c>
      <c r="D546" s="3">
        <v>0</v>
      </c>
      <c r="E546" s="3">
        <v>1</v>
      </c>
      <c r="F546" s="3">
        <v>20</v>
      </c>
      <c r="G546" s="5" t="b">
        <v>0</v>
      </c>
      <c r="H546" s="3">
        <v>1</v>
      </c>
      <c r="I546" s="3">
        <v>1</v>
      </c>
      <c r="J546" s="7">
        <v>0.14000000000000001</v>
      </c>
    </row>
    <row r="547" spans="1:10" ht="15" thickBot="1" x14ac:dyDescent="0.35">
      <c r="A547" s="6">
        <v>546</v>
      </c>
      <c r="B547" s="4">
        <v>40567</v>
      </c>
      <c r="C547" s="3">
        <v>1</v>
      </c>
      <c r="D547" s="3">
        <v>0</v>
      </c>
      <c r="E547" s="3">
        <v>1</v>
      </c>
      <c r="F547" s="3">
        <v>21</v>
      </c>
      <c r="G547" s="5" t="b">
        <v>0</v>
      </c>
      <c r="H547" s="3">
        <v>1</v>
      </c>
      <c r="I547" s="3">
        <v>1</v>
      </c>
      <c r="J547" s="7">
        <v>0.14000000000000001</v>
      </c>
    </row>
    <row r="548" spans="1:10" ht="15" thickBot="1" x14ac:dyDescent="0.35">
      <c r="A548" s="6">
        <v>547</v>
      </c>
      <c r="B548" s="4">
        <v>40567</v>
      </c>
      <c r="C548" s="3">
        <v>1</v>
      </c>
      <c r="D548" s="3">
        <v>0</v>
      </c>
      <c r="E548" s="3">
        <v>1</v>
      </c>
      <c r="F548" s="3">
        <v>22</v>
      </c>
      <c r="G548" s="5" t="b">
        <v>0</v>
      </c>
      <c r="H548" s="3">
        <v>1</v>
      </c>
      <c r="I548" s="3">
        <v>2</v>
      </c>
      <c r="J548" s="7">
        <v>0.14000000000000001</v>
      </c>
    </row>
    <row r="549" spans="1:10" ht="15" thickBot="1" x14ac:dyDescent="0.35">
      <c r="A549" s="6">
        <v>548</v>
      </c>
      <c r="B549" s="4">
        <v>40567</v>
      </c>
      <c r="C549" s="3">
        <v>1</v>
      </c>
      <c r="D549" s="3">
        <v>0</v>
      </c>
      <c r="E549" s="3">
        <v>1</v>
      </c>
      <c r="F549" s="3">
        <v>23</v>
      </c>
      <c r="G549" s="5" t="b">
        <v>0</v>
      </c>
      <c r="H549" s="3">
        <v>1</v>
      </c>
      <c r="I549" s="3">
        <v>2</v>
      </c>
      <c r="J549" s="7">
        <v>0.16</v>
      </c>
    </row>
    <row r="550" spans="1:10" ht="15" thickBot="1" x14ac:dyDescent="0.35">
      <c r="A550" s="6">
        <v>549</v>
      </c>
      <c r="B550" s="4">
        <v>40568</v>
      </c>
      <c r="C550" s="3">
        <v>1</v>
      </c>
      <c r="D550" s="3">
        <v>0</v>
      </c>
      <c r="E550" s="3">
        <v>1</v>
      </c>
      <c r="F550" s="3">
        <v>0</v>
      </c>
      <c r="G550" s="5" t="b">
        <v>0</v>
      </c>
      <c r="H550" s="3">
        <v>2</v>
      </c>
      <c r="I550" s="3">
        <v>2</v>
      </c>
      <c r="J550" s="7">
        <v>0.16</v>
      </c>
    </row>
    <row r="551" spans="1:10" ht="15" thickBot="1" x14ac:dyDescent="0.35">
      <c r="A551" s="6">
        <v>550</v>
      </c>
      <c r="B551" s="4">
        <v>40568</v>
      </c>
      <c r="C551" s="3">
        <v>1</v>
      </c>
      <c r="D551" s="3">
        <v>0</v>
      </c>
      <c r="E551" s="3">
        <v>1</v>
      </c>
      <c r="F551" s="3">
        <v>1</v>
      </c>
      <c r="G551" s="5" t="b">
        <v>0</v>
      </c>
      <c r="H551" s="3">
        <v>2</v>
      </c>
      <c r="I551" s="3">
        <v>2</v>
      </c>
      <c r="J551" s="7">
        <v>0.16</v>
      </c>
    </row>
    <row r="552" spans="1:10" ht="15" thickBot="1" x14ac:dyDescent="0.35">
      <c r="A552" s="6">
        <v>551</v>
      </c>
      <c r="B552" s="4">
        <v>40568</v>
      </c>
      <c r="C552" s="3">
        <v>1</v>
      </c>
      <c r="D552" s="3">
        <v>0</v>
      </c>
      <c r="E552" s="3">
        <v>1</v>
      </c>
      <c r="F552" s="3">
        <v>2</v>
      </c>
      <c r="G552" s="5" t="b">
        <v>0</v>
      </c>
      <c r="H552" s="3">
        <v>2</v>
      </c>
      <c r="I552" s="3">
        <v>1</v>
      </c>
      <c r="J552" s="7">
        <v>0.16</v>
      </c>
    </row>
    <row r="553" spans="1:10" ht="15" thickBot="1" x14ac:dyDescent="0.35">
      <c r="A553" s="6">
        <v>552</v>
      </c>
      <c r="B553" s="4">
        <v>40568</v>
      </c>
      <c r="C553" s="3">
        <v>1</v>
      </c>
      <c r="D553" s="3">
        <v>0</v>
      </c>
      <c r="E553" s="3">
        <v>1</v>
      </c>
      <c r="F553" s="3">
        <v>4</v>
      </c>
      <c r="G553" s="5" t="b">
        <v>0</v>
      </c>
      <c r="H553" s="3">
        <v>2</v>
      </c>
      <c r="I553" s="3">
        <v>1</v>
      </c>
      <c r="J553" s="7">
        <v>0.14000000000000001</v>
      </c>
    </row>
    <row r="554" spans="1:10" ht="15" thickBot="1" x14ac:dyDescent="0.35">
      <c r="A554" s="6">
        <v>553</v>
      </c>
      <c r="B554" s="4">
        <v>40568</v>
      </c>
      <c r="C554" s="3">
        <v>1</v>
      </c>
      <c r="D554" s="3">
        <v>0</v>
      </c>
      <c r="E554" s="3">
        <v>1</v>
      </c>
      <c r="F554" s="3">
        <v>5</v>
      </c>
      <c r="G554" s="5" t="b">
        <v>0</v>
      </c>
      <c r="H554" s="3">
        <v>2</v>
      </c>
      <c r="I554" s="3">
        <v>1</v>
      </c>
      <c r="J554" s="7">
        <v>0.14000000000000001</v>
      </c>
    </row>
    <row r="555" spans="1:10" ht="15" thickBot="1" x14ac:dyDescent="0.35">
      <c r="A555" s="6">
        <v>554</v>
      </c>
      <c r="B555" s="4">
        <v>40568</v>
      </c>
      <c r="C555" s="3">
        <v>1</v>
      </c>
      <c r="D555" s="3">
        <v>0</v>
      </c>
      <c r="E555" s="3">
        <v>1</v>
      </c>
      <c r="F555" s="3">
        <v>6</v>
      </c>
      <c r="G555" s="5" t="b">
        <v>0</v>
      </c>
      <c r="H555" s="3">
        <v>2</v>
      </c>
      <c r="I555" s="3">
        <v>1</v>
      </c>
      <c r="J555" s="7">
        <v>0.16</v>
      </c>
    </row>
    <row r="556" spans="1:10" ht="15" thickBot="1" x14ac:dyDescent="0.35">
      <c r="A556" s="6">
        <v>555</v>
      </c>
      <c r="B556" s="4">
        <v>40568</v>
      </c>
      <c r="C556" s="3">
        <v>1</v>
      </c>
      <c r="D556" s="3">
        <v>0</v>
      </c>
      <c r="E556" s="3">
        <v>1</v>
      </c>
      <c r="F556" s="3">
        <v>7</v>
      </c>
      <c r="G556" s="5" t="b">
        <v>0</v>
      </c>
      <c r="H556" s="3">
        <v>2</v>
      </c>
      <c r="I556" s="3">
        <v>1</v>
      </c>
      <c r="J556" s="7">
        <v>0.16</v>
      </c>
    </row>
    <row r="557" spans="1:10" ht="15" thickBot="1" x14ac:dyDescent="0.35">
      <c r="A557" s="6">
        <v>556</v>
      </c>
      <c r="B557" s="4">
        <v>40568</v>
      </c>
      <c r="C557" s="3">
        <v>1</v>
      </c>
      <c r="D557" s="3">
        <v>0</v>
      </c>
      <c r="E557" s="3">
        <v>1</v>
      </c>
      <c r="F557" s="3">
        <v>8</v>
      </c>
      <c r="G557" s="5" t="b">
        <v>0</v>
      </c>
      <c r="H557" s="3">
        <v>2</v>
      </c>
      <c r="I557" s="3">
        <v>2</v>
      </c>
      <c r="J557" s="7">
        <v>0.16</v>
      </c>
    </row>
    <row r="558" spans="1:10" ht="15" thickBot="1" x14ac:dyDescent="0.35">
      <c r="A558" s="6">
        <v>557</v>
      </c>
      <c r="B558" s="4">
        <v>40568</v>
      </c>
      <c r="C558" s="3">
        <v>1</v>
      </c>
      <c r="D558" s="3">
        <v>0</v>
      </c>
      <c r="E558" s="3">
        <v>1</v>
      </c>
      <c r="F558" s="3">
        <v>9</v>
      </c>
      <c r="G558" s="5" t="b">
        <v>0</v>
      </c>
      <c r="H558" s="3">
        <v>2</v>
      </c>
      <c r="I558" s="3">
        <v>2</v>
      </c>
      <c r="J558" s="7">
        <v>0.2</v>
      </c>
    </row>
    <row r="559" spans="1:10" ht="15" thickBot="1" x14ac:dyDescent="0.35">
      <c r="A559" s="6">
        <v>558</v>
      </c>
      <c r="B559" s="4">
        <v>40568</v>
      </c>
      <c r="C559" s="3">
        <v>1</v>
      </c>
      <c r="D559" s="3">
        <v>0</v>
      </c>
      <c r="E559" s="3">
        <v>1</v>
      </c>
      <c r="F559" s="3">
        <v>10</v>
      </c>
      <c r="G559" s="5" t="b">
        <v>0</v>
      </c>
      <c r="H559" s="3">
        <v>2</v>
      </c>
      <c r="I559" s="3">
        <v>2</v>
      </c>
      <c r="J559" s="7">
        <v>0.22</v>
      </c>
    </row>
    <row r="560" spans="1:10" ht="15" thickBot="1" x14ac:dyDescent="0.35">
      <c r="A560" s="6">
        <v>559</v>
      </c>
      <c r="B560" s="4">
        <v>40568</v>
      </c>
      <c r="C560" s="3">
        <v>1</v>
      </c>
      <c r="D560" s="3">
        <v>0</v>
      </c>
      <c r="E560" s="3">
        <v>1</v>
      </c>
      <c r="F560" s="3">
        <v>11</v>
      </c>
      <c r="G560" s="5" t="b">
        <v>0</v>
      </c>
      <c r="H560" s="3">
        <v>2</v>
      </c>
      <c r="I560" s="3">
        <v>2</v>
      </c>
      <c r="J560" s="7">
        <v>0.24</v>
      </c>
    </row>
    <row r="561" spans="1:10" ht="15" thickBot="1" x14ac:dyDescent="0.35">
      <c r="A561" s="6">
        <v>560</v>
      </c>
      <c r="B561" s="4">
        <v>40568</v>
      </c>
      <c r="C561" s="3">
        <v>1</v>
      </c>
      <c r="D561" s="3">
        <v>0</v>
      </c>
      <c r="E561" s="3">
        <v>1</v>
      </c>
      <c r="F561" s="3">
        <v>12</v>
      </c>
      <c r="G561" s="5" t="b">
        <v>0</v>
      </c>
      <c r="H561" s="3">
        <v>2</v>
      </c>
      <c r="I561" s="3">
        <v>2</v>
      </c>
      <c r="J561" s="7">
        <v>0.26</v>
      </c>
    </row>
    <row r="562" spans="1:10" ht="15" thickBot="1" x14ac:dyDescent="0.35">
      <c r="A562" s="6">
        <v>561</v>
      </c>
      <c r="B562" s="4">
        <v>40568</v>
      </c>
      <c r="C562" s="3">
        <v>1</v>
      </c>
      <c r="D562" s="3">
        <v>0</v>
      </c>
      <c r="E562" s="3">
        <v>1</v>
      </c>
      <c r="F562" s="3">
        <v>13</v>
      </c>
      <c r="G562" s="5" t="b">
        <v>0</v>
      </c>
      <c r="H562" s="3">
        <v>2</v>
      </c>
      <c r="I562" s="3">
        <v>2</v>
      </c>
      <c r="J562" s="7">
        <v>0.26</v>
      </c>
    </row>
    <row r="563" spans="1:10" ht="15" thickBot="1" x14ac:dyDescent="0.35">
      <c r="A563" s="6">
        <v>562</v>
      </c>
      <c r="B563" s="4">
        <v>40568</v>
      </c>
      <c r="C563" s="3">
        <v>1</v>
      </c>
      <c r="D563" s="3">
        <v>0</v>
      </c>
      <c r="E563" s="3">
        <v>1</v>
      </c>
      <c r="F563" s="3">
        <v>14</v>
      </c>
      <c r="G563" s="5" t="b">
        <v>0</v>
      </c>
      <c r="H563" s="3">
        <v>2</v>
      </c>
      <c r="I563" s="3">
        <v>2</v>
      </c>
      <c r="J563" s="7">
        <v>0.3</v>
      </c>
    </row>
    <row r="564" spans="1:10" ht="15" thickBot="1" x14ac:dyDescent="0.35">
      <c r="A564" s="6">
        <v>563</v>
      </c>
      <c r="B564" s="4">
        <v>40568</v>
      </c>
      <c r="C564" s="3">
        <v>1</v>
      </c>
      <c r="D564" s="3">
        <v>0</v>
      </c>
      <c r="E564" s="3">
        <v>1</v>
      </c>
      <c r="F564" s="3">
        <v>15</v>
      </c>
      <c r="G564" s="5" t="b">
        <v>0</v>
      </c>
      <c r="H564" s="3">
        <v>2</v>
      </c>
      <c r="I564" s="3">
        <v>2</v>
      </c>
      <c r="J564" s="7">
        <v>0.32</v>
      </c>
    </row>
    <row r="565" spans="1:10" ht="15" thickBot="1" x14ac:dyDescent="0.35">
      <c r="A565" s="6">
        <v>564</v>
      </c>
      <c r="B565" s="4">
        <v>40568</v>
      </c>
      <c r="C565" s="3">
        <v>1</v>
      </c>
      <c r="D565" s="3">
        <v>0</v>
      </c>
      <c r="E565" s="3">
        <v>1</v>
      </c>
      <c r="F565" s="3">
        <v>16</v>
      </c>
      <c r="G565" s="5" t="b">
        <v>0</v>
      </c>
      <c r="H565" s="3">
        <v>2</v>
      </c>
      <c r="I565" s="3">
        <v>2</v>
      </c>
      <c r="J565" s="7">
        <v>0.32</v>
      </c>
    </row>
    <row r="566" spans="1:10" ht="15" thickBot="1" x14ac:dyDescent="0.35">
      <c r="A566" s="6">
        <v>565</v>
      </c>
      <c r="B566" s="4">
        <v>40568</v>
      </c>
      <c r="C566" s="3">
        <v>1</v>
      </c>
      <c r="D566" s="3">
        <v>0</v>
      </c>
      <c r="E566" s="3">
        <v>1</v>
      </c>
      <c r="F566" s="3">
        <v>17</v>
      </c>
      <c r="G566" s="5" t="b">
        <v>0</v>
      </c>
      <c r="H566" s="3">
        <v>2</v>
      </c>
      <c r="I566" s="3">
        <v>1</v>
      </c>
      <c r="J566" s="7">
        <v>0.3</v>
      </c>
    </row>
    <row r="567" spans="1:10" ht="15" thickBot="1" x14ac:dyDescent="0.35">
      <c r="A567" s="6">
        <v>566</v>
      </c>
      <c r="B567" s="4">
        <v>40568</v>
      </c>
      <c r="C567" s="3">
        <v>1</v>
      </c>
      <c r="D567" s="3">
        <v>0</v>
      </c>
      <c r="E567" s="3">
        <v>1</v>
      </c>
      <c r="F567" s="3">
        <v>18</v>
      </c>
      <c r="G567" s="5" t="b">
        <v>0</v>
      </c>
      <c r="H567" s="3">
        <v>2</v>
      </c>
      <c r="I567" s="3">
        <v>2</v>
      </c>
      <c r="J567" s="7">
        <v>0.3</v>
      </c>
    </row>
    <row r="568" spans="1:10" ht="15" thickBot="1" x14ac:dyDescent="0.35">
      <c r="A568" s="6">
        <v>567</v>
      </c>
      <c r="B568" s="4">
        <v>40568</v>
      </c>
      <c r="C568" s="3">
        <v>1</v>
      </c>
      <c r="D568" s="3">
        <v>0</v>
      </c>
      <c r="E568" s="3">
        <v>1</v>
      </c>
      <c r="F568" s="3">
        <v>19</v>
      </c>
      <c r="G568" s="5" t="b">
        <v>0</v>
      </c>
      <c r="H568" s="3">
        <v>2</v>
      </c>
      <c r="I568" s="3">
        <v>2</v>
      </c>
      <c r="J568" s="7">
        <v>0.26</v>
      </c>
    </row>
    <row r="569" spans="1:10" ht="15" thickBot="1" x14ac:dyDescent="0.35">
      <c r="A569" s="6">
        <v>568</v>
      </c>
      <c r="B569" s="4">
        <v>40568</v>
      </c>
      <c r="C569" s="3">
        <v>1</v>
      </c>
      <c r="D569" s="3">
        <v>0</v>
      </c>
      <c r="E569" s="3">
        <v>1</v>
      </c>
      <c r="F569" s="3">
        <v>20</v>
      </c>
      <c r="G569" s="5" t="b">
        <v>0</v>
      </c>
      <c r="H569" s="3">
        <v>2</v>
      </c>
      <c r="I569" s="3">
        <v>1</v>
      </c>
      <c r="J569" s="7">
        <v>0.24</v>
      </c>
    </row>
    <row r="570" spans="1:10" ht="15" thickBot="1" x14ac:dyDescent="0.35">
      <c r="A570" s="6">
        <v>569</v>
      </c>
      <c r="B570" s="4">
        <v>40568</v>
      </c>
      <c r="C570" s="3">
        <v>1</v>
      </c>
      <c r="D570" s="3">
        <v>0</v>
      </c>
      <c r="E570" s="3">
        <v>1</v>
      </c>
      <c r="F570" s="3">
        <v>21</v>
      </c>
      <c r="G570" s="5" t="b">
        <v>0</v>
      </c>
      <c r="H570" s="3">
        <v>2</v>
      </c>
      <c r="I570" s="3">
        <v>1</v>
      </c>
      <c r="J570" s="7">
        <v>0.24</v>
      </c>
    </row>
    <row r="571" spans="1:10" ht="15" thickBot="1" x14ac:dyDescent="0.35">
      <c r="A571" s="6">
        <v>570</v>
      </c>
      <c r="B571" s="4">
        <v>40568</v>
      </c>
      <c r="C571" s="3">
        <v>1</v>
      </c>
      <c r="D571" s="3">
        <v>0</v>
      </c>
      <c r="E571" s="3">
        <v>1</v>
      </c>
      <c r="F571" s="3">
        <v>22</v>
      </c>
      <c r="G571" s="5" t="b">
        <v>0</v>
      </c>
      <c r="H571" s="3">
        <v>2</v>
      </c>
      <c r="I571" s="3">
        <v>1</v>
      </c>
      <c r="J571" s="7">
        <v>0.22</v>
      </c>
    </row>
    <row r="572" spans="1:10" ht="15" thickBot="1" x14ac:dyDescent="0.35">
      <c r="A572" s="6">
        <v>571</v>
      </c>
      <c r="B572" s="4">
        <v>40568</v>
      </c>
      <c r="C572" s="3">
        <v>1</v>
      </c>
      <c r="D572" s="3">
        <v>0</v>
      </c>
      <c r="E572" s="3">
        <v>1</v>
      </c>
      <c r="F572" s="3">
        <v>23</v>
      </c>
      <c r="G572" s="5" t="b">
        <v>0</v>
      </c>
      <c r="H572" s="3">
        <v>2</v>
      </c>
      <c r="I572" s="3">
        <v>2</v>
      </c>
      <c r="J572" s="7">
        <v>0.22</v>
      </c>
    </row>
    <row r="573" spans="1:10" ht="15" thickBot="1" x14ac:dyDescent="0.35">
      <c r="A573" s="6">
        <v>572</v>
      </c>
      <c r="B573" s="4">
        <v>40569</v>
      </c>
      <c r="C573" s="3">
        <v>1</v>
      </c>
      <c r="D573" s="3">
        <v>0</v>
      </c>
      <c r="E573" s="3">
        <v>1</v>
      </c>
      <c r="F573" s="3">
        <v>0</v>
      </c>
      <c r="G573" s="5" t="b">
        <v>0</v>
      </c>
      <c r="H573" s="3">
        <v>3</v>
      </c>
      <c r="I573" s="3">
        <v>2</v>
      </c>
      <c r="J573" s="7">
        <v>0.22</v>
      </c>
    </row>
    <row r="574" spans="1:10" ht="15" thickBot="1" x14ac:dyDescent="0.35">
      <c r="A574" s="6">
        <v>573</v>
      </c>
      <c r="B574" s="4">
        <v>40569</v>
      </c>
      <c r="C574" s="3">
        <v>1</v>
      </c>
      <c r="D574" s="3">
        <v>0</v>
      </c>
      <c r="E574" s="3">
        <v>1</v>
      </c>
      <c r="F574" s="3">
        <v>1</v>
      </c>
      <c r="G574" s="5" t="b">
        <v>0</v>
      </c>
      <c r="H574" s="3">
        <v>3</v>
      </c>
      <c r="I574" s="3">
        <v>2</v>
      </c>
      <c r="J574" s="7">
        <v>0.24</v>
      </c>
    </row>
    <row r="575" spans="1:10" ht="15" thickBot="1" x14ac:dyDescent="0.35">
      <c r="A575" s="6">
        <v>574</v>
      </c>
      <c r="B575" s="4">
        <v>40569</v>
      </c>
      <c r="C575" s="3">
        <v>1</v>
      </c>
      <c r="D575" s="3">
        <v>0</v>
      </c>
      <c r="E575" s="3">
        <v>1</v>
      </c>
      <c r="F575" s="3">
        <v>2</v>
      </c>
      <c r="G575" s="5" t="b">
        <v>0</v>
      </c>
      <c r="H575" s="3">
        <v>3</v>
      </c>
      <c r="I575" s="3">
        <v>3</v>
      </c>
      <c r="J575" s="7">
        <v>0.22</v>
      </c>
    </row>
    <row r="576" spans="1:10" ht="15" thickBot="1" x14ac:dyDescent="0.35">
      <c r="A576" s="6">
        <v>575</v>
      </c>
      <c r="B576" s="4">
        <v>40569</v>
      </c>
      <c r="C576" s="3">
        <v>1</v>
      </c>
      <c r="D576" s="3">
        <v>0</v>
      </c>
      <c r="E576" s="3">
        <v>1</v>
      </c>
      <c r="F576" s="3">
        <v>5</v>
      </c>
      <c r="G576" s="5" t="b">
        <v>0</v>
      </c>
      <c r="H576" s="3">
        <v>3</v>
      </c>
      <c r="I576" s="3">
        <v>3</v>
      </c>
      <c r="J576" s="7">
        <v>0.2</v>
      </c>
    </row>
    <row r="577" spans="1:10" ht="15" thickBot="1" x14ac:dyDescent="0.35">
      <c r="A577" s="6">
        <v>576</v>
      </c>
      <c r="B577" s="4">
        <v>40569</v>
      </c>
      <c r="C577" s="3">
        <v>1</v>
      </c>
      <c r="D577" s="3">
        <v>0</v>
      </c>
      <c r="E577" s="3">
        <v>1</v>
      </c>
      <c r="F577" s="3">
        <v>6</v>
      </c>
      <c r="G577" s="5" t="b">
        <v>0</v>
      </c>
      <c r="H577" s="3">
        <v>3</v>
      </c>
      <c r="I577" s="3">
        <v>3</v>
      </c>
      <c r="J577" s="7">
        <v>0.2</v>
      </c>
    </row>
    <row r="578" spans="1:10" ht="15" thickBot="1" x14ac:dyDescent="0.35">
      <c r="A578" s="6">
        <v>577</v>
      </c>
      <c r="B578" s="4">
        <v>40569</v>
      </c>
      <c r="C578" s="3">
        <v>1</v>
      </c>
      <c r="D578" s="3">
        <v>0</v>
      </c>
      <c r="E578" s="3">
        <v>1</v>
      </c>
      <c r="F578" s="3">
        <v>7</v>
      </c>
      <c r="G578" s="5" t="b">
        <v>0</v>
      </c>
      <c r="H578" s="3">
        <v>3</v>
      </c>
      <c r="I578" s="3">
        <v>3</v>
      </c>
      <c r="J578" s="7">
        <v>0.22</v>
      </c>
    </row>
    <row r="579" spans="1:10" ht="15" thickBot="1" x14ac:dyDescent="0.35">
      <c r="A579" s="6">
        <v>578</v>
      </c>
      <c r="B579" s="4">
        <v>40569</v>
      </c>
      <c r="C579" s="3">
        <v>1</v>
      </c>
      <c r="D579" s="3">
        <v>0</v>
      </c>
      <c r="E579" s="3">
        <v>1</v>
      </c>
      <c r="F579" s="3">
        <v>8</v>
      </c>
      <c r="G579" s="5" t="b">
        <v>0</v>
      </c>
      <c r="H579" s="3">
        <v>3</v>
      </c>
      <c r="I579" s="3">
        <v>3</v>
      </c>
      <c r="J579" s="7">
        <v>0.22</v>
      </c>
    </row>
    <row r="580" spans="1:10" ht="15" thickBot="1" x14ac:dyDescent="0.35">
      <c r="A580" s="6">
        <v>579</v>
      </c>
      <c r="B580" s="4">
        <v>40569</v>
      </c>
      <c r="C580" s="3">
        <v>1</v>
      </c>
      <c r="D580" s="3">
        <v>0</v>
      </c>
      <c r="E580" s="3">
        <v>1</v>
      </c>
      <c r="F580" s="3">
        <v>9</v>
      </c>
      <c r="G580" s="5" t="b">
        <v>0</v>
      </c>
      <c r="H580" s="3">
        <v>3</v>
      </c>
      <c r="I580" s="3">
        <v>3</v>
      </c>
      <c r="J580" s="7">
        <v>0.22</v>
      </c>
    </row>
    <row r="581" spans="1:10" ht="15" thickBot="1" x14ac:dyDescent="0.35">
      <c r="A581" s="6">
        <v>580</v>
      </c>
      <c r="B581" s="4">
        <v>40569</v>
      </c>
      <c r="C581" s="3">
        <v>1</v>
      </c>
      <c r="D581" s="3">
        <v>0</v>
      </c>
      <c r="E581" s="3">
        <v>1</v>
      </c>
      <c r="F581" s="3">
        <v>10</v>
      </c>
      <c r="G581" s="5" t="b">
        <v>0</v>
      </c>
      <c r="H581" s="3">
        <v>3</v>
      </c>
      <c r="I581" s="3">
        <v>3</v>
      </c>
      <c r="J581" s="7">
        <v>0.22</v>
      </c>
    </row>
    <row r="582" spans="1:10" ht="15" thickBot="1" x14ac:dyDescent="0.35">
      <c r="A582" s="6">
        <v>581</v>
      </c>
      <c r="B582" s="4">
        <v>40569</v>
      </c>
      <c r="C582" s="3">
        <v>1</v>
      </c>
      <c r="D582" s="3">
        <v>0</v>
      </c>
      <c r="E582" s="3">
        <v>1</v>
      </c>
      <c r="F582" s="3">
        <v>11</v>
      </c>
      <c r="G582" s="5" t="b">
        <v>0</v>
      </c>
      <c r="H582" s="3">
        <v>3</v>
      </c>
      <c r="I582" s="3">
        <v>3</v>
      </c>
      <c r="J582" s="7">
        <v>0.22</v>
      </c>
    </row>
    <row r="583" spans="1:10" ht="15" thickBot="1" x14ac:dyDescent="0.35">
      <c r="A583" s="6">
        <v>582</v>
      </c>
      <c r="B583" s="4">
        <v>40569</v>
      </c>
      <c r="C583" s="3">
        <v>1</v>
      </c>
      <c r="D583" s="3">
        <v>0</v>
      </c>
      <c r="E583" s="3">
        <v>1</v>
      </c>
      <c r="F583" s="3">
        <v>12</v>
      </c>
      <c r="G583" s="5" t="b">
        <v>0</v>
      </c>
      <c r="H583" s="3">
        <v>3</v>
      </c>
      <c r="I583" s="3">
        <v>3</v>
      </c>
      <c r="J583" s="7">
        <v>0.22</v>
      </c>
    </row>
    <row r="584" spans="1:10" ht="15" thickBot="1" x14ac:dyDescent="0.35">
      <c r="A584" s="6">
        <v>583</v>
      </c>
      <c r="B584" s="4">
        <v>40569</v>
      </c>
      <c r="C584" s="3">
        <v>1</v>
      </c>
      <c r="D584" s="3">
        <v>0</v>
      </c>
      <c r="E584" s="3">
        <v>1</v>
      </c>
      <c r="F584" s="3">
        <v>13</v>
      </c>
      <c r="G584" s="5" t="b">
        <v>0</v>
      </c>
      <c r="H584" s="3">
        <v>3</v>
      </c>
      <c r="I584" s="3">
        <v>3</v>
      </c>
      <c r="J584" s="7">
        <v>0.22</v>
      </c>
    </row>
    <row r="585" spans="1:10" ht="15" thickBot="1" x14ac:dyDescent="0.35">
      <c r="A585" s="6">
        <v>584</v>
      </c>
      <c r="B585" s="4">
        <v>40569</v>
      </c>
      <c r="C585" s="3">
        <v>1</v>
      </c>
      <c r="D585" s="3">
        <v>0</v>
      </c>
      <c r="E585" s="3">
        <v>1</v>
      </c>
      <c r="F585" s="3">
        <v>14</v>
      </c>
      <c r="G585" s="5" t="b">
        <v>0</v>
      </c>
      <c r="H585" s="3">
        <v>3</v>
      </c>
      <c r="I585" s="3">
        <v>3</v>
      </c>
      <c r="J585" s="7">
        <v>0.22</v>
      </c>
    </row>
    <row r="586" spans="1:10" ht="15" thickBot="1" x14ac:dyDescent="0.35">
      <c r="A586" s="6">
        <v>585</v>
      </c>
      <c r="B586" s="4">
        <v>40569</v>
      </c>
      <c r="C586" s="3">
        <v>1</v>
      </c>
      <c r="D586" s="3">
        <v>0</v>
      </c>
      <c r="E586" s="3">
        <v>1</v>
      </c>
      <c r="F586" s="3">
        <v>15</v>
      </c>
      <c r="G586" s="5" t="b">
        <v>0</v>
      </c>
      <c r="H586" s="3">
        <v>3</v>
      </c>
      <c r="I586" s="3">
        <v>3</v>
      </c>
      <c r="J586" s="7">
        <v>0.22</v>
      </c>
    </row>
    <row r="587" spans="1:10" ht="15" thickBot="1" x14ac:dyDescent="0.35">
      <c r="A587" s="6">
        <v>586</v>
      </c>
      <c r="B587" s="4">
        <v>40569</v>
      </c>
      <c r="C587" s="3">
        <v>1</v>
      </c>
      <c r="D587" s="3">
        <v>0</v>
      </c>
      <c r="E587" s="3">
        <v>1</v>
      </c>
      <c r="F587" s="3">
        <v>16</v>
      </c>
      <c r="G587" s="5" t="b">
        <v>0</v>
      </c>
      <c r="H587" s="3">
        <v>3</v>
      </c>
      <c r="I587" s="3">
        <v>4</v>
      </c>
      <c r="J587" s="7">
        <v>0.22</v>
      </c>
    </row>
    <row r="588" spans="1:10" ht="15" thickBot="1" x14ac:dyDescent="0.35">
      <c r="A588" s="6">
        <v>587</v>
      </c>
      <c r="B588" s="4">
        <v>40569</v>
      </c>
      <c r="C588" s="3">
        <v>1</v>
      </c>
      <c r="D588" s="3">
        <v>0</v>
      </c>
      <c r="E588" s="3">
        <v>1</v>
      </c>
      <c r="F588" s="3">
        <v>17</v>
      </c>
      <c r="G588" s="5" t="b">
        <v>0</v>
      </c>
      <c r="H588" s="3">
        <v>3</v>
      </c>
      <c r="I588" s="3">
        <v>3</v>
      </c>
      <c r="J588" s="7">
        <v>0.2</v>
      </c>
    </row>
    <row r="589" spans="1:10" ht="15" thickBot="1" x14ac:dyDescent="0.35">
      <c r="A589" s="6">
        <v>588</v>
      </c>
      <c r="B589" s="4">
        <v>40570</v>
      </c>
      <c r="C589" s="3">
        <v>1</v>
      </c>
      <c r="D589" s="3">
        <v>0</v>
      </c>
      <c r="E589" s="3">
        <v>1</v>
      </c>
      <c r="F589" s="3">
        <v>16</v>
      </c>
      <c r="G589" s="5" t="b">
        <v>0</v>
      </c>
      <c r="H589" s="3">
        <v>4</v>
      </c>
      <c r="I589" s="3">
        <v>1</v>
      </c>
      <c r="J589" s="7">
        <v>0.22</v>
      </c>
    </row>
    <row r="590" spans="1:10" ht="15" thickBot="1" x14ac:dyDescent="0.35">
      <c r="A590" s="6">
        <v>589</v>
      </c>
      <c r="B590" s="4">
        <v>40570</v>
      </c>
      <c r="C590" s="3">
        <v>1</v>
      </c>
      <c r="D590" s="3">
        <v>0</v>
      </c>
      <c r="E590" s="3">
        <v>1</v>
      </c>
      <c r="F590" s="3">
        <v>17</v>
      </c>
      <c r="G590" s="5" t="b">
        <v>0</v>
      </c>
      <c r="H590" s="3">
        <v>4</v>
      </c>
      <c r="I590" s="3">
        <v>1</v>
      </c>
      <c r="J590" s="7">
        <v>0.22</v>
      </c>
    </row>
    <row r="591" spans="1:10" ht="15" thickBot="1" x14ac:dyDescent="0.35">
      <c r="A591" s="6">
        <v>590</v>
      </c>
      <c r="B591" s="4">
        <v>40570</v>
      </c>
      <c r="C591" s="3">
        <v>1</v>
      </c>
      <c r="D591" s="3">
        <v>0</v>
      </c>
      <c r="E591" s="3">
        <v>1</v>
      </c>
      <c r="F591" s="3">
        <v>18</v>
      </c>
      <c r="G591" s="5" t="b">
        <v>0</v>
      </c>
      <c r="H591" s="3">
        <v>4</v>
      </c>
      <c r="I591" s="3">
        <v>1</v>
      </c>
      <c r="J591" s="7">
        <v>0.2</v>
      </c>
    </row>
    <row r="592" spans="1:10" ht="15" thickBot="1" x14ac:dyDescent="0.35">
      <c r="A592" s="6">
        <v>591</v>
      </c>
      <c r="B592" s="4">
        <v>40570</v>
      </c>
      <c r="C592" s="3">
        <v>1</v>
      </c>
      <c r="D592" s="3">
        <v>0</v>
      </c>
      <c r="E592" s="3">
        <v>1</v>
      </c>
      <c r="F592" s="3">
        <v>19</v>
      </c>
      <c r="G592" s="5" t="b">
        <v>0</v>
      </c>
      <c r="H592" s="3">
        <v>4</v>
      </c>
      <c r="I592" s="3">
        <v>1</v>
      </c>
      <c r="J592" s="7">
        <v>0.2</v>
      </c>
    </row>
    <row r="593" spans="1:10" ht="15" thickBot="1" x14ac:dyDescent="0.35">
      <c r="A593" s="6">
        <v>592</v>
      </c>
      <c r="B593" s="4">
        <v>40570</v>
      </c>
      <c r="C593" s="3">
        <v>1</v>
      </c>
      <c r="D593" s="3">
        <v>0</v>
      </c>
      <c r="E593" s="3">
        <v>1</v>
      </c>
      <c r="F593" s="3">
        <v>20</v>
      </c>
      <c r="G593" s="5" t="b">
        <v>0</v>
      </c>
      <c r="H593" s="3">
        <v>4</v>
      </c>
      <c r="I593" s="3">
        <v>1</v>
      </c>
      <c r="J593" s="7">
        <v>0.18</v>
      </c>
    </row>
    <row r="594" spans="1:10" ht="15" thickBot="1" x14ac:dyDescent="0.35">
      <c r="A594" s="6">
        <v>593</v>
      </c>
      <c r="B594" s="4">
        <v>40570</v>
      </c>
      <c r="C594" s="3">
        <v>1</v>
      </c>
      <c r="D594" s="3">
        <v>0</v>
      </c>
      <c r="E594" s="3">
        <v>1</v>
      </c>
      <c r="F594" s="3">
        <v>21</v>
      </c>
      <c r="G594" s="5" t="b">
        <v>0</v>
      </c>
      <c r="H594" s="3">
        <v>4</v>
      </c>
      <c r="I594" s="3">
        <v>1</v>
      </c>
      <c r="J594" s="7">
        <v>0.18</v>
      </c>
    </row>
    <row r="595" spans="1:10" ht="15" thickBot="1" x14ac:dyDescent="0.35">
      <c r="A595" s="6">
        <v>594</v>
      </c>
      <c r="B595" s="4">
        <v>40570</v>
      </c>
      <c r="C595" s="3">
        <v>1</v>
      </c>
      <c r="D595" s="3">
        <v>0</v>
      </c>
      <c r="E595" s="3">
        <v>1</v>
      </c>
      <c r="F595" s="3">
        <v>22</v>
      </c>
      <c r="G595" s="5" t="b">
        <v>0</v>
      </c>
      <c r="H595" s="3">
        <v>4</v>
      </c>
      <c r="I595" s="3">
        <v>1</v>
      </c>
      <c r="J595" s="7">
        <v>0.18</v>
      </c>
    </row>
    <row r="596" spans="1:10" ht="15" thickBot="1" x14ac:dyDescent="0.35">
      <c r="A596" s="6">
        <v>595</v>
      </c>
      <c r="B596" s="4">
        <v>40570</v>
      </c>
      <c r="C596" s="3">
        <v>1</v>
      </c>
      <c r="D596" s="3">
        <v>0</v>
      </c>
      <c r="E596" s="3">
        <v>1</v>
      </c>
      <c r="F596" s="3">
        <v>23</v>
      </c>
      <c r="G596" s="5" t="b">
        <v>0</v>
      </c>
      <c r="H596" s="3">
        <v>4</v>
      </c>
      <c r="I596" s="3">
        <v>1</v>
      </c>
      <c r="J596" s="7">
        <v>0.18</v>
      </c>
    </row>
    <row r="597" spans="1:10" ht="15" thickBot="1" x14ac:dyDescent="0.35">
      <c r="A597" s="6">
        <v>596</v>
      </c>
      <c r="B597" s="4">
        <v>40571</v>
      </c>
      <c r="C597" s="3">
        <v>1</v>
      </c>
      <c r="D597" s="3">
        <v>0</v>
      </c>
      <c r="E597" s="3">
        <v>1</v>
      </c>
      <c r="F597" s="3">
        <v>0</v>
      </c>
      <c r="G597" s="5" t="b">
        <v>0</v>
      </c>
      <c r="H597" s="3">
        <v>5</v>
      </c>
      <c r="I597" s="3">
        <v>2</v>
      </c>
      <c r="J597" s="7">
        <v>0.2</v>
      </c>
    </row>
    <row r="598" spans="1:10" ht="15" thickBot="1" x14ac:dyDescent="0.35">
      <c r="A598" s="6">
        <v>597</v>
      </c>
      <c r="B598" s="4">
        <v>40571</v>
      </c>
      <c r="C598" s="3">
        <v>1</v>
      </c>
      <c r="D598" s="3">
        <v>0</v>
      </c>
      <c r="E598" s="3">
        <v>1</v>
      </c>
      <c r="F598" s="3">
        <v>1</v>
      </c>
      <c r="G598" s="5" t="b">
        <v>0</v>
      </c>
      <c r="H598" s="3">
        <v>5</v>
      </c>
      <c r="I598" s="3">
        <v>2</v>
      </c>
      <c r="J598" s="7">
        <v>0.2</v>
      </c>
    </row>
    <row r="599" spans="1:10" ht="15" thickBot="1" x14ac:dyDescent="0.35">
      <c r="A599" s="6">
        <v>598</v>
      </c>
      <c r="B599" s="4">
        <v>40571</v>
      </c>
      <c r="C599" s="3">
        <v>1</v>
      </c>
      <c r="D599" s="3">
        <v>0</v>
      </c>
      <c r="E599" s="3">
        <v>1</v>
      </c>
      <c r="F599" s="3">
        <v>2</v>
      </c>
      <c r="G599" s="5" t="b">
        <v>0</v>
      </c>
      <c r="H599" s="3">
        <v>5</v>
      </c>
      <c r="I599" s="3">
        <v>2</v>
      </c>
      <c r="J599" s="7">
        <v>0.2</v>
      </c>
    </row>
    <row r="600" spans="1:10" ht="15" thickBot="1" x14ac:dyDescent="0.35">
      <c r="A600" s="6">
        <v>599</v>
      </c>
      <c r="B600" s="4">
        <v>40571</v>
      </c>
      <c r="C600" s="3">
        <v>1</v>
      </c>
      <c r="D600" s="3">
        <v>0</v>
      </c>
      <c r="E600" s="3">
        <v>1</v>
      </c>
      <c r="F600" s="3">
        <v>3</v>
      </c>
      <c r="G600" s="5" t="b">
        <v>0</v>
      </c>
      <c r="H600" s="3">
        <v>5</v>
      </c>
      <c r="I600" s="3">
        <v>2</v>
      </c>
      <c r="J600" s="7">
        <v>0.2</v>
      </c>
    </row>
    <row r="601" spans="1:10" ht="15" thickBot="1" x14ac:dyDescent="0.35">
      <c r="A601" s="6">
        <v>600</v>
      </c>
      <c r="B601" s="4">
        <v>40571</v>
      </c>
      <c r="C601" s="3">
        <v>1</v>
      </c>
      <c r="D601" s="3">
        <v>0</v>
      </c>
      <c r="E601" s="3">
        <v>1</v>
      </c>
      <c r="F601" s="3">
        <v>5</v>
      </c>
      <c r="G601" s="5" t="b">
        <v>0</v>
      </c>
      <c r="H601" s="3">
        <v>5</v>
      </c>
      <c r="I601" s="3">
        <v>2</v>
      </c>
      <c r="J601" s="7">
        <v>0.18</v>
      </c>
    </row>
    <row r="602" spans="1:10" ht="15" thickBot="1" x14ac:dyDescent="0.35">
      <c r="A602" s="6">
        <v>601</v>
      </c>
      <c r="B602" s="4">
        <v>40571</v>
      </c>
      <c r="C602" s="3">
        <v>1</v>
      </c>
      <c r="D602" s="3">
        <v>0</v>
      </c>
      <c r="E602" s="3">
        <v>1</v>
      </c>
      <c r="F602" s="3">
        <v>6</v>
      </c>
      <c r="G602" s="5" t="b">
        <v>0</v>
      </c>
      <c r="H602" s="3">
        <v>5</v>
      </c>
      <c r="I602" s="3">
        <v>2</v>
      </c>
      <c r="J602" s="7">
        <v>0.18</v>
      </c>
    </row>
    <row r="603" spans="1:10" ht="15" thickBot="1" x14ac:dyDescent="0.35">
      <c r="A603" s="6">
        <v>602</v>
      </c>
      <c r="B603" s="4">
        <v>40571</v>
      </c>
      <c r="C603" s="3">
        <v>1</v>
      </c>
      <c r="D603" s="3">
        <v>0</v>
      </c>
      <c r="E603" s="3">
        <v>1</v>
      </c>
      <c r="F603" s="3">
        <v>7</v>
      </c>
      <c r="G603" s="5" t="b">
        <v>0</v>
      </c>
      <c r="H603" s="3">
        <v>5</v>
      </c>
      <c r="I603" s="3">
        <v>2</v>
      </c>
      <c r="J603" s="7">
        <v>0.16</v>
      </c>
    </row>
    <row r="604" spans="1:10" ht="15" thickBot="1" x14ac:dyDescent="0.35">
      <c r="A604" s="6">
        <v>603</v>
      </c>
      <c r="B604" s="4">
        <v>40571</v>
      </c>
      <c r="C604" s="3">
        <v>1</v>
      </c>
      <c r="D604" s="3">
        <v>0</v>
      </c>
      <c r="E604" s="3">
        <v>1</v>
      </c>
      <c r="F604" s="3">
        <v>8</v>
      </c>
      <c r="G604" s="5" t="b">
        <v>0</v>
      </c>
      <c r="H604" s="3">
        <v>5</v>
      </c>
      <c r="I604" s="3">
        <v>2</v>
      </c>
      <c r="J604" s="7">
        <v>0.16</v>
      </c>
    </row>
    <row r="605" spans="1:10" ht="15" thickBot="1" x14ac:dyDescent="0.35">
      <c r="A605" s="6">
        <v>604</v>
      </c>
      <c r="B605" s="4">
        <v>40571</v>
      </c>
      <c r="C605" s="3">
        <v>1</v>
      </c>
      <c r="D605" s="3">
        <v>0</v>
      </c>
      <c r="E605" s="3">
        <v>1</v>
      </c>
      <c r="F605" s="3">
        <v>9</v>
      </c>
      <c r="G605" s="5" t="b">
        <v>0</v>
      </c>
      <c r="H605" s="3">
        <v>5</v>
      </c>
      <c r="I605" s="3">
        <v>3</v>
      </c>
      <c r="J605" s="7">
        <v>0.18</v>
      </c>
    </row>
    <row r="606" spans="1:10" ht="15" thickBot="1" x14ac:dyDescent="0.35">
      <c r="A606" s="6">
        <v>605</v>
      </c>
      <c r="B606" s="4">
        <v>40571</v>
      </c>
      <c r="C606" s="3">
        <v>1</v>
      </c>
      <c r="D606" s="3">
        <v>0</v>
      </c>
      <c r="E606" s="3">
        <v>1</v>
      </c>
      <c r="F606" s="3">
        <v>10</v>
      </c>
      <c r="G606" s="5" t="b">
        <v>0</v>
      </c>
      <c r="H606" s="3">
        <v>5</v>
      </c>
      <c r="I606" s="3">
        <v>3</v>
      </c>
      <c r="J606" s="7">
        <v>0.18</v>
      </c>
    </row>
    <row r="607" spans="1:10" ht="15" thickBot="1" x14ac:dyDescent="0.35">
      <c r="A607" s="6">
        <v>606</v>
      </c>
      <c r="B607" s="4">
        <v>40571</v>
      </c>
      <c r="C607" s="3">
        <v>1</v>
      </c>
      <c r="D607" s="3">
        <v>0</v>
      </c>
      <c r="E607" s="3">
        <v>1</v>
      </c>
      <c r="F607" s="3">
        <v>11</v>
      </c>
      <c r="G607" s="5" t="b">
        <v>0</v>
      </c>
      <c r="H607" s="3">
        <v>5</v>
      </c>
      <c r="I607" s="3">
        <v>3</v>
      </c>
      <c r="J607" s="7">
        <v>0.18</v>
      </c>
    </row>
    <row r="608" spans="1:10" ht="15" thickBot="1" x14ac:dyDescent="0.35">
      <c r="A608" s="6">
        <v>607</v>
      </c>
      <c r="B608" s="4">
        <v>40571</v>
      </c>
      <c r="C608" s="3">
        <v>1</v>
      </c>
      <c r="D608" s="3">
        <v>0</v>
      </c>
      <c r="E608" s="3">
        <v>1</v>
      </c>
      <c r="F608" s="3">
        <v>12</v>
      </c>
      <c r="G608" s="5" t="b">
        <v>0</v>
      </c>
      <c r="H608" s="3">
        <v>5</v>
      </c>
      <c r="I608" s="3">
        <v>3</v>
      </c>
      <c r="J608" s="7">
        <v>0.18</v>
      </c>
    </row>
    <row r="609" spans="1:10" ht="15" thickBot="1" x14ac:dyDescent="0.35">
      <c r="A609" s="6">
        <v>608</v>
      </c>
      <c r="B609" s="4">
        <v>40571</v>
      </c>
      <c r="C609" s="3">
        <v>1</v>
      </c>
      <c r="D609" s="3">
        <v>0</v>
      </c>
      <c r="E609" s="3">
        <v>1</v>
      </c>
      <c r="F609" s="3">
        <v>13</v>
      </c>
      <c r="G609" s="5" t="b">
        <v>0</v>
      </c>
      <c r="H609" s="3">
        <v>5</v>
      </c>
      <c r="I609" s="3">
        <v>3</v>
      </c>
      <c r="J609" s="7">
        <v>0.18</v>
      </c>
    </row>
    <row r="610" spans="1:10" ht="15" thickBot="1" x14ac:dyDescent="0.35">
      <c r="A610" s="6">
        <v>609</v>
      </c>
      <c r="B610" s="4">
        <v>40571</v>
      </c>
      <c r="C610" s="3">
        <v>1</v>
      </c>
      <c r="D610" s="3">
        <v>0</v>
      </c>
      <c r="E610" s="3">
        <v>1</v>
      </c>
      <c r="F610" s="3">
        <v>14</v>
      </c>
      <c r="G610" s="5" t="b">
        <v>0</v>
      </c>
      <c r="H610" s="3">
        <v>5</v>
      </c>
      <c r="I610" s="3">
        <v>3</v>
      </c>
      <c r="J610" s="7">
        <v>0.22</v>
      </c>
    </row>
    <row r="611" spans="1:10" x14ac:dyDescent="0.3">
      <c r="A611" s="11">
        <v>610</v>
      </c>
      <c r="B611" s="12">
        <v>40571</v>
      </c>
      <c r="C611" s="13">
        <v>1</v>
      </c>
      <c r="D611" s="13">
        <v>0</v>
      </c>
      <c r="E611" s="13">
        <v>1</v>
      </c>
      <c r="F611" s="13">
        <v>15</v>
      </c>
      <c r="G611" s="14" t="b">
        <v>0</v>
      </c>
      <c r="H611" s="13">
        <v>5</v>
      </c>
      <c r="I611" s="13">
        <v>2</v>
      </c>
      <c r="J611" s="15">
        <v>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AC7A-8630-4D60-AFE4-8FD8C825A9F6}">
  <sheetPr codeName="Sheet3"/>
  <dimension ref="A1:G611"/>
  <sheetViews>
    <sheetView workbookViewId="0">
      <selection sqref="A1:A1048576"/>
    </sheetView>
  </sheetViews>
  <sheetFormatPr defaultRowHeight="14.4" x14ac:dyDescent="0.3"/>
  <cols>
    <col min="4" max="4" width="12" customWidth="1"/>
    <col min="6" max="6" width="11.21875" customWidth="1"/>
  </cols>
  <sheetData>
    <row r="1" spans="1:7" ht="15" thickBot="1" x14ac:dyDescent="0.35">
      <c r="A1" s="17" t="s">
        <v>0</v>
      </c>
      <c r="B1" s="17" t="s">
        <v>10</v>
      </c>
      <c r="C1" s="17" t="s">
        <v>11</v>
      </c>
      <c r="D1" s="17" t="s">
        <v>12</v>
      </c>
      <c r="E1" s="17" t="s">
        <v>13</v>
      </c>
      <c r="F1" s="17" t="s">
        <v>14</v>
      </c>
      <c r="G1" s="18" t="s">
        <v>15</v>
      </c>
    </row>
    <row r="2" spans="1:7" ht="15" thickBot="1" x14ac:dyDescent="0.35">
      <c r="A2" s="2">
        <v>1</v>
      </c>
      <c r="B2" s="2">
        <v>0.28789999999999999</v>
      </c>
      <c r="C2" s="2">
        <v>0.81</v>
      </c>
      <c r="D2" s="2">
        <v>0</v>
      </c>
      <c r="E2" s="2">
        <v>3</v>
      </c>
      <c r="F2" s="2">
        <v>13</v>
      </c>
      <c r="G2" s="16">
        <v>16</v>
      </c>
    </row>
    <row r="3" spans="1:7" ht="15" thickBot="1" x14ac:dyDescent="0.35">
      <c r="A3" s="2">
        <v>2</v>
      </c>
      <c r="B3" s="2">
        <v>0.2727</v>
      </c>
      <c r="C3" s="2">
        <v>0.8</v>
      </c>
      <c r="D3" s="2">
        <v>0</v>
      </c>
      <c r="E3" s="2">
        <v>8</v>
      </c>
      <c r="F3" s="2">
        <v>32</v>
      </c>
      <c r="G3" s="16">
        <v>40</v>
      </c>
    </row>
    <row r="4" spans="1:7" ht="15" thickBot="1" x14ac:dyDescent="0.35">
      <c r="A4" s="2">
        <v>3</v>
      </c>
      <c r="B4" s="2">
        <v>0.2727</v>
      </c>
      <c r="C4" s="2">
        <v>0.8</v>
      </c>
      <c r="D4" s="2">
        <v>0</v>
      </c>
      <c r="E4" s="2">
        <v>5</v>
      </c>
      <c r="F4" s="2">
        <v>27</v>
      </c>
      <c r="G4" s="16">
        <v>32</v>
      </c>
    </row>
    <row r="5" spans="1:7" ht="15" thickBot="1" x14ac:dyDescent="0.35">
      <c r="A5" s="2">
        <v>4</v>
      </c>
      <c r="B5" s="2">
        <v>0.28789999999999999</v>
      </c>
      <c r="C5" s="2">
        <v>0.75</v>
      </c>
      <c r="D5" s="2">
        <v>0</v>
      </c>
      <c r="E5" s="2">
        <v>3</v>
      </c>
      <c r="F5" s="2">
        <v>10</v>
      </c>
      <c r="G5" s="16">
        <v>13</v>
      </c>
    </row>
    <row r="6" spans="1:7" ht="15" thickBot="1" x14ac:dyDescent="0.35">
      <c r="A6" s="2">
        <v>5</v>
      </c>
      <c r="B6" s="2">
        <v>0.28789999999999999</v>
      </c>
      <c r="C6" s="2">
        <v>0.75</v>
      </c>
      <c r="D6" s="2">
        <v>0</v>
      </c>
      <c r="E6" s="2">
        <v>0</v>
      </c>
      <c r="F6" s="2">
        <v>1</v>
      </c>
      <c r="G6" s="16">
        <v>1</v>
      </c>
    </row>
    <row r="7" spans="1:7" ht="15" thickBot="1" x14ac:dyDescent="0.35">
      <c r="A7" s="2">
        <v>6</v>
      </c>
      <c r="B7" s="2">
        <v>0.2576</v>
      </c>
      <c r="C7" s="2">
        <v>0.75</v>
      </c>
      <c r="D7" s="2">
        <v>8.9599999999999999E-2</v>
      </c>
      <c r="E7" s="2">
        <v>0</v>
      </c>
      <c r="F7" s="2">
        <v>1</v>
      </c>
      <c r="G7" s="16">
        <v>1</v>
      </c>
    </row>
    <row r="8" spans="1:7" ht="15" thickBot="1" x14ac:dyDescent="0.35">
      <c r="A8" s="2">
        <v>7</v>
      </c>
      <c r="B8" s="2">
        <v>0.2727</v>
      </c>
      <c r="C8" s="2">
        <v>0.8</v>
      </c>
      <c r="D8" s="2">
        <v>0</v>
      </c>
      <c r="E8" s="2">
        <v>2</v>
      </c>
      <c r="F8" s="2">
        <v>0</v>
      </c>
      <c r="G8" s="16">
        <v>2</v>
      </c>
    </row>
    <row r="9" spans="1:7" ht="15" thickBot="1" x14ac:dyDescent="0.35">
      <c r="A9" s="2">
        <v>8</v>
      </c>
      <c r="B9" s="2">
        <v>0.2576</v>
      </c>
      <c r="C9" s="2">
        <v>0.86</v>
      </c>
      <c r="D9" s="2">
        <v>0</v>
      </c>
      <c r="E9" s="2">
        <v>1</v>
      </c>
      <c r="F9" s="2">
        <v>2</v>
      </c>
      <c r="G9" s="16">
        <v>3</v>
      </c>
    </row>
    <row r="10" spans="1:7" ht="15" thickBot="1" x14ac:dyDescent="0.35">
      <c r="A10" s="2">
        <v>9</v>
      </c>
      <c r="B10" s="1"/>
      <c r="C10" s="2">
        <v>0.75</v>
      </c>
      <c r="D10" s="2">
        <v>0</v>
      </c>
      <c r="E10" s="2">
        <v>1</v>
      </c>
      <c r="F10" s="2">
        <v>7</v>
      </c>
      <c r="G10" s="16">
        <v>8</v>
      </c>
    </row>
    <row r="11" spans="1:7" ht="15" thickBot="1" x14ac:dyDescent="0.35">
      <c r="A11" s="2">
        <v>10</v>
      </c>
      <c r="B11" s="2">
        <v>0.34849999999999998</v>
      </c>
      <c r="C11" s="2">
        <v>0.76</v>
      </c>
      <c r="D11" s="2">
        <v>0</v>
      </c>
      <c r="E11" s="2">
        <v>8</v>
      </c>
      <c r="F11" s="2">
        <v>6</v>
      </c>
      <c r="G11" s="16">
        <v>14</v>
      </c>
    </row>
    <row r="12" spans="1:7" ht="15" thickBot="1" x14ac:dyDescent="0.35">
      <c r="A12" s="2">
        <v>11</v>
      </c>
      <c r="B12" s="2">
        <v>0.39389999999999997</v>
      </c>
      <c r="C12" s="2">
        <v>0.76</v>
      </c>
      <c r="D12" s="2">
        <v>0.25369999999999998</v>
      </c>
      <c r="E12" s="2">
        <v>12</v>
      </c>
      <c r="F12" s="2">
        <v>24</v>
      </c>
      <c r="G12" s="16">
        <v>36</v>
      </c>
    </row>
    <row r="13" spans="1:7" ht="15" thickBot="1" x14ac:dyDescent="0.35">
      <c r="A13" s="2">
        <v>12</v>
      </c>
      <c r="B13" s="2">
        <v>0.33329999999999999</v>
      </c>
      <c r="C13" s="2">
        <v>0.81</v>
      </c>
      <c r="D13" s="2">
        <v>0.28360000000000002</v>
      </c>
      <c r="E13" s="2">
        <v>26</v>
      </c>
      <c r="F13" s="2">
        <v>30</v>
      </c>
      <c r="G13" s="16">
        <v>56</v>
      </c>
    </row>
    <row r="14" spans="1:7" ht="15" thickBot="1" x14ac:dyDescent="0.35">
      <c r="A14" s="2">
        <v>13</v>
      </c>
      <c r="B14" s="2">
        <v>0.42420000000000002</v>
      </c>
      <c r="C14" s="2">
        <v>0.77</v>
      </c>
      <c r="D14" s="2">
        <v>0.28360000000000002</v>
      </c>
      <c r="E14" s="2">
        <v>29</v>
      </c>
      <c r="F14" s="2">
        <v>55</v>
      </c>
      <c r="G14" s="16">
        <v>84</v>
      </c>
    </row>
    <row r="15" spans="1:7" ht="15" thickBot="1" x14ac:dyDescent="0.35">
      <c r="A15" s="2">
        <v>14</v>
      </c>
      <c r="B15" s="2">
        <v>0.45450000000000002</v>
      </c>
      <c r="C15" s="2">
        <v>0.72</v>
      </c>
      <c r="D15" s="2">
        <v>0.29849999999999999</v>
      </c>
      <c r="E15" s="2">
        <v>47</v>
      </c>
      <c r="F15" s="2">
        <v>47</v>
      </c>
      <c r="G15" s="16">
        <v>94</v>
      </c>
    </row>
    <row r="16" spans="1:7" ht="15" thickBot="1" x14ac:dyDescent="0.35">
      <c r="A16" s="2">
        <v>15</v>
      </c>
      <c r="B16" s="2">
        <v>0.45450000000000002</v>
      </c>
      <c r="C16" s="2">
        <v>0.72</v>
      </c>
      <c r="D16" s="2">
        <v>0.28360000000000002</v>
      </c>
      <c r="E16" s="2">
        <v>35</v>
      </c>
      <c r="F16" s="2">
        <v>71</v>
      </c>
      <c r="G16" s="16">
        <v>106</v>
      </c>
    </row>
    <row r="17" spans="1:7" ht="15" thickBot="1" x14ac:dyDescent="0.35">
      <c r="A17" s="2">
        <v>16</v>
      </c>
      <c r="B17" s="2">
        <v>0.43940000000000001</v>
      </c>
      <c r="C17" s="2">
        <v>0.77</v>
      </c>
      <c r="D17" s="2">
        <v>0.29849999999999999</v>
      </c>
      <c r="E17" s="2">
        <v>40</v>
      </c>
      <c r="F17" s="2">
        <v>70</v>
      </c>
      <c r="G17" s="16">
        <v>110</v>
      </c>
    </row>
    <row r="18" spans="1:7" ht="15" thickBot="1" x14ac:dyDescent="0.35">
      <c r="A18" s="2">
        <v>17</v>
      </c>
      <c r="B18" s="2">
        <v>0.42420000000000002</v>
      </c>
      <c r="C18" s="2">
        <v>0.82</v>
      </c>
      <c r="D18" s="2">
        <v>0.29849999999999999</v>
      </c>
      <c r="E18" s="2">
        <v>41</v>
      </c>
      <c r="F18" s="2">
        <v>52</v>
      </c>
      <c r="G18" s="16">
        <v>93</v>
      </c>
    </row>
    <row r="19" spans="1:7" ht="15" thickBot="1" x14ac:dyDescent="0.35">
      <c r="A19" s="2">
        <v>18</v>
      </c>
      <c r="B19" s="1"/>
      <c r="C19" s="2">
        <v>0.82</v>
      </c>
      <c r="D19" s="2">
        <v>0.28360000000000002</v>
      </c>
      <c r="E19" s="2">
        <v>15</v>
      </c>
      <c r="F19" s="2">
        <v>52</v>
      </c>
      <c r="G19" s="16">
        <v>67</v>
      </c>
    </row>
    <row r="20" spans="1:7" ht="15" thickBot="1" x14ac:dyDescent="0.35">
      <c r="A20" s="2">
        <v>19</v>
      </c>
      <c r="B20" s="2">
        <v>0.42420000000000002</v>
      </c>
      <c r="C20" s="2">
        <v>0.88</v>
      </c>
      <c r="D20" s="2">
        <v>0.25369999999999998</v>
      </c>
      <c r="E20" s="2">
        <v>9</v>
      </c>
      <c r="F20" s="2">
        <v>26</v>
      </c>
      <c r="G20" s="16">
        <v>35</v>
      </c>
    </row>
    <row r="21" spans="1:7" ht="15" thickBot="1" x14ac:dyDescent="0.35">
      <c r="A21" s="2">
        <v>20</v>
      </c>
      <c r="B21" s="2">
        <v>0.42420000000000002</v>
      </c>
      <c r="C21" s="2">
        <v>0.88</v>
      </c>
      <c r="D21" s="2">
        <v>0.25369999999999998</v>
      </c>
      <c r="E21" s="2">
        <v>6</v>
      </c>
      <c r="F21" s="2">
        <v>31</v>
      </c>
      <c r="G21" s="16">
        <v>37</v>
      </c>
    </row>
    <row r="22" spans="1:7" ht="15" thickBot="1" x14ac:dyDescent="0.35">
      <c r="A22" s="2">
        <v>21</v>
      </c>
      <c r="B22" s="2">
        <v>0.40910000000000002</v>
      </c>
      <c r="C22" s="2">
        <v>0.87</v>
      </c>
      <c r="D22" s="2">
        <v>0.25369999999999998</v>
      </c>
      <c r="E22" s="2">
        <v>11</v>
      </c>
      <c r="F22" s="2">
        <v>25</v>
      </c>
      <c r="G22" s="16">
        <v>36</v>
      </c>
    </row>
    <row r="23" spans="1:7" ht="15" thickBot="1" x14ac:dyDescent="0.35">
      <c r="A23" s="2">
        <v>22</v>
      </c>
      <c r="B23" s="2">
        <v>0.40910000000000002</v>
      </c>
      <c r="C23" s="2">
        <v>0.87</v>
      </c>
      <c r="D23" s="2">
        <v>0.19400000000000001</v>
      </c>
      <c r="E23" s="2">
        <v>3</v>
      </c>
      <c r="F23" s="2">
        <v>31</v>
      </c>
      <c r="G23" s="16">
        <v>34</v>
      </c>
    </row>
    <row r="24" spans="1:7" ht="15" thickBot="1" x14ac:dyDescent="0.35">
      <c r="A24" s="2">
        <v>23</v>
      </c>
      <c r="B24" s="2">
        <v>0.40910000000000002</v>
      </c>
      <c r="C24" s="2">
        <v>0.94</v>
      </c>
      <c r="D24" s="2">
        <v>0.22389999999999999</v>
      </c>
      <c r="E24" s="2">
        <v>11</v>
      </c>
      <c r="F24" s="2">
        <v>17</v>
      </c>
      <c r="G24" s="16">
        <v>28</v>
      </c>
    </row>
    <row r="25" spans="1:7" ht="15" thickBot="1" x14ac:dyDescent="0.35">
      <c r="A25" s="2">
        <v>24</v>
      </c>
      <c r="B25" s="1"/>
      <c r="C25" s="2">
        <v>0.88</v>
      </c>
      <c r="D25" s="2">
        <v>0.29849999999999999</v>
      </c>
      <c r="E25" s="2">
        <v>15</v>
      </c>
      <c r="F25" s="2">
        <v>24</v>
      </c>
      <c r="G25" s="16">
        <v>39</v>
      </c>
    </row>
    <row r="26" spans="1:7" ht="15" thickBot="1" x14ac:dyDescent="0.35">
      <c r="A26" s="2">
        <v>25</v>
      </c>
      <c r="B26" s="2">
        <v>0.45450000000000002</v>
      </c>
      <c r="C26" s="2">
        <v>0.88</v>
      </c>
      <c r="D26" s="2">
        <v>0.29849999999999999</v>
      </c>
      <c r="E26" s="2">
        <v>4</v>
      </c>
      <c r="F26" s="2">
        <v>13</v>
      </c>
      <c r="G26" s="16">
        <v>17</v>
      </c>
    </row>
    <row r="27" spans="1:7" ht="15" thickBot="1" x14ac:dyDescent="0.35">
      <c r="A27" s="2">
        <v>26</v>
      </c>
      <c r="B27" s="2">
        <v>0.43940000000000001</v>
      </c>
      <c r="C27" s="2">
        <v>0.94</v>
      </c>
      <c r="D27" s="2">
        <v>0.25369999999999998</v>
      </c>
      <c r="E27" s="2">
        <v>1</v>
      </c>
      <c r="F27" s="2">
        <v>16</v>
      </c>
      <c r="G27" s="16">
        <v>17</v>
      </c>
    </row>
    <row r="28" spans="1:7" ht="15" thickBot="1" x14ac:dyDescent="0.35">
      <c r="A28" s="2">
        <v>27</v>
      </c>
      <c r="B28" s="2">
        <v>0.42420000000000002</v>
      </c>
      <c r="C28" s="2">
        <v>1</v>
      </c>
      <c r="D28" s="2">
        <v>0.28360000000000002</v>
      </c>
      <c r="E28" s="2">
        <v>1</v>
      </c>
      <c r="F28" s="2">
        <v>8</v>
      </c>
      <c r="G28" s="16">
        <v>9</v>
      </c>
    </row>
    <row r="29" spans="1:7" ht="15" thickBot="1" x14ac:dyDescent="0.35">
      <c r="A29" s="2">
        <v>28</v>
      </c>
      <c r="B29" s="2">
        <v>0.45450000000000002</v>
      </c>
      <c r="C29" s="2">
        <v>0.94</v>
      </c>
      <c r="D29" s="2">
        <v>0.19400000000000001</v>
      </c>
      <c r="E29" s="2">
        <v>2</v>
      </c>
      <c r="F29" s="2">
        <v>4</v>
      </c>
      <c r="G29" s="16">
        <v>6</v>
      </c>
    </row>
    <row r="30" spans="1:7" ht="15" thickBot="1" x14ac:dyDescent="0.35">
      <c r="A30" s="2">
        <v>29</v>
      </c>
      <c r="B30" s="1"/>
      <c r="C30" s="2">
        <v>0.94</v>
      </c>
      <c r="D30" s="2">
        <v>0.19400000000000001</v>
      </c>
      <c r="E30" s="2">
        <v>2</v>
      </c>
      <c r="F30" s="2">
        <v>1</v>
      </c>
      <c r="G30" s="16">
        <v>3</v>
      </c>
    </row>
    <row r="31" spans="1:7" ht="15" thickBot="1" x14ac:dyDescent="0.35">
      <c r="A31" s="2">
        <v>30</v>
      </c>
      <c r="B31" s="2">
        <v>0.42420000000000002</v>
      </c>
      <c r="C31" s="2">
        <v>0.77</v>
      </c>
      <c r="D31" s="2">
        <v>0.29849999999999999</v>
      </c>
      <c r="E31" s="2">
        <v>0</v>
      </c>
      <c r="F31" s="2">
        <v>2</v>
      </c>
      <c r="G31" s="16">
        <v>2</v>
      </c>
    </row>
    <row r="32" spans="1:7" ht="15" thickBot="1" x14ac:dyDescent="0.35">
      <c r="A32" s="2">
        <v>31</v>
      </c>
      <c r="B32" s="2">
        <v>0.40910000000000002</v>
      </c>
      <c r="C32" s="2">
        <v>0.76</v>
      </c>
      <c r="D32" s="2">
        <v>0.19400000000000001</v>
      </c>
      <c r="E32" s="2">
        <v>0</v>
      </c>
      <c r="F32" s="2">
        <v>1</v>
      </c>
      <c r="G32" s="16">
        <v>1</v>
      </c>
    </row>
    <row r="33" spans="1:7" ht="15" thickBot="1" x14ac:dyDescent="0.35">
      <c r="A33" s="2">
        <v>32</v>
      </c>
      <c r="B33" s="2">
        <v>0.40910000000000002</v>
      </c>
      <c r="C33" s="2">
        <v>0.71</v>
      </c>
      <c r="D33" s="2">
        <v>0.22389999999999999</v>
      </c>
      <c r="E33" s="2">
        <v>0</v>
      </c>
      <c r="F33" s="2">
        <v>8</v>
      </c>
      <c r="G33" s="16">
        <v>8</v>
      </c>
    </row>
    <row r="34" spans="1:7" ht="15" thickBot="1" x14ac:dyDescent="0.35">
      <c r="A34" s="2">
        <v>33</v>
      </c>
      <c r="B34" s="1"/>
      <c r="C34" s="2">
        <v>0.76</v>
      </c>
      <c r="D34" s="2">
        <v>0.22389999999999999</v>
      </c>
      <c r="E34" s="2">
        <v>1</v>
      </c>
      <c r="F34" s="2">
        <v>19</v>
      </c>
      <c r="G34" s="16">
        <v>20</v>
      </c>
    </row>
    <row r="35" spans="1:7" ht="15" thickBot="1" x14ac:dyDescent="0.35">
      <c r="A35" s="2">
        <v>34</v>
      </c>
      <c r="B35" s="2">
        <v>0.34849999999999998</v>
      </c>
      <c r="C35" s="2">
        <v>0.81</v>
      </c>
      <c r="D35" s="2">
        <v>0.22389999999999999</v>
      </c>
      <c r="E35" s="2">
        <v>7</v>
      </c>
      <c r="F35" s="2">
        <v>46</v>
      </c>
      <c r="G35" s="16">
        <v>53</v>
      </c>
    </row>
    <row r="36" spans="1:7" ht="15" thickBot="1" x14ac:dyDescent="0.35">
      <c r="A36" s="2">
        <v>35</v>
      </c>
      <c r="B36" s="2">
        <v>0.33329999999999999</v>
      </c>
      <c r="C36" s="2">
        <v>0.71</v>
      </c>
      <c r="D36" s="2">
        <v>0.25369999999999998</v>
      </c>
      <c r="E36" s="2">
        <v>16</v>
      </c>
      <c r="F36" s="2">
        <v>54</v>
      </c>
      <c r="G36" s="16">
        <v>70</v>
      </c>
    </row>
    <row r="37" spans="1:7" ht="15" thickBot="1" x14ac:dyDescent="0.35">
      <c r="A37" s="2">
        <v>36</v>
      </c>
      <c r="B37" s="2">
        <v>0.33329999999999999</v>
      </c>
      <c r="C37" s="2">
        <v>0.66</v>
      </c>
      <c r="D37" s="2">
        <v>0.29849999999999999</v>
      </c>
      <c r="E37" s="2">
        <v>20</v>
      </c>
      <c r="F37" s="2">
        <v>73</v>
      </c>
      <c r="G37" s="16">
        <v>93</v>
      </c>
    </row>
    <row r="38" spans="1:7" ht="15" thickBot="1" x14ac:dyDescent="0.35">
      <c r="A38" s="2">
        <v>37</v>
      </c>
      <c r="B38" s="2">
        <v>0.34849999999999998</v>
      </c>
      <c r="C38" s="2">
        <v>0.66</v>
      </c>
      <c r="D38" s="2">
        <v>0.1343</v>
      </c>
      <c r="E38" s="2">
        <v>11</v>
      </c>
      <c r="F38" s="2">
        <v>64</v>
      </c>
      <c r="G38" s="16">
        <v>75</v>
      </c>
    </row>
    <row r="39" spans="1:7" ht="15" thickBot="1" x14ac:dyDescent="0.35">
      <c r="A39" s="2">
        <v>38</v>
      </c>
      <c r="B39" s="1"/>
      <c r="C39" s="2">
        <v>0.76</v>
      </c>
      <c r="D39" s="2">
        <v>0.19400000000000001</v>
      </c>
      <c r="E39" s="2">
        <v>4</v>
      </c>
      <c r="F39" s="2">
        <v>55</v>
      </c>
      <c r="G39" s="16">
        <v>59</v>
      </c>
    </row>
    <row r="40" spans="1:7" ht="15" thickBot="1" x14ac:dyDescent="0.35">
      <c r="A40" s="2">
        <v>39</v>
      </c>
      <c r="B40" s="2">
        <v>0.33329999999999999</v>
      </c>
      <c r="C40" s="2">
        <v>0.81</v>
      </c>
      <c r="D40" s="2">
        <v>0.16420000000000001</v>
      </c>
      <c r="E40" s="2">
        <v>19</v>
      </c>
      <c r="F40" s="2">
        <v>55</v>
      </c>
      <c r="G40" s="16">
        <v>74</v>
      </c>
    </row>
    <row r="41" spans="1:7" ht="15" thickBot="1" x14ac:dyDescent="0.35">
      <c r="A41" s="2">
        <v>40</v>
      </c>
      <c r="B41" s="2">
        <v>0.33329999999999999</v>
      </c>
      <c r="C41" s="2">
        <v>0.71</v>
      </c>
      <c r="D41" s="2">
        <v>0.16420000000000001</v>
      </c>
      <c r="E41" s="2">
        <v>9</v>
      </c>
      <c r="F41" s="2">
        <v>67</v>
      </c>
      <c r="G41" s="16">
        <v>76</v>
      </c>
    </row>
    <row r="42" spans="1:7" ht="15" thickBot="1" x14ac:dyDescent="0.35">
      <c r="A42" s="2">
        <v>41</v>
      </c>
      <c r="B42" s="2">
        <v>0.33329999999999999</v>
      </c>
      <c r="C42" s="2">
        <v>0.56999999999999995</v>
      </c>
      <c r="D42" s="2">
        <v>0.19400000000000001</v>
      </c>
      <c r="E42" s="2">
        <v>7</v>
      </c>
      <c r="F42" s="2">
        <v>58</v>
      </c>
      <c r="G42" s="16">
        <v>65</v>
      </c>
    </row>
    <row r="43" spans="1:7" ht="15" thickBot="1" x14ac:dyDescent="0.35">
      <c r="A43" s="2">
        <v>42</v>
      </c>
      <c r="B43" s="2">
        <v>0.33329999999999999</v>
      </c>
      <c r="C43" s="2">
        <v>0.46</v>
      </c>
      <c r="D43" s="2">
        <v>0.32840000000000003</v>
      </c>
      <c r="E43" s="2">
        <v>10</v>
      </c>
      <c r="F43" s="2">
        <v>43</v>
      </c>
      <c r="G43" s="16">
        <v>53</v>
      </c>
    </row>
    <row r="44" spans="1:7" ht="15" thickBot="1" x14ac:dyDescent="0.35">
      <c r="A44" s="2">
        <v>43</v>
      </c>
      <c r="B44" s="2">
        <v>0.28789999999999999</v>
      </c>
      <c r="C44" s="2">
        <v>0.42</v>
      </c>
      <c r="D44" s="2">
        <v>0.44779999999999998</v>
      </c>
      <c r="E44" s="2">
        <v>1</v>
      </c>
      <c r="F44" s="2">
        <v>29</v>
      </c>
      <c r="G44" s="16">
        <v>30</v>
      </c>
    </row>
    <row r="45" spans="1:7" ht="15" thickBot="1" x14ac:dyDescent="0.35">
      <c r="A45" s="2">
        <v>44</v>
      </c>
      <c r="B45" s="1"/>
      <c r="C45" s="2">
        <v>0.39</v>
      </c>
      <c r="D45" s="2">
        <v>0.35820000000000002</v>
      </c>
      <c r="E45" s="2">
        <v>5</v>
      </c>
      <c r="F45" s="2">
        <v>17</v>
      </c>
      <c r="G45" s="16">
        <v>22</v>
      </c>
    </row>
    <row r="46" spans="1:7" ht="15" thickBot="1" x14ac:dyDescent="0.35">
      <c r="A46" s="2">
        <v>45</v>
      </c>
      <c r="B46" s="2">
        <v>0.2273</v>
      </c>
      <c r="C46" s="2">
        <v>0.44</v>
      </c>
      <c r="D46" s="2">
        <v>0.32840000000000003</v>
      </c>
      <c r="E46" s="2">
        <v>11</v>
      </c>
      <c r="F46" s="2">
        <v>20</v>
      </c>
      <c r="G46" s="16">
        <v>31</v>
      </c>
    </row>
    <row r="47" spans="1:7" ht="15" thickBot="1" x14ac:dyDescent="0.35">
      <c r="A47" s="2">
        <v>46</v>
      </c>
      <c r="B47" s="2">
        <v>0.21210000000000001</v>
      </c>
      <c r="C47" s="2">
        <v>0.44</v>
      </c>
      <c r="D47" s="2">
        <v>0.29849999999999999</v>
      </c>
      <c r="E47" s="2">
        <v>0</v>
      </c>
      <c r="F47" s="2">
        <v>9</v>
      </c>
      <c r="G47" s="16">
        <v>9</v>
      </c>
    </row>
    <row r="48" spans="1:7" ht="15" thickBot="1" x14ac:dyDescent="0.35">
      <c r="A48" s="2">
        <v>47</v>
      </c>
      <c r="B48" s="2">
        <v>0.2273</v>
      </c>
      <c r="C48" s="2">
        <v>0.47</v>
      </c>
      <c r="D48" s="2">
        <v>0.16420000000000001</v>
      </c>
      <c r="E48" s="2">
        <v>0</v>
      </c>
      <c r="F48" s="2">
        <v>8</v>
      </c>
      <c r="G48" s="16">
        <v>8</v>
      </c>
    </row>
    <row r="49" spans="1:7" ht="15" thickBot="1" x14ac:dyDescent="0.35">
      <c r="A49" s="2">
        <v>48</v>
      </c>
      <c r="B49" s="2">
        <v>0.19700000000000001</v>
      </c>
      <c r="C49" s="2">
        <v>0.44</v>
      </c>
      <c r="D49" s="2">
        <v>0.35820000000000002</v>
      </c>
      <c r="E49" s="2">
        <v>0</v>
      </c>
      <c r="F49" s="2">
        <v>5</v>
      </c>
      <c r="G49" s="16">
        <v>5</v>
      </c>
    </row>
    <row r="50" spans="1:7" ht="15" thickBot="1" x14ac:dyDescent="0.35">
      <c r="A50" s="2">
        <v>49</v>
      </c>
      <c r="B50" s="1"/>
      <c r="C50" s="2">
        <v>0.44</v>
      </c>
      <c r="D50" s="2">
        <v>0.41789999999999999</v>
      </c>
      <c r="E50" s="2">
        <v>0</v>
      </c>
      <c r="F50" s="2">
        <v>2</v>
      </c>
      <c r="G50" s="16">
        <v>2</v>
      </c>
    </row>
    <row r="51" spans="1:7" ht="15" thickBot="1" x14ac:dyDescent="0.35">
      <c r="A51" s="2">
        <v>50</v>
      </c>
      <c r="B51" s="2">
        <v>0.13639999999999999</v>
      </c>
      <c r="C51" s="2">
        <v>0.47</v>
      </c>
      <c r="D51" s="2">
        <v>0.3881</v>
      </c>
      <c r="E51" s="2">
        <v>0</v>
      </c>
      <c r="F51" s="2">
        <v>1</v>
      </c>
      <c r="G51" s="16">
        <v>1</v>
      </c>
    </row>
    <row r="52" spans="1:7" ht="15" thickBot="1" x14ac:dyDescent="0.35">
      <c r="A52" s="2">
        <v>51</v>
      </c>
      <c r="B52" s="2">
        <v>0.13639999999999999</v>
      </c>
      <c r="C52" s="2">
        <v>0.47</v>
      </c>
      <c r="D52" s="2">
        <v>0.28360000000000002</v>
      </c>
      <c r="E52" s="2">
        <v>0</v>
      </c>
      <c r="F52" s="2">
        <v>3</v>
      </c>
      <c r="G52" s="16">
        <v>3</v>
      </c>
    </row>
    <row r="53" spans="1:7" ht="15" thickBot="1" x14ac:dyDescent="0.35">
      <c r="A53" s="2">
        <v>52</v>
      </c>
      <c r="B53" s="2">
        <v>0.1061</v>
      </c>
      <c r="C53" s="2">
        <v>0.5</v>
      </c>
      <c r="D53" s="2">
        <v>0.3881</v>
      </c>
      <c r="E53" s="2">
        <v>0</v>
      </c>
      <c r="F53" s="2">
        <v>30</v>
      </c>
      <c r="G53" s="16">
        <v>30</v>
      </c>
    </row>
    <row r="54" spans="1:7" ht="15" thickBot="1" x14ac:dyDescent="0.35">
      <c r="A54" s="2">
        <v>53</v>
      </c>
      <c r="B54" s="2">
        <v>0.13639999999999999</v>
      </c>
      <c r="C54" s="2">
        <v>0.5</v>
      </c>
      <c r="D54" s="2">
        <v>0.19400000000000001</v>
      </c>
      <c r="E54" s="2">
        <v>1</v>
      </c>
      <c r="F54" s="2">
        <v>63</v>
      </c>
      <c r="G54" s="16">
        <v>64</v>
      </c>
    </row>
    <row r="55" spans="1:7" ht="15" thickBot="1" x14ac:dyDescent="0.35">
      <c r="A55" s="2">
        <v>54</v>
      </c>
      <c r="B55" s="2">
        <v>0.1212</v>
      </c>
      <c r="C55" s="2">
        <v>0.5</v>
      </c>
      <c r="D55" s="2">
        <v>0.28360000000000002</v>
      </c>
      <c r="E55" s="2">
        <v>1</v>
      </c>
      <c r="F55" s="2">
        <v>153</v>
      </c>
      <c r="G55" s="16">
        <v>154</v>
      </c>
    </row>
    <row r="56" spans="1:7" ht="15" thickBot="1" x14ac:dyDescent="0.35">
      <c r="A56" s="2">
        <v>55</v>
      </c>
      <c r="B56" s="2">
        <v>0.13639999999999999</v>
      </c>
      <c r="C56" s="2">
        <v>0.43</v>
      </c>
      <c r="D56" s="2">
        <v>0.3881</v>
      </c>
      <c r="E56" s="2">
        <v>7</v>
      </c>
      <c r="F56" s="2">
        <v>81</v>
      </c>
      <c r="G56" s="16">
        <v>88</v>
      </c>
    </row>
    <row r="57" spans="1:7" ht="15" thickBot="1" x14ac:dyDescent="0.35">
      <c r="A57" s="2">
        <v>56</v>
      </c>
      <c r="B57" s="2">
        <v>0.16669999999999999</v>
      </c>
      <c r="C57" s="2">
        <v>0.43</v>
      </c>
      <c r="D57" s="2">
        <v>0.25369999999999998</v>
      </c>
      <c r="E57" s="2">
        <v>11</v>
      </c>
      <c r="F57" s="2">
        <v>33</v>
      </c>
      <c r="G57" s="16">
        <v>44</v>
      </c>
    </row>
    <row r="58" spans="1:7" ht="15" thickBot="1" x14ac:dyDescent="0.35">
      <c r="A58" s="2">
        <v>57</v>
      </c>
      <c r="B58" s="2">
        <v>0.18179999999999999</v>
      </c>
      <c r="C58" s="2">
        <v>0.4</v>
      </c>
      <c r="D58" s="2">
        <v>0.32840000000000003</v>
      </c>
      <c r="E58" s="2">
        <v>10</v>
      </c>
      <c r="F58" s="2">
        <v>41</v>
      </c>
      <c r="G58" s="16">
        <v>51</v>
      </c>
    </row>
    <row r="59" spans="1:7" ht="15" thickBot="1" x14ac:dyDescent="0.35">
      <c r="A59" s="2">
        <v>58</v>
      </c>
      <c r="B59" s="2">
        <v>0.21210000000000001</v>
      </c>
      <c r="C59" s="2">
        <v>0.35</v>
      </c>
      <c r="D59" s="2">
        <v>0.29849999999999999</v>
      </c>
      <c r="E59" s="2">
        <v>13</v>
      </c>
      <c r="F59" s="2">
        <v>48</v>
      </c>
      <c r="G59" s="16">
        <v>61</v>
      </c>
    </row>
    <row r="60" spans="1:7" ht="15" thickBot="1" x14ac:dyDescent="0.35">
      <c r="A60" s="2">
        <v>59</v>
      </c>
      <c r="B60" s="1"/>
      <c r="C60" s="2">
        <v>0.35</v>
      </c>
      <c r="D60" s="2">
        <v>0.28360000000000002</v>
      </c>
      <c r="E60" s="2">
        <v>8</v>
      </c>
      <c r="F60" s="2">
        <v>53</v>
      </c>
      <c r="G60" s="16">
        <v>61</v>
      </c>
    </row>
    <row r="61" spans="1:7" ht="15" thickBot="1" x14ac:dyDescent="0.35">
      <c r="A61" s="2">
        <v>60</v>
      </c>
      <c r="B61" s="2">
        <v>0.2424</v>
      </c>
      <c r="C61" s="2">
        <v>0.3</v>
      </c>
      <c r="D61" s="2">
        <v>0.28360000000000002</v>
      </c>
      <c r="E61" s="2">
        <v>11</v>
      </c>
      <c r="F61" s="2">
        <v>66</v>
      </c>
      <c r="G61" s="16">
        <v>77</v>
      </c>
    </row>
    <row r="62" spans="1:7" ht="15" thickBot="1" x14ac:dyDescent="0.35">
      <c r="A62" s="2">
        <v>61</v>
      </c>
      <c r="B62" s="2">
        <v>0.2424</v>
      </c>
      <c r="C62" s="2">
        <v>0.3</v>
      </c>
      <c r="D62" s="2">
        <v>0.25369999999999998</v>
      </c>
      <c r="E62" s="2">
        <v>14</v>
      </c>
      <c r="F62" s="2">
        <v>58</v>
      </c>
      <c r="G62" s="16">
        <v>72</v>
      </c>
    </row>
    <row r="63" spans="1:7" ht="15" thickBot="1" x14ac:dyDescent="0.35">
      <c r="A63" s="2">
        <v>62</v>
      </c>
      <c r="B63" s="2">
        <v>0.2424</v>
      </c>
      <c r="C63" s="2">
        <v>0.3</v>
      </c>
      <c r="D63" s="2">
        <v>0.25369999999999998</v>
      </c>
      <c r="E63" s="2">
        <v>9</v>
      </c>
      <c r="F63" s="2">
        <v>67</v>
      </c>
      <c r="G63" s="16">
        <v>76</v>
      </c>
    </row>
    <row r="64" spans="1:7" ht="15" thickBot="1" x14ac:dyDescent="0.35">
      <c r="A64" s="2">
        <v>63</v>
      </c>
      <c r="B64" s="2">
        <v>0.2273</v>
      </c>
      <c r="C64" s="2">
        <v>0.3</v>
      </c>
      <c r="D64" s="2">
        <v>0.22389999999999999</v>
      </c>
      <c r="E64" s="2">
        <v>11</v>
      </c>
      <c r="F64" s="2">
        <v>146</v>
      </c>
      <c r="G64" s="16">
        <v>157</v>
      </c>
    </row>
    <row r="65" spans="1:7" ht="15" thickBot="1" x14ac:dyDescent="0.35">
      <c r="A65" s="2">
        <v>64</v>
      </c>
      <c r="B65" s="2">
        <v>0.2576</v>
      </c>
      <c r="C65" s="2">
        <v>0.32</v>
      </c>
      <c r="D65" s="2">
        <v>0.1045</v>
      </c>
      <c r="E65" s="2">
        <v>9</v>
      </c>
      <c r="F65" s="2">
        <v>148</v>
      </c>
      <c r="G65" s="16">
        <v>157</v>
      </c>
    </row>
    <row r="66" spans="1:7" ht="15" thickBot="1" x14ac:dyDescent="0.35">
      <c r="A66" s="2">
        <v>65</v>
      </c>
      <c r="B66" s="2">
        <v>0.2576</v>
      </c>
      <c r="C66" s="2">
        <v>0.47</v>
      </c>
      <c r="D66" s="2">
        <v>0</v>
      </c>
      <c r="E66" s="2">
        <v>8</v>
      </c>
      <c r="F66" s="2">
        <v>102</v>
      </c>
      <c r="G66" s="16">
        <v>110</v>
      </c>
    </row>
    <row r="67" spans="1:7" ht="15" thickBot="1" x14ac:dyDescent="0.35">
      <c r="A67" s="2">
        <v>66</v>
      </c>
      <c r="B67" s="1"/>
      <c r="C67" s="2">
        <v>0.47</v>
      </c>
      <c r="D67" s="2">
        <v>0.1045</v>
      </c>
      <c r="E67" s="2">
        <v>3</v>
      </c>
      <c r="F67" s="2">
        <v>49</v>
      </c>
      <c r="G67" s="16">
        <v>52</v>
      </c>
    </row>
    <row r="68" spans="1:7" ht="15" thickBot="1" x14ac:dyDescent="0.35">
      <c r="A68" s="2">
        <v>67</v>
      </c>
      <c r="B68" s="2">
        <v>0.19700000000000001</v>
      </c>
      <c r="C68" s="2">
        <v>0.64</v>
      </c>
      <c r="D68" s="2">
        <v>0.1343</v>
      </c>
      <c r="E68" s="2">
        <v>3</v>
      </c>
      <c r="F68" s="2">
        <v>49</v>
      </c>
      <c r="G68" s="16">
        <v>52</v>
      </c>
    </row>
    <row r="69" spans="1:7" ht="15" thickBot="1" x14ac:dyDescent="0.35">
      <c r="A69" s="2">
        <v>68</v>
      </c>
      <c r="B69" s="2">
        <v>0.1515</v>
      </c>
      <c r="C69" s="2">
        <v>0.69</v>
      </c>
      <c r="D69" s="2">
        <v>0.1343</v>
      </c>
      <c r="E69" s="2">
        <v>0</v>
      </c>
      <c r="F69" s="2">
        <v>20</v>
      </c>
      <c r="G69" s="16">
        <v>20</v>
      </c>
    </row>
    <row r="70" spans="1:7" ht="15" thickBot="1" x14ac:dyDescent="0.35">
      <c r="A70" s="2">
        <v>69</v>
      </c>
      <c r="B70" s="2">
        <v>0.21210000000000001</v>
      </c>
      <c r="C70" s="2">
        <v>0.55000000000000004</v>
      </c>
      <c r="D70" s="2">
        <v>0.1045</v>
      </c>
      <c r="E70" s="2">
        <v>1</v>
      </c>
      <c r="F70" s="2">
        <v>11</v>
      </c>
      <c r="G70" s="16">
        <v>12</v>
      </c>
    </row>
    <row r="71" spans="1:7" ht="15" thickBot="1" x14ac:dyDescent="0.35">
      <c r="A71" s="2">
        <v>70</v>
      </c>
      <c r="B71" s="1"/>
      <c r="C71" s="2">
        <v>0.55000000000000004</v>
      </c>
      <c r="D71" s="2">
        <v>0.1045</v>
      </c>
      <c r="E71" s="2">
        <v>0</v>
      </c>
      <c r="F71" s="2">
        <v>5</v>
      </c>
      <c r="G71" s="16">
        <v>5</v>
      </c>
    </row>
    <row r="72" spans="1:7" ht="15" thickBot="1" x14ac:dyDescent="0.35">
      <c r="A72" s="2">
        <v>71</v>
      </c>
      <c r="B72" s="2">
        <v>0.18179999999999999</v>
      </c>
      <c r="C72" s="2">
        <v>0.59</v>
      </c>
      <c r="D72" s="2">
        <v>0.1045</v>
      </c>
      <c r="E72" s="2">
        <v>0</v>
      </c>
      <c r="F72" s="2">
        <v>2</v>
      </c>
      <c r="G72" s="16">
        <v>2</v>
      </c>
    </row>
    <row r="73" spans="1:7" ht="15" thickBot="1" x14ac:dyDescent="0.35">
      <c r="A73" s="2">
        <v>72</v>
      </c>
      <c r="B73" s="2">
        <v>0.1515</v>
      </c>
      <c r="C73" s="2">
        <v>0.63</v>
      </c>
      <c r="D73" s="2">
        <v>0.1343</v>
      </c>
      <c r="E73" s="2">
        <v>0</v>
      </c>
      <c r="F73" s="2">
        <v>1</v>
      </c>
      <c r="G73" s="16">
        <v>1</v>
      </c>
    </row>
    <row r="74" spans="1:7" ht="15" thickBot="1" x14ac:dyDescent="0.35">
      <c r="A74" s="2">
        <v>73</v>
      </c>
      <c r="B74" s="2">
        <v>0.18179999999999999</v>
      </c>
      <c r="C74" s="2">
        <v>0.63</v>
      </c>
      <c r="D74" s="2">
        <v>8.9599999999999999E-2</v>
      </c>
      <c r="E74" s="2">
        <v>0</v>
      </c>
      <c r="F74" s="2">
        <v>2</v>
      </c>
      <c r="G74" s="16">
        <v>2</v>
      </c>
    </row>
    <row r="75" spans="1:7" ht="15" thickBot="1" x14ac:dyDescent="0.35">
      <c r="A75" s="2">
        <v>74</v>
      </c>
      <c r="B75" s="2">
        <v>0.1515</v>
      </c>
      <c r="C75" s="2">
        <v>0.68</v>
      </c>
      <c r="D75" s="2">
        <v>0.1045</v>
      </c>
      <c r="E75" s="2">
        <v>0</v>
      </c>
      <c r="F75" s="2">
        <v>4</v>
      </c>
      <c r="G75" s="16">
        <v>4</v>
      </c>
    </row>
    <row r="76" spans="1:7" ht="15" thickBot="1" x14ac:dyDescent="0.35">
      <c r="A76" s="2">
        <v>75</v>
      </c>
      <c r="B76" s="2">
        <v>0.1515</v>
      </c>
      <c r="C76" s="2">
        <v>0.74</v>
      </c>
      <c r="D76" s="2">
        <v>0.1045</v>
      </c>
      <c r="E76" s="2">
        <v>0</v>
      </c>
      <c r="F76" s="2">
        <v>36</v>
      </c>
      <c r="G76" s="16">
        <v>36</v>
      </c>
    </row>
    <row r="77" spans="1:7" ht="15" thickBot="1" x14ac:dyDescent="0.35">
      <c r="A77" s="2">
        <v>76</v>
      </c>
      <c r="B77" s="2">
        <v>0.1515</v>
      </c>
      <c r="C77" s="2">
        <v>0.74</v>
      </c>
      <c r="D77" s="2">
        <v>0.1343</v>
      </c>
      <c r="E77" s="2">
        <v>2</v>
      </c>
      <c r="F77" s="2">
        <v>92</v>
      </c>
      <c r="G77" s="16">
        <v>94</v>
      </c>
    </row>
    <row r="78" spans="1:7" ht="15" thickBot="1" x14ac:dyDescent="0.35">
      <c r="A78" s="2">
        <v>77</v>
      </c>
      <c r="B78" s="2">
        <v>0.1515</v>
      </c>
      <c r="C78" s="2">
        <v>0.69</v>
      </c>
      <c r="D78" s="2">
        <v>0.16420000000000001</v>
      </c>
      <c r="E78" s="2">
        <v>2</v>
      </c>
      <c r="F78" s="2">
        <v>177</v>
      </c>
      <c r="G78" s="16">
        <v>179</v>
      </c>
    </row>
    <row r="79" spans="1:7" ht="15" thickBot="1" x14ac:dyDescent="0.35">
      <c r="A79" s="2">
        <v>78</v>
      </c>
      <c r="B79" s="2">
        <v>0.1515</v>
      </c>
      <c r="C79" s="2">
        <v>0.64</v>
      </c>
      <c r="D79" s="2">
        <v>0.22389999999999999</v>
      </c>
      <c r="E79" s="2">
        <v>2</v>
      </c>
      <c r="F79" s="2">
        <v>98</v>
      </c>
      <c r="G79" s="16">
        <v>100</v>
      </c>
    </row>
    <row r="80" spans="1:7" ht="15" thickBot="1" x14ac:dyDescent="0.35">
      <c r="A80" s="2">
        <v>79</v>
      </c>
      <c r="B80" s="2">
        <v>0.13639999999999999</v>
      </c>
      <c r="C80" s="2">
        <v>0.69</v>
      </c>
      <c r="D80" s="2">
        <v>0.32840000000000003</v>
      </c>
      <c r="E80" s="2">
        <v>5</v>
      </c>
      <c r="F80" s="2">
        <v>37</v>
      </c>
      <c r="G80" s="16">
        <v>42</v>
      </c>
    </row>
    <row r="81" spans="1:7" ht="15" thickBot="1" x14ac:dyDescent="0.35">
      <c r="A81" s="2">
        <v>80</v>
      </c>
      <c r="B81" s="2">
        <v>0.21210000000000001</v>
      </c>
      <c r="C81" s="2">
        <v>0.51</v>
      </c>
      <c r="D81" s="2">
        <v>0.29849999999999999</v>
      </c>
      <c r="E81" s="2">
        <v>7</v>
      </c>
      <c r="F81" s="2">
        <v>50</v>
      </c>
      <c r="G81" s="16">
        <v>57</v>
      </c>
    </row>
    <row r="82" spans="1:7" ht="15" thickBot="1" x14ac:dyDescent="0.35">
      <c r="A82" s="2">
        <v>81</v>
      </c>
      <c r="B82" s="2">
        <v>0.2273</v>
      </c>
      <c r="C82" s="2">
        <v>0.51</v>
      </c>
      <c r="D82" s="2">
        <v>0.16420000000000001</v>
      </c>
      <c r="E82" s="2">
        <v>12</v>
      </c>
      <c r="F82" s="2">
        <v>66</v>
      </c>
      <c r="G82" s="16">
        <v>78</v>
      </c>
    </row>
    <row r="83" spans="1:7" ht="15" thickBot="1" x14ac:dyDescent="0.35">
      <c r="A83" s="2">
        <v>82</v>
      </c>
      <c r="B83" s="2">
        <v>0.2273</v>
      </c>
      <c r="C83" s="2">
        <v>0.56000000000000005</v>
      </c>
      <c r="D83" s="2">
        <v>0.19400000000000001</v>
      </c>
      <c r="E83" s="2">
        <v>18</v>
      </c>
      <c r="F83" s="2">
        <v>79</v>
      </c>
      <c r="G83" s="16">
        <v>97</v>
      </c>
    </row>
    <row r="84" spans="1:7" ht="15" thickBot="1" x14ac:dyDescent="0.35">
      <c r="A84" s="2">
        <v>83</v>
      </c>
      <c r="B84" s="2">
        <v>0.2576</v>
      </c>
      <c r="C84" s="2">
        <v>0.52</v>
      </c>
      <c r="D84" s="2">
        <v>0.22389999999999999</v>
      </c>
      <c r="E84" s="2">
        <v>9</v>
      </c>
      <c r="F84" s="2">
        <v>54</v>
      </c>
      <c r="G84" s="16">
        <v>63</v>
      </c>
    </row>
    <row r="85" spans="1:7" ht="15" thickBot="1" x14ac:dyDescent="0.35">
      <c r="A85" s="2">
        <v>84</v>
      </c>
      <c r="B85" s="2">
        <v>0.2727</v>
      </c>
      <c r="C85" s="2">
        <v>0.52</v>
      </c>
      <c r="D85" s="2">
        <v>0.25369999999999998</v>
      </c>
      <c r="E85" s="2">
        <v>17</v>
      </c>
      <c r="F85" s="2">
        <v>48</v>
      </c>
      <c r="G85" s="16">
        <v>65</v>
      </c>
    </row>
    <row r="86" spans="1:7" ht="15" thickBot="1" x14ac:dyDescent="0.35">
      <c r="A86" s="2">
        <v>85</v>
      </c>
      <c r="B86" s="2">
        <v>0.28789999999999999</v>
      </c>
      <c r="C86" s="2">
        <v>0.49</v>
      </c>
      <c r="D86" s="2">
        <v>0.25369999999999998</v>
      </c>
      <c r="E86" s="2">
        <v>15</v>
      </c>
      <c r="F86" s="2">
        <v>68</v>
      </c>
      <c r="G86" s="16">
        <v>83</v>
      </c>
    </row>
    <row r="87" spans="1:7" ht="15" thickBot="1" x14ac:dyDescent="0.35">
      <c r="A87" s="2">
        <v>86</v>
      </c>
      <c r="B87" s="2">
        <v>0.2727</v>
      </c>
      <c r="C87" s="2">
        <v>0.48</v>
      </c>
      <c r="D87" s="2">
        <v>0.22389999999999999</v>
      </c>
      <c r="E87" s="2">
        <v>10</v>
      </c>
      <c r="F87" s="2">
        <v>202</v>
      </c>
      <c r="G87" s="16">
        <v>212</v>
      </c>
    </row>
    <row r="88" spans="1:7" ht="15" thickBot="1" x14ac:dyDescent="0.35">
      <c r="A88" s="2">
        <v>87</v>
      </c>
      <c r="B88" s="2">
        <v>0.2576</v>
      </c>
      <c r="C88" s="2">
        <v>0.48</v>
      </c>
      <c r="D88" s="2">
        <v>0.19400000000000001</v>
      </c>
      <c r="E88" s="2">
        <v>3</v>
      </c>
      <c r="F88" s="2">
        <v>179</v>
      </c>
      <c r="G88" s="16">
        <v>182</v>
      </c>
    </row>
    <row r="89" spans="1:7" ht="15" thickBot="1" x14ac:dyDescent="0.35">
      <c r="A89" s="2">
        <v>88</v>
      </c>
      <c r="B89" s="2">
        <v>0.2576</v>
      </c>
      <c r="C89" s="2">
        <v>0.48</v>
      </c>
      <c r="D89" s="2">
        <v>0.1045</v>
      </c>
      <c r="E89" s="2">
        <v>2</v>
      </c>
      <c r="F89" s="2">
        <v>110</v>
      </c>
      <c r="G89" s="16">
        <v>112</v>
      </c>
    </row>
    <row r="90" spans="1:7" ht="15" thickBot="1" x14ac:dyDescent="0.35">
      <c r="A90" s="2">
        <v>89</v>
      </c>
      <c r="B90" s="2">
        <v>0.2576</v>
      </c>
      <c r="C90" s="2">
        <v>0.48</v>
      </c>
      <c r="D90" s="2">
        <v>0.1045</v>
      </c>
      <c r="E90" s="2">
        <v>1</v>
      </c>
      <c r="F90" s="2">
        <v>53</v>
      </c>
      <c r="G90" s="16">
        <v>54</v>
      </c>
    </row>
    <row r="91" spans="1:7" ht="15" thickBot="1" x14ac:dyDescent="0.35">
      <c r="A91" s="2">
        <v>90</v>
      </c>
      <c r="B91" s="2">
        <v>0.2727</v>
      </c>
      <c r="C91" s="2">
        <v>0.64</v>
      </c>
      <c r="D91" s="2">
        <v>0</v>
      </c>
      <c r="E91" s="2">
        <v>0</v>
      </c>
      <c r="F91" s="2">
        <v>48</v>
      </c>
      <c r="G91" s="16">
        <v>48</v>
      </c>
    </row>
    <row r="92" spans="1:7" ht="15" thickBot="1" x14ac:dyDescent="0.35">
      <c r="A92" s="2">
        <v>91</v>
      </c>
      <c r="B92" s="2">
        <v>0.2576</v>
      </c>
      <c r="C92" s="2">
        <v>0.64</v>
      </c>
      <c r="D92" s="2">
        <v>8.9599999999999999E-2</v>
      </c>
      <c r="E92" s="2">
        <v>1</v>
      </c>
      <c r="F92" s="2">
        <v>34</v>
      </c>
      <c r="G92" s="16">
        <v>35</v>
      </c>
    </row>
    <row r="93" spans="1:7" ht="15" thickBot="1" x14ac:dyDescent="0.35">
      <c r="A93" s="2">
        <v>92</v>
      </c>
      <c r="B93" s="2">
        <v>0.2273</v>
      </c>
      <c r="C93" s="2">
        <v>0.69</v>
      </c>
      <c r="D93" s="2">
        <v>8.9599999999999999E-2</v>
      </c>
      <c r="E93" s="2">
        <v>2</v>
      </c>
      <c r="F93" s="2">
        <v>9</v>
      </c>
      <c r="G93" s="16">
        <v>11</v>
      </c>
    </row>
    <row r="94" spans="1:7" ht="15" thickBot="1" x14ac:dyDescent="0.35">
      <c r="A94" s="2">
        <v>93</v>
      </c>
      <c r="B94" s="2">
        <v>0.2576</v>
      </c>
      <c r="C94" s="2">
        <v>0.64</v>
      </c>
      <c r="D94" s="2">
        <v>0</v>
      </c>
      <c r="E94" s="2">
        <v>0</v>
      </c>
      <c r="F94" s="2">
        <v>6</v>
      </c>
      <c r="G94" s="16">
        <v>6</v>
      </c>
    </row>
    <row r="95" spans="1:7" ht="15" thickBot="1" x14ac:dyDescent="0.35">
      <c r="A95" s="2">
        <v>94</v>
      </c>
      <c r="B95" s="2">
        <v>0.19700000000000001</v>
      </c>
      <c r="C95" s="2">
        <v>0.74</v>
      </c>
      <c r="D95" s="2">
        <v>8.9599999999999999E-2</v>
      </c>
      <c r="E95" s="2">
        <v>0</v>
      </c>
      <c r="F95" s="2">
        <v>6</v>
      </c>
      <c r="G95" s="16">
        <v>6</v>
      </c>
    </row>
    <row r="96" spans="1:7" ht="15" thickBot="1" x14ac:dyDescent="0.35">
      <c r="A96" s="2">
        <v>95</v>
      </c>
      <c r="B96" s="2">
        <v>0.19700000000000001</v>
      </c>
      <c r="C96" s="2">
        <v>0.74</v>
      </c>
      <c r="D96" s="2">
        <v>8.9599999999999999E-2</v>
      </c>
      <c r="E96" s="2">
        <v>0</v>
      </c>
      <c r="F96" s="2">
        <v>2</v>
      </c>
      <c r="G96" s="16">
        <v>2</v>
      </c>
    </row>
    <row r="97" spans="1:7" ht="15" thickBot="1" x14ac:dyDescent="0.35">
      <c r="A97" s="2">
        <v>96</v>
      </c>
      <c r="B97" s="2">
        <v>0.2273</v>
      </c>
      <c r="C97" s="2">
        <v>0.48</v>
      </c>
      <c r="D97" s="2">
        <v>0.22389999999999999</v>
      </c>
      <c r="E97" s="2">
        <v>0</v>
      </c>
      <c r="F97" s="2">
        <v>2</v>
      </c>
      <c r="G97" s="16">
        <v>2</v>
      </c>
    </row>
    <row r="98" spans="1:7" ht="15" thickBot="1" x14ac:dyDescent="0.35">
      <c r="A98" s="2">
        <v>97</v>
      </c>
      <c r="B98" s="2">
        <v>0.2273</v>
      </c>
      <c r="C98" s="2">
        <v>0.47</v>
      </c>
      <c r="D98" s="2">
        <v>0.16420000000000001</v>
      </c>
      <c r="E98" s="2">
        <v>0</v>
      </c>
      <c r="F98" s="2">
        <v>3</v>
      </c>
      <c r="G98" s="16">
        <v>3</v>
      </c>
    </row>
    <row r="99" spans="1:7" ht="15" thickBot="1" x14ac:dyDescent="0.35">
      <c r="A99" s="2">
        <v>98</v>
      </c>
      <c r="B99" s="2">
        <v>0.19700000000000001</v>
      </c>
      <c r="C99" s="2">
        <v>0.47</v>
      </c>
      <c r="D99" s="2">
        <v>0.22389999999999999</v>
      </c>
      <c r="E99" s="2">
        <v>0</v>
      </c>
      <c r="F99" s="2">
        <v>33</v>
      </c>
      <c r="G99" s="16">
        <v>33</v>
      </c>
    </row>
    <row r="100" spans="1:7" ht="15" thickBot="1" x14ac:dyDescent="0.35">
      <c r="A100" s="2">
        <v>99</v>
      </c>
      <c r="B100" s="2">
        <v>0.18179999999999999</v>
      </c>
      <c r="C100" s="2">
        <v>0.43</v>
      </c>
      <c r="D100" s="2">
        <v>0.19400000000000001</v>
      </c>
      <c r="E100" s="2">
        <v>1</v>
      </c>
      <c r="F100" s="2">
        <v>87</v>
      </c>
      <c r="G100" s="16">
        <v>88</v>
      </c>
    </row>
    <row r="101" spans="1:7" ht="15" thickBot="1" x14ac:dyDescent="0.35">
      <c r="A101" s="2">
        <v>100</v>
      </c>
      <c r="B101" s="2">
        <v>0.18179999999999999</v>
      </c>
      <c r="C101" s="2">
        <v>0.4</v>
      </c>
      <c r="D101" s="2">
        <v>0.29849999999999999</v>
      </c>
      <c r="E101" s="2">
        <v>3</v>
      </c>
      <c r="F101" s="2">
        <v>192</v>
      </c>
      <c r="G101" s="16">
        <v>195</v>
      </c>
    </row>
    <row r="102" spans="1:7" ht="15" thickBot="1" x14ac:dyDescent="0.35">
      <c r="A102" s="2">
        <v>101</v>
      </c>
      <c r="B102" s="2">
        <v>0.19700000000000001</v>
      </c>
      <c r="C102" s="2">
        <v>0.37</v>
      </c>
      <c r="D102" s="2">
        <v>0.32840000000000003</v>
      </c>
      <c r="E102" s="2">
        <v>6</v>
      </c>
      <c r="F102" s="2">
        <v>109</v>
      </c>
      <c r="G102" s="16">
        <v>115</v>
      </c>
    </row>
    <row r="103" spans="1:7" ht="15" thickBot="1" x14ac:dyDescent="0.35">
      <c r="A103" s="2">
        <v>102</v>
      </c>
      <c r="B103" s="2">
        <v>0.19700000000000001</v>
      </c>
      <c r="C103" s="2">
        <v>0.37</v>
      </c>
      <c r="D103" s="2">
        <v>0.32840000000000003</v>
      </c>
      <c r="E103" s="2">
        <v>4</v>
      </c>
      <c r="F103" s="2">
        <v>53</v>
      </c>
      <c r="G103" s="16">
        <v>57</v>
      </c>
    </row>
    <row r="104" spans="1:7" ht="15" thickBot="1" x14ac:dyDescent="0.35">
      <c r="A104" s="2">
        <v>103</v>
      </c>
      <c r="B104" s="2">
        <v>0.2273</v>
      </c>
      <c r="C104" s="2">
        <v>0.33</v>
      </c>
      <c r="D104" s="2">
        <v>0.32840000000000003</v>
      </c>
      <c r="E104" s="2">
        <v>12</v>
      </c>
      <c r="F104" s="2">
        <v>34</v>
      </c>
      <c r="G104" s="16">
        <v>46</v>
      </c>
    </row>
    <row r="105" spans="1:7" ht="15" thickBot="1" x14ac:dyDescent="0.35">
      <c r="A105" s="2">
        <v>104</v>
      </c>
      <c r="B105" s="2">
        <v>0.2273</v>
      </c>
      <c r="C105" s="2">
        <v>0.33</v>
      </c>
      <c r="D105" s="2">
        <v>0.32840000000000003</v>
      </c>
      <c r="E105" s="2">
        <v>5</v>
      </c>
      <c r="F105" s="2">
        <v>74</v>
      </c>
      <c r="G105" s="16">
        <v>79</v>
      </c>
    </row>
    <row r="106" spans="1:7" ht="15" thickBot="1" x14ac:dyDescent="0.35">
      <c r="A106" s="2">
        <v>105</v>
      </c>
      <c r="B106" s="2">
        <v>0.2576</v>
      </c>
      <c r="C106" s="2">
        <v>0.3</v>
      </c>
      <c r="D106" s="2">
        <v>0.29849999999999999</v>
      </c>
      <c r="E106" s="2">
        <v>6</v>
      </c>
      <c r="F106" s="2">
        <v>65</v>
      </c>
      <c r="G106" s="16">
        <v>71</v>
      </c>
    </row>
    <row r="107" spans="1:7" ht="15" thickBot="1" x14ac:dyDescent="0.35">
      <c r="A107" s="2">
        <v>106</v>
      </c>
      <c r="B107" s="2">
        <v>0.28789999999999999</v>
      </c>
      <c r="C107" s="2">
        <v>0.28000000000000003</v>
      </c>
      <c r="D107" s="2">
        <v>0.19400000000000001</v>
      </c>
      <c r="E107" s="2">
        <v>10</v>
      </c>
      <c r="F107" s="2">
        <v>52</v>
      </c>
      <c r="G107" s="16">
        <v>62</v>
      </c>
    </row>
    <row r="108" spans="1:7" ht="15" thickBot="1" x14ac:dyDescent="0.35">
      <c r="A108" s="2">
        <v>107</v>
      </c>
      <c r="B108" s="2">
        <v>0.28789999999999999</v>
      </c>
      <c r="C108" s="2">
        <v>0.28000000000000003</v>
      </c>
      <c r="D108" s="2">
        <v>0.19400000000000001</v>
      </c>
      <c r="E108" s="2">
        <v>7</v>
      </c>
      <c r="F108" s="2">
        <v>55</v>
      </c>
      <c r="G108" s="16">
        <v>62</v>
      </c>
    </row>
    <row r="109" spans="1:7" ht="15" thickBot="1" x14ac:dyDescent="0.35">
      <c r="A109" s="2">
        <v>108</v>
      </c>
      <c r="B109" s="2">
        <v>0.31819999999999998</v>
      </c>
      <c r="C109" s="2">
        <v>0.28000000000000003</v>
      </c>
      <c r="D109" s="2">
        <v>8.9599999999999999E-2</v>
      </c>
      <c r="E109" s="2">
        <v>4</v>
      </c>
      <c r="F109" s="2">
        <v>85</v>
      </c>
      <c r="G109" s="16">
        <v>89</v>
      </c>
    </row>
    <row r="110" spans="1:7" ht="15" thickBot="1" x14ac:dyDescent="0.35">
      <c r="A110" s="2">
        <v>109</v>
      </c>
      <c r="B110" s="2">
        <v>0.2273</v>
      </c>
      <c r="C110" s="2">
        <v>0.38</v>
      </c>
      <c r="D110" s="2">
        <v>0.19400000000000001</v>
      </c>
      <c r="E110" s="2">
        <v>4</v>
      </c>
      <c r="F110" s="2">
        <v>186</v>
      </c>
      <c r="G110" s="16">
        <v>190</v>
      </c>
    </row>
    <row r="111" spans="1:7" ht="15" thickBot="1" x14ac:dyDescent="0.35">
      <c r="A111" s="2">
        <v>110</v>
      </c>
      <c r="B111" s="2">
        <v>0.2424</v>
      </c>
      <c r="C111" s="2">
        <v>0.38</v>
      </c>
      <c r="D111" s="2">
        <v>0.1343</v>
      </c>
      <c r="E111" s="2">
        <v>3</v>
      </c>
      <c r="F111" s="2">
        <v>166</v>
      </c>
      <c r="G111" s="16">
        <v>169</v>
      </c>
    </row>
    <row r="112" spans="1:7" ht="15" thickBot="1" x14ac:dyDescent="0.35">
      <c r="A112" s="2">
        <v>111</v>
      </c>
      <c r="B112" s="2">
        <v>0.2576</v>
      </c>
      <c r="C112" s="2">
        <v>0.38</v>
      </c>
      <c r="D112" s="2">
        <v>0.1045</v>
      </c>
      <c r="E112" s="2">
        <v>5</v>
      </c>
      <c r="F112" s="2">
        <v>127</v>
      </c>
      <c r="G112" s="16">
        <v>132</v>
      </c>
    </row>
    <row r="113" spans="1:7" ht="15" thickBot="1" x14ac:dyDescent="0.35">
      <c r="A113" s="2">
        <v>112</v>
      </c>
      <c r="B113" s="2">
        <v>0.2273</v>
      </c>
      <c r="C113" s="2">
        <v>0.47</v>
      </c>
      <c r="D113" s="2">
        <v>0.16420000000000001</v>
      </c>
      <c r="E113" s="2">
        <v>7</v>
      </c>
      <c r="F113" s="2">
        <v>82</v>
      </c>
      <c r="G113" s="16">
        <v>89</v>
      </c>
    </row>
    <row r="114" spans="1:7" ht="15" thickBot="1" x14ac:dyDescent="0.35">
      <c r="A114" s="2">
        <v>113</v>
      </c>
      <c r="B114" s="2">
        <v>0.19700000000000001</v>
      </c>
      <c r="C114" s="2">
        <v>0.51</v>
      </c>
      <c r="D114" s="2">
        <v>0.19400000000000001</v>
      </c>
      <c r="E114" s="2">
        <v>3</v>
      </c>
      <c r="F114" s="2">
        <v>40</v>
      </c>
      <c r="G114" s="16">
        <v>43</v>
      </c>
    </row>
    <row r="115" spans="1:7" ht="15" thickBot="1" x14ac:dyDescent="0.35">
      <c r="A115" s="2">
        <v>114</v>
      </c>
      <c r="B115" s="2">
        <v>0.19700000000000001</v>
      </c>
      <c r="C115" s="2">
        <v>0.55000000000000004</v>
      </c>
      <c r="D115" s="2">
        <v>0.1343</v>
      </c>
      <c r="E115" s="2">
        <v>1</v>
      </c>
      <c r="F115" s="2">
        <v>41</v>
      </c>
      <c r="G115" s="16">
        <v>42</v>
      </c>
    </row>
    <row r="116" spans="1:7" ht="15" thickBot="1" x14ac:dyDescent="0.35">
      <c r="A116" s="2">
        <v>115</v>
      </c>
      <c r="B116" s="2">
        <v>0.2576</v>
      </c>
      <c r="C116" s="2">
        <v>0.47</v>
      </c>
      <c r="D116" s="2">
        <v>0</v>
      </c>
      <c r="E116" s="2">
        <v>1</v>
      </c>
      <c r="F116" s="2">
        <v>18</v>
      </c>
      <c r="G116" s="16">
        <v>19</v>
      </c>
    </row>
    <row r="117" spans="1:7" ht="15" thickBot="1" x14ac:dyDescent="0.35">
      <c r="A117" s="2">
        <v>116</v>
      </c>
      <c r="B117" s="2">
        <v>0.2424</v>
      </c>
      <c r="C117" s="2">
        <v>0.55000000000000004</v>
      </c>
      <c r="D117" s="2">
        <v>0</v>
      </c>
      <c r="E117" s="2">
        <v>0</v>
      </c>
      <c r="F117" s="2">
        <v>11</v>
      </c>
      <c r="G117" s="16">
        <v>11</v>
      </c>
    </row>
    <row r="118" spans="1:7" ht="15" thickBot="1" x14ac:dyDescent="0.35">
      <c r="A118" s="2">
        <v>117</v>
      </c>
      <c r="B118" s="2">
        <v>0.2273</v>
      </c>
      <c r="C118" s="2">
        <v>0.64</v>
      </c>
      <c r="D118" s="2">
        <v>0</v>
      </c>
      <c r="E118" s="2">
        <v>0</v>
      </c>
      <c r="F118" s="2">
        <v>4</v>
      </c>
      <c r="G118" s="16">
        <v>4</v>
      </c>
    </row>
    <row r="119" spans="1:7" ht="15" thickBot="1" x14ac:dyDescent="0.35">
      <c r="A119" s="2">
        <v>118</v>
      </c>
      <c r="B119" s="2">
        <v>0.2273</v>
      </c>
      <c r="C119" s="2">
        <v>0.64</v>
      </c>
      <c r="D119" s="2">
        <v>0</v>
      </c>
      <c r="E119" s="2">
        <v>0</v>
      </c>
      <c r="F119" s="2">
        <v>2</v>
      </c>
      <c r="G119" s="16">
        <v>2</v>
      </c>
    </row>
    <row r="120" spans="1:7" ht="15" thickBot="1" x14ac:dyDescent="0.35">
      <c r="A120" s="2">
        <v>119</v>
      </c>
      <c r="B120" s="2">
        <v>0.19700000000000001</v>
      </c>
      <c r="C120" s="2">
        <v>0.64</v>
      </c>
      <c r="D120" s="2">
        <v>8.9599999999999999E-2</v>
      </c>
      <c r="E120" s="2">
        <v>0</v>
      </c>
      <c r="F120" s="2">
        <v>1</v>
      </c>
      <c r="G120" s="16">
        <v>1</v>
      </c>
    </row>
    <row r="121" spans="1:7" ht="15" thickBot="1" x14ac:dyDescent="0.35">
      <c r="A121" s="2">
        <v>120</v>
      </c>
      <c r="B121" s="2">
        <v>0.18179999999999999</v>
      </c>
      <c r="C121" s="2">
        <v>0.69</v>
      </c>
      <c r="D121" s="2">
        <v>8.9599999999999999E-2</v>
      </c>
      <c r="E121" s="2">
        <v>0</v>
      </c>
      <c r="F121" s="2">
        <v>4</v>
      </c>
      <c r="G121" s="16">
        <v>4</v>
      </c>
    </row>
    <row r="122" spans="1:7" ht="15" thickBot="1" x14ac:dyDescent="0.35">
      <c r="A122" s="2">
        <v>121</v>
      </c>
      <c r="B122" s="2">
        <v>0.16669999999999999</v>
      </c>
      <c r="C122" s="2">
        <v>0.63</v>
      </c>
      <c r="D122" s="2">
        <v>0.1045</v>
      </c>
      <c r="E122" s="2">
        <v>0</v>
      </c>
      <c r="F122" s="2">
        <v>36</v>
      </c>
      <c r="G122" s="16">
        <v>36</v>
      </c>
    </row>
    <row r="123" spans="1:7" ht="15" thickBot="1" x14ac:dyDescent="0.35">
      <c r="A123" s="2">
        <v>122</v>
      </c>
      <c r="B123" s="2">
        <v>0.2273</v>
      </c>
      <c r="C123" s="2">
        <v>0.59</v>
      </c>
      <c r="D123" s="2">
        <v>0</v>
      </c>
      <c r="E123" s="2">
        <v>0</v>
      </c>
      <c r="F123" s="2">
        <v>95</v>
      </c>
      <c r="G123" s="16">
        <v>95</v>
      </c>
    </row>
    <row r="124" spans="1:7" ht="15" thickBot="1" x14ac:dyDescent="0.35">
      <c r="A124" s="2">
        <v>123</v>
      </c>
      <c r="B124" s="2">
        <v>0.2273</v>
      </c>
      <c r="C124" s="2">
        <v>0.59</v>
      </c>
      <c r="D124" s="2">
        <v>0</v>
      </c>
      <c r="E124" s="2">
        <v>3</v>
      </c>
      <c r="F124" s="2">
        <v>216</v>
      </c>
      <c r="G124" s="16">
        <v>219</v>
      </c>
    </row>
    <row r="125" spans="1:7" ht="15" thickBot="1" x14ac:dyDescent="0.35">
      <c r="A125" s="2">
        <v>124</v>
      </c>
      <c r="B125" s="2">
        <v>0.2424</v>
      </c>
      <c r="C125" s="2">
        <v>0.51</v>
      </c>
      <c r="D125" s="2">
        <v>0</v>
      </c>
      <c r="E125" s="2">
        <v>6</v>
      </c>
      <c r="F125" s="2">
        <v>116</v>
      </c>
      <c r="G125" s="16">
        <v>122</v>
      </c>
    </row>
    <row r="126" spans="1:7" ht="15" thickBot="1" x14ac:dyDescent="0.35">
      <c r="A126" s="2">
        <v>125</v>
      </c>
      <c r="B126" s="2">
        <v>0.2576</v>
      </c>
      <c r="C126" s="2">
        <v>0.47</v>
      </c>
      <c r="D126" s="2">
        <v>0</v>
      </c>
      <c r="E126" s="2">
        <v>3</v>
      </c>
      <c r="F126" s="2">
        <v>42</v>
      </c>
      <c r="G126" s="16">
        <v>45</v>
      </c>
    </row>
    <row r="127" spans="1:7" ht="15" thickBot="1" x14ac:dyDescent="0.35">
      <c r="A127" s="2">
        <v>126</v>
      </c>
      <c r="B127" s="2">
        <v>0.2576</v>
      </c>
      <c r="C127" s="2">
        <v>0.44</v>
      </c>
      <c r="D127" s="2">
        <v>8.9599999999999999E-2</v>
      </c>
      <c r="E127" s="2">
        <v>2</v>
      </c>
      <c r="F127" s="2">
        <v>57</v>
      </c>
      <c r="G127" s="16">
        <v>59</v>
      </c>
    </row>
    <row r="128" spans="1:7" ht="15" thickBot="1" x14ac:dyDescent="0.35">
      <c r="A128" s="2">
        <v>127</v>
      </c>
      <c r="B128" s="2">
        <v>0.28789999999999999</v>
      </c>
      <c r="C128" s="2">
        <v>0.35</v>
      </c>
      <c r="D128" s="2">
        <v>0</v>
      </c>
      <c r="E128" s="2">
        <v>6</v>
      </c>
      <c r="F128" s="2">
        <v>78</v>
      </c>
      <c r="G128" s="16">
        <v>84</v>
      </c>
    </row>
    <row r="129" spans="1:7" ht="15" thickBot="1" x14ac:dyDescent="0.35">
      <c r="A129" s="2">
        <v>128</v>
      </c>
      <c r="B129" s="2">
        <v>0.2727</v>
      </c>
      <c r="C129" s="2">
        <v>0.35</v>
      </c>
      <c r="D129" s="2">
        <v>0.1045</v>
      </c>
      <c r="E129" s="2">
        <v>12</v>
      </c>
      <c r="F129" s="2">
        <v>55</v>
      </c>
      <c r="G129" s="16">
        <v>67</v>
      </c>
    </row>
    <row r="130" spans="1:7" ht="15" thickBot="1" x14ac:dyDescent="0.35">
      <c r="A130" s="2">
        <v>129</v>
      </c>
      <c r="B130" s="2">
        <v>0.2727</v>
      </c>
      <c r="C130" s="2">
        <v>0.36</v>
      </c>
      <c r="D130" s="2">
        <v>0.16420000000000001</v>
      </c>
      <c r="E130" s="2">
        <v>11</v>
      </c>
      <c r="F130" s="2">
        <v>59</v>
      </c>
      <c r="G130" s="16">
        <v>70</v>
      </c>
    </row>
    <row r="131" spans="1:7" ht="15" thickBot="1" x14ac:dyDescent="0.35">
      <c r="A131" s="2">
        <v>130</v>
      </c>
      <c r="B131" s="2">
        <v>0.2727</v>
      </c>
      <c r="C131" s="2">
        <v>0.36</v>
      </c>
      <c r="D131" s="2">
        <v>0</v>
      </c>
      <c r="E131" s="2">
        <v>8</v>
      </c>
      <c r="F131" s="2">
        <v>54</v>
      </c>
      <c r="G131" s="16">
        <v>62</v>
      </c>
    </row>
    <row r="132" spans="1:7" ht="15" thickBot="1" x14ac:dyDescent="0.35">
      <c r="A132" s="2">
        <v>131</v>
      </c>
      <c r="B132" s="2">
        <v>0.2576</v>
      </c>
      <c r="C132" s="2">
        <v>0.38</v>
      </c>
      <c r="D132" s="2">
        <v>0.16420000000000001</v>
      </c>
      <c r="E132" s="2">
        <v>12</v>
      </c>
      <c r="F132" s="2">
        <v>74</v>
      </c>
      <c r="G132" s="16">
        <v>86</v>
      </c>
    </row>
    <row r="133" spans="1:7" ht="15" thickBot="1" x14ac:dyDescent="0.35">
      <c r="A133" s="2">
        <v>132</v>
      </c>
      <c r="B133" s="2">
        <v>0.2273</v>
      </c>
      <c r="C133" s="2">
        <v>0.51</v>
      </c>
      <c r="D133" s="2">
        <v>0.16420000000000001</v>
      </c>
      <c r="E133" s="2">
        <v>9</v>
      </c>
      <c r="F133" s="2">
        <v>163</v>
      </c>
      <c r="G133" s="16">
        <v>172</v>
      </c>
    </row>
    <row r="134" spans="1:7" ht="15" thickBot="1" x14ac:dyDescent="0.35">
      <c r="A134" s="2">
        <v>133</v>
      </c>
      <c r="B134" s="2">
        <v>0.2273</v>
      </c>
      <c r="C134" s="2">
        <v>0.51</v>
      </c>
      <c r="D134" s="2">
        <v>0.1343</v>
      </c>
      <c r="E134" s="2">
        <v>5</v>
      </c>
      <c r="F134" s="2">
        <v>158</v>
      </c>
      <c r="G134" s="16">
        <v>163</v>
      </c>
    </row>
    <row r="135" spans="1:7" ht="15" thickBot="1" x14ac:dyDescent="0.35">
      <c r="A135" s="2">
        <v>134</v>
      </c>
      <c r="B135" s="2">
        <v>0.2576</v>
      </c>
      <c r="C135" s="2">
        <v>0.55000000000000004</v>
      </c>
      <c r="D135" s="2">
        <v>8.9599999999999999E-2</v>
      </c>
      <c r="E135" s="2">
        <v>3</v>
      </c>
      <c r="F135" s="2">
        <v>109</v>
      </c>
      <c r="G135" s="16">
        <v>112</v>
      </c>
    </row>
    <row r="136" spans="1:7" ht="15" thickBot="1" x14ac:dyDescent="0.35">
      <c r="A136" s="2">
        <v>135</v>
      </c>
      <c r="B136" s="2">
        <v>0.21210000000000001</v>
      </c>
      <c r="C136" s="2">
        <v>0.51</v>
      </c>
      <c r="D136" s="2">
        <v>0.16420000000000001</v>
      </c>
      <c r="E136" s="2">
        <v>3</v>
      </c>
      <c r="F136" s="2">
        <v>66</v>
      </c>
      <c r="G136" s="16">
        <v>69</v>
      </c>
    </row>
    <row r="137" spans="1:7" ht="15" thickBot="1" x14ac:dyDescent="0.35">
      <c r="A137" s="2">
        <v>136</v>
      </c>
      <c r="B137" s="2">
        <v>0.21210000000000001</v>
      </c>
      <c r="C137" s="2">
        <v>0.55000000000000004</v>
      </c>
      <c r="D137" s="2">
        <v>0.22389999999999999</v>
      </c>
      <c r="E137" s="2">
        <v>0</v>
      </c>
      <c r="F137" s="2">
        <v>48</v>
      </c>
      <c r="G137" s="16">
        <v>48</v>
      </c>
    </row>
    <row r="138" spans="1:7" ht="15" thickBot="1" x14ac:dyDescent="0.35">
      <c r="A138" s="2">
        <v>137</v>
      </c>
      <c r="B138" s="2">
        <v>0.21210000000000001</v>
      </c>
      <c r="C138" s="2">
        <v>0.51</v>
      </c>
      <c r="D138" s="2">
        <v>0.28360000000000002</v>
      </c>
      <c r="E138" s="2">
        <v>1</v>
      </c>
      <c r="F138" s="2">
        <v>51</v>
      </c>
      <c r="G138" s="16">
        <v>52</v>
      </c>
    </row>
    <row r="139" spans="1:7" ht="15" thickBot="1" x14ac:dyDescent="0.35">
      <c r="A139" s="2">
        <v>138</v>
      </c>
      <c r="B139" s="2">
        <v>0.19700000000000001</v>
      </c>
      <c r="C139" s="2">
        <v>0.59</v>
      </c>
      <c r="D139" s="2">
        <v>0.19400000000000001</v>
      </c>
      <c r="E139" s="2">
        <v>4</v>
      </c>
      <c r="F139" s="2">
        <v>19</v>
      </c>
      <c r="G139" s="16">
        <v>23</v>
      </c>
    </row>
    <row r="140" spans="1:7" ht="15" thickBot="1" x14ac:dyDescent="0.35">
      <c r="A140" s="2">
        <v>139</v>
      </c>
      <c r="B140" s="2">
        <v>0.19700000000000001</v>
      </c>
      <c r="C140" s="2">
        <v>0.64</v>
      </c>
      <c r="D140" s="2">
        <v>0.19400000000000001</v>
      </c>
      <c r="E140" s="2">
        <v>4</v>
      </c>
      <c r="F140" s="2">
        <v>13</v>
      </c>
      <c r="G140" s="16">
        <v>17</v>
      </c>
    </row>
    <row r="141" spans="1:7" ht="15" thickBot="1" x14ac:dyDescent="0.35">
      <c r="A141" s="2">
        <v>140</v>
      </c>
      <c r="B141" s="2">
        <v>0.19700000000000001</v>
      </c>
      <c r="C141" s="2">
        <v>0.69</v>
      </c>
      <c r="D141" s="2">
        <v>0.22389999999999999</v>
      </c>
      <c r="E141" s="2">
        <v>2</v>
      </c>
      <c r="F141" s="2">
        <v>5</v>
      </c>
      <c r="G141" s="16">
        <v>7</v>
      </c>
    </row>
    <row r="142" spans="1:7" ht="15" thickBot="1" x14ac:dyDescent="0.35">
      <c r="A142" s="2">
        <v>141</v>
      </c>
      <c r="B142" s="2">
        <v>0.19700000000000001</v>
      </c>
      <c r="C142" s="2">
        <v>0.69</v>
      </c>
      <c r="D142" s="2">
        <v>0.22389999999999999</v>
      </c>
      <c r="E142" s="2">
        <v>0</v>
      </c>
      <c r="F142" s="2">
        <v>1</v>
      </c>
      <c r="G142" s="16">
        <v>1</v>
      </c>
    </row>
    <row r="143" spans="1:7" ht="15" thickBot="1" x14ac:dyDescent="0.35">
      <c r="A143" s="2">
        <v>142</v>
      </c>
      <c r="B143" s="2">
        <v>0.21210000000000001</v>
      </c>
      <c r="C143" s="2">
        <v>0.69</v>
      </c>
      <c r="D143" s="2">
        <v>0.1343</v>
      </c>
      <c r="E143" s="2">
        <v>0</v>
      </c>
      <c r="F143" s="2">
        <v>1</v>
      </c>
      <c r="G143" s="16">
        <v>1</v>
      </c>
    </row>
    <row r="144" spans="1:7" ht="15" thickBot="1" x14ac:dyDescent="0.35">
      <c r="A144" s="2">
        <v>143</v>
      </c>
      <c r="B144" s="2">
        <v>0.2727</v>
      </c>
      <c r="C144" s="2">
        <v>0.55000000000000004</v>
      </c>
      <c r="D144" s="2">
        <v>0</v>
      </c>
      <c r="E144" s="2">
        <v>0</v>
      </c>
      <c r="F144" s="2">
        <v>5</v>
      </c>
      <c r="G144" s="16">
        <v>5</v>
      </c>
    </row>
    <row r="145" spans="1:7" ht="15" thickBot="1" x14ac:dyDescent="0.35">
      <c r="A145" s="2">
        <v>144</v>
      </c>
      <c r="B145" s="2">
        <v>0.2576</v>
      </c>
      <c r="C145" s="2">
        <v>0.69</v>
      </c>
      <c r="D145" s="2">
        <v>0</v>
      </c>
      <c r="E145" s="2">
        <v>8</v>
      </c>
      <c r="F145" s="2">
        <v>26</v>
      </c>
      <c r="G145" s="16">
        <v>34</v>
      </c>
    </row>
    <row r="146" spans="1:7" ht="15" thickBot="1" x14ac:dyDescent="0.35">
      <c r="A146" s="2">
        <v>145</v>
      </c>
      <c r="B146" s="2">
        <v>0.21210000000000001</v>
      </c>
      <c r="C146" s="2">
        <v>0.69</v>
      </c>
      <c r="D146" s="2">
        <v>0.1343</v>
      </c>
      <c r="E146" s="2">
        <v>8</v>
      </c>
      <c r="F146" s="2">
        <v>76</v>
      </c>
      <c r="G146" s="16">
        <v>84</v>
      </c>
    </row>
    <row r="147" spans="1:7" ht="15" thickBot="1" x14ac:dyDescent="0.35">
      <c r="A147" s="2">
        <v>146</v>
      </c>
      <c r="B147" s="2">
        <v>0.19700000000000001</v>
      </c>
      <c r="C147" s="2">
        <v>0.51</v>
      </c>
      <c r="D147" s="2">
        <v>0.25369999999999998</v>
      </c>
      <c r="E147" s="2">
        <v>20</v>
      </c>
      <c r="F147" s="2">
        <v>190</v>
      </c>
      <c r="G147" s="16">
        <v>210</v>
      </c>
    </row>
    <row r="148" spans="1:7" ht="15" thickBot="1" x14ac:dyDescent="0.35">
      <c r="A148" s="2">
        <v>147</v>
      </c>
      <c r="B148" s="2">
        <v>0.18179999999999999</v>
      </c>
      <c r="C148" s="2">
        <v>0.47</v>
      </c>
      <c r="D148" s="2">
        <v>0.29849999999999999</v>
      </c>
      <c r="E148" s="2">
        <v>9</v>
      </c>
      <c r="F148" s="2">
        <v>125</v>
      </c>
      <c r="G148" s="16">
        <v>134</v>
      </c>
    </row>
    <row r="149" spans="1:7" ht="15" thickBot="1" x14ac:dyDescent="0.35">
      <c r="A149" s="2">
        <v>148</v>
      </c>
      <c r="B149" s="2">
        <v>0.19700000000000001</v>
      </c>
      <c r="C149" s="2">
        <v>0.37</v>
      </c>
      <c r="D149" s="2">
        <v>0.32840000000000003</v>
      </c>
      <c r="E149" s="2">
        <v>16</v>
      </c>
      <c r="F149" s="2">
        <v>47</v>
      </c>
      <c r="G149" s="16">
        <v>63</v>
      </c>
    </row>
    <row r="150" spans="1:7" ht="15" thickBot="1" x14ac:dyDescent="0.35">
      <c r="A150" s="2">
        <v>149</v>
      </c>
      <c r="B150" s="2">
        <v>0.19700000000000001</v>
      </c>
      <c r="C150" s="2">
        <v>0.4</v>
      </c>
      <c r="D150" s="2">
        <v>0.22389999999999999</v>
      </c>
      <c r="E150" s="2">
        <v>19</v>
      </c>
      <c r="F150" s="2">
        <v>48</v>
      </c>
      <c r="G150" s="16">
        <v>67</v>
      </c>
    </row>
    <row r="151" spans="1:7" ht="15" thickBot="1" x14ac:dyDescent="0.35">
      <c r="A151" s="2">
        <v>150</v>
      </c>
      <c r="B151" s="2">
        <v>0.19700000000000001</v>
      </c>
      <c r="C151" s="2">
        <v>0.37</v>
      </c>
      <c r="D151" s="2">
        <v>0.25369999999999998</v>
      </c>
      <c r="E151" s="2">
        <v>9</v>
      </c>
      <c r="F151" s="2">
        <v>50</v>
      </c>
      <c r="G151" s="16">
        <v>59</v>
      </c>
    </row>
    <row r="152" spans="1:7" ht="15" thickBot="1" x14ac:dyDescent="0.35">
      <c r="A152" s="2">
        <v>151</v>
      </c>
      <c r="B152" s="2">
        <v>0.18179999999999999</v>
      </c>
      <c r="C152" s="2">
        <v>0.37</v>
      </c>
      <c r="D152" s="2">
        <v>0.28360000000000002</v>
      </c>
      <c r="E152" s="2">
        <v>9</v>
      </c>
      <c r="F152" s="2">
        <v>64</v>
      </c>
      <c r="G152" s="16">
        <v>73</v>
      </c>
    </row>
    <row r="153" spans="1:7" ht="15" thickBot="1" x14ac:dyDescent="0.35">
      <c r="A153" s="2">
        <v>152</v>
      </c>
      <c r="B153" s="2">
        <v>0.19700000000000001</v>
      </c>
      <c r="C153" s="2">
        <v>0.4</v>
      </c>
      <c r="D153" s="2">
        <v>0.25369999999999998</v>
      </c>
      <c r="E153" s="2">
        <v>7</v>
      </c>
      <c r="F153" s="2">
        <v>43</v>
      </c>
      <c r="G153" s="16">
        <v>50</v>
      </c>
    </row>
    <row r="154" spans="1:7" ht="15" thickBot="1" x14ac:dyDescent="0.35">
      <c r="A154" s="2">
        <v>153</v>
      </c>
      <c r="B154" s="2">
        <v>0.21210000000000001</v>
      </c>
      <c r="C154" s="2">
        <v>0.37</v>
      </c>
      <c r="D154" s="2">
        <v>0.16420000000000001</v>
      </c>
      <c r="E154" s="2">
        <v>9</v>
      </c>
      <c r="F154" s="2">
        <v>63</v>
      </c>
      <c r="G154" s="16">
        <v>72</v>
      </c>
    </row>
    <row r="155" spans="1:7" ht="15" thickBot="1" x14ac:dyDescent="0.35">
      <c r="A155" s="2">
        <v>154</v>
      </c>
      <c r="B155" s="2">
        <v>0.21210000000000001</v>
      </c>
      <c r="C155" s="2">
        <v>0.37</v>
      </c>
      <c r="D155" s="2">
        <v>0.16420000000000001</v>
      </c>
      <c r="E155" s="2">
        <v>5</v>
      </c>
      <c r="F155" s="2">
        <v>82</v>
      </c>
      <c r="G155" s="16">
        <v>87</v>
      </c>
    </row>
    <row r="156" spans="1:7" ht="15" thickBot="1" x14ac:dyDescent="0.35">
      <c r="A156" s="2">
        <v>155</v>
      </c>
      <c r="B156" s="2">
        <v>0.2576</v>
      </c>
      <c r="C156" s="2">
        <v>0.37</v>
      </c>
      <c r="D156" s="2">
        <v>0</v>
      </c>
      <c r="E156" s="2">
        <v>9</v>
      </c>
      <c r="F156" s="2">
        <v>178</v>
      </c>
      <c r="G156" s="16">
        <v>187</v>
      </c>
    </row>
    <row r="157" spans="1:7" ht="15" thickBot="1" x14ac:dyDescent="0.35">
      <c r="A157" s="2">
        <v>156</v>
      </c>
      <c r="B157" s="2">
        <v>0.2273</v>
      </c>
      <c r="C157" s="2">
        <v>0.4</v>
      </c>
      <c r="D157" s="2">
        <v>8.9599999999999999E-2</v>
      </c>
      <c r="E157" s="2">
        <v>7</v>
      </c>
      <c r="F157" s="2">
        <v>116</v>
      </c>
      <c r="G157" s="16">
        <v>123</v>
      </c>
    </row>
    <row r="158" spans="1:7" ht="15" thickBot="1" x14ac:dyDescent="0.35">
      <c r="A158" s="2">
        <v>157</v>
      </c>
      <c r="B158" s="2">
        <v>0.19700000000000001</v>
      </c>
      <c r="C158" s="2">
        <v>0.55000000000000004</v>
      </c>
      <c r="D158" s="2">
        <v>8.9599999999999999E-2</v>
      </c>
      <c r="E158" s="2">
        <v>3</v>
      </c>
      <c r="F158" s="2">
        <v>92</v>
      </c>
      <c r="G158" s="16">
        <v>95</v>
      </c>
    </row>
    <row r="159" spans="1:7" ht="15" thickBot="1" x14ac:dyDescent="0.35">
      <c r="A159" s="2">
        <v>158</v>
      </c>
      <c r="B159" s="2">
        <v>0.21210000000000001</v>
      </c>
      <c r="C159" s="2">
        <v>0.47</v>
      </c>
      <c r="D159" s="2">
        <v>0.1045</v>
      </c>
      <c r="E159" s="2">
        <v>1</v>
      </c>
      <c r="F159" s="2">
        <v>50</v>
      </c>
      <c r="G159" s="16">
        <v>51</v>
      </c>
    </row>
    <row r="160" spans="1:7" ht="15" thickBot="1" x14ac:dyDescent="0.35">
      <c r="A160" s="2">
        <v>159</v>
      </c>
      <c r="B160" s="2">
        <v>0.19700000000000001</v>
      </c>
      <c r="C160" s="2">
        <v>0.47</v>
      </c>
      <c r="D160" s="2">
        <v>0.1343</v>
      </c>
      <c r="E160" s="2">
        <v>0</v>
      </c>
      <c r="F160" s="2">
        <v>39</v>
      </c>
      <c r="G160" s="16">
        <v>39</v>
      </c>
    </row>
    <row r="161" spans="1:7" ht="15" thickBot="1" x14ac:dyDescent="0.35">
      <c r="A161" s="2">
        <v>160</v>
      </c>
      <c r="B161" s="2">
        <v>0.19700000000000001</v>
      </c>
      <c r="C161" s="2">
        <v>0.43</v>
      </c>
      <c r="D161" s="2">
        <v>0.16420000000000001</v>
      </c>
      <c r="E161" s="2">
        <v>2</v>
      </c>
      <c r="F161" s="2">
        <v>34</v>
      </c>
      <c r="G161" s="16">
        <v>36</v>
      </c>
    </row>
    <row r="162" spans="1:7" ht="15" thickBot="1" x14ac:dyDescent="0.35">
      <c r="A162" s="2">
        <v>161</v>
      </c>
      <c r="B162" s="2">
        <v>0.19700000000000001</v>
      </c>
      <c r="C162" s="2">
        <v>0.51</v>
      </c>
      <c r="D162" s="2">
        <v>0.16420000000000001</v>
      </c>
      <c r="E162" s="2">
        <v>1</v>
      </c>
      <c r="F162" s="2">
        <v>14</v>
      </c>
      <c r="G162" s="16">
        <v>15</v>
      </c>
    </row>
    <row r="163" spans="1:7" ht="15" thickBot="1" x14ac:dyDescent="0.35">
      <c r="A163" s="2">
        <v>162</v>
      </c>
      <c r="B163" s="2">
        <v>0.19700000000000001</v>
      </c>
      <c r="C163" s="2">
        <v>0.51</v>
      </c>
      <c r="D163" s="2">
        <v>0.16420000000000001</v>
      </c>
      <c r="E163" s="2">
        <v>1</v>
      </c>
      <c r="F163" s="2">
        <v>24</v>
      </c>
      <c r="G163" s="16">
        <v>25</v>
      </c>
    </row>
    <row r="164" spans="1:7" ht="15" thickBot="1" x14ac:dyDescent="0.35">
      <c r="A164" s="2">
        <v>163</v>
      </c>
      <c r="B164" s="2">
        <v>0.21210000000000001</v>
      </c>
      <c r="C164" s="2">
        <v>0.55000000000000004</v>
      </c>
      <c r="D164" s="2">
        <v>8.9599999999999999E-2</v>
      </c>
      <c r="E164" s="2">
        <v>1</v>
      </c>
      <c r="F164" s="2">
        <v>15</v>
      </c>
      <c r="G164" s="16">
        <v>16</v>
      </c>
    </row>
    <row r="165" spans="1:7" ht="15" thickBot="1" x14ac:dyDescent="0.35">
      <c r="A165" s="2">
        <v>164</v>
      </c>
      <c r="B165" s="2">
        <v>0.2424</v>
      </c>
      <c r="C165" s="2">
        <v>0.55000000000000004</v>
      </c>
      <c r="D165" s="2">
        <v>0</v>
      </c>
      <c r="E165" s="2">
        <v>3</v>
      </c>
      <c r="F165" s="2">
        <v>13</v>
      </c>
      <c r="G165" s="16">
        <v>16</v>
      </c>
    </row>
    <row r="166" spans="1:7" ht="15" thickBot="1" x14ac:dyDescent="0.35">
      <c r="A166" s="2">
        <v>165</v>
      </c>
      <c r="B166" s="2">
        <v>0.19700000000000001</v>
      </c>
      <c r="C166" s="2">
        <v>0.55000000000000004</v>
      </c>
      <c r="D166" s="2">
        <v>0.16420000000000001</v>
      </c>
      <c r="E166" s="2">
        <v>0</v>
      </c>
      <c r="F166" s="2">
        <v>7</v>
      </c>
      <c r="G166" s="16">
        <v>7</v>
      </c>
    </row>
    <row r="167" spans="1:7" ht="15" thickBot="1" x14ac:dyDescent="0.35">
      <c r="A167" s="2">
        <v>166</v>
      </c>
      <c r="B167" s="2">
        <v>0.19700000000000001</v>
      </c>
      <c r="C167" s="2">
        <v>0.55000000000000004</v>
      </c>
      <c r="D167" s="2">
        <v>0.16420000000000001</v>
      </c>
      <c r="E167" s="2">
        <v>0</v>
      </c>
      <c r="F167" s="2">
        <v>1</v>
      </c>
      <c r="G167" s="16">
        <v>1</v>
      </c>
    </row>
    <row r="168" spans="1:7" ht="15" thickBot="1" x14ac:dyDescent="0.35">
      <c r="A168" s="2">
        <v>167</v>
      </c>
      <c r="B168" s="2">
        <v>0.16669999999999999</v>
      </c>
      <c r="C168" s="2">
        <v>0.74</v>
      </c>
      <c r="D168" s="2">
        <v>0.16420000000000001</v>
      </c>
      <c r="E168" s="2">
        <v>0</v>
      </c>
      <c r="F168" s="2">
        <v>5</v>
      </c>
      <c r="G168" s="16">
        <v>5</v>
      </c>
    </row>
    <row r="169" spans="1:7" ht="15" thickBot="1" x14ac:dyDescent="0.35">
      <c r="A169" s="2">
        <v>168</v>
      </c>
      <c r="B169" s="2">
        <v>0.16669999999999999</v>
      </c>
      <c r="C169" s="2">
        <v>0.74</v>
      </c>
      <c r="D169" s="2">
        <v>0.16420000000000001</v>
      </c>
      <c r="E169" s="2">
        <v>0</v>
      </c>
      <c r="F169" s="2">
        <v>2</v>
      </c>
      <c r="G169" s="16">
        <v>2</v>
      </c>
    </row>
    <row r="170" spans="1:7" ht="15" thickBot="1" x14ac:dyDescent="0.35">
      <c r="A170" s="2">
        <v>169</v>
      </c>
      <c r="B170" s="2">
        <v>0.18179999999999999</v>
      </c>
      <c r="C170" s="2">
        <v>0.74</v>
      </c>
      <c r="D170" s="2">
        <v>0.1045</v>
      </c>
      <c r="E170" s="2">
        <v>1</v>
      </c>
      <c r="F170" s="2">
        <v>8</v>
      </c>
      <c r="G170" s="16">
        <v>9</v>
      </c>
    </row>
    <row r="171" spans="1:7" ht="15" thickBot="1" x14ac:dyDescent="0.35">
      <c r="A171" s="2">
        <v>170</v>
      </c>
      <c r="B171" s="2">
        <v>0.18179999999999999</v>
      </c>
      <c r="C171" s="2">
        <v>0.93</v>
      </c>
      <c r="D171" s="2">
        <v>0.1045</v>
      </c>
      <c r="E171" s="2">
        <v>0</v>
      </c>
      <c r="F171" s="2">
        <v>15</v>
      </c>
      <c r="G171" s="16">
        <v>15</v>
      </c>
    </row>
    <row r="172" spans="1:7" ht="15" thickBot="1" x14ac:dyDescent="0.35">
      <c r="A172" s="2">
        <v>171</v>
      </c>
      <c r="B172" s="2">
        <v>0.18179999999999999</v>
      </c>
      <c r="C172" s="2">
        <v>0.93</v>
      </c>
      <c r="D172" s="2">
        <v>0.1045</v>
      </c>
      <c r="E172" s="2">
        <v>0</v>
      </c>
      <c r="F172" s="2">
        <v>20</v>
      </c>
      <c r="G172" s="16">
        <v>20</v>
      </c>
    </row>
    <row r="173" spans="1:7" ht="15" thickBot="1" x14ac:dyDescent="0.35">
      <c r="A173" s="2">
        <v>172</v>
      </c>
      <c r="B173" s="2">
        <v>0.19700000000000001</v>
      </c>
      <c r="C173" s="2">
        <v>0.8</v>
      </c>
      <c r="D173" s="2">
        <v>0.16420000000000001</v>
      </c>
      <c r="E173" s="2">
        <v>5</v>
      </c>
      <c r="F173" s="2">
        <v>56</v>
      </c>
      <c r="G173" s="16">
        <v>61</v>
      </c>
    </row>
    <row r="174" spans="1:7" ht="15" thickBot="1" x14ac:dyDescent="0.35">
      <c r="A174" s="2">
        <v>173</v>
      </c>
      <c r="B174" s="2">
        <v>0.18179999999999999</v>
      </c>
      <c r="C174" s="2">
        <v>0.69</v>
      </c>
      <c r="D174" s="2">
        <v>0.3881</v>
      </c>
      <c r="E174" s="2">
        <v>2</v>
      </c>
      <c r="F174" s="2">
        <v>60</v>
      </c>
      <c r="G174" s="16">
        <v>62</v>
      </c>
    </row>
    <row r="175" spans="1:7" ht="15" thickBot="1" x14ac:dyDescent="0.35">
      <c r="A175" s="2">
        <v>174</v>
      </c>
      <c r="B175" s="2">
        <v>0.18179999999999999</v>
      </c>
      <c r="C175" s="2">
        <v>0.59</v>
      </c>
      <c r="D175" s="2">
        <v>0.35820000000000002</v>
      </c>
      <c r="E175" s="2">
        <v>8</v>
      </c>
      <c r="F175" s="2">
        <v>90</v>
      </c>
      <c r="G175" s="16">
        <v>98</v>
      </c>
    </row>
    <row r="176" spans="1:7" ht="15" thickBot="1" x14ac:dyDescent="0.35">
      <c r="A176" s="2">
        <v>175</v>
      </c>
      <c r="B176" s="2">
        <v>0.18179999999999999</v>
      </c>
      <c r="C176" s="2">
        <v>0.44</v>
      </c>
      <c r="D176" s="2">
        <v>0.32840000000000003</v>
      </c>
      <c r="E176" s="2">
        <v>7</v>
      </c>
      <c r="F176" s="2">
        <v>95</v>
      </c>
      <c r="G176" s="16">
        <v>102</v>
      </c>
    </row>
    <row r="177" spans="1:7" ht="15" thickBot="1" x14ac:dyDescent="0.35">
      <c r="A177" s="2">
        <v>176</v>
      </c>
      <c r="B177" s="2">
        <v>0.16669999999999999</v>
      </c>
      <c r="C177" s="2">
        <v>0.32</v>
      </c>
      <c r="D177" s="2">
        <v>0.49249999999999999</v>
      </c>
      <c r="E177" s="2">
        <v>12</v>
      </c>
      <c r="F177" s="2">
        <v>83</v>
      </c>
      <c r="G177" s="16">
        <v>95</v>
      </c>
    </row>
    <row r="178" spans="1:7" ht="15" thickBot="1" x14ac:dyDescent="0.35">
      <c r="A178" s="2">
        <v>177</v>
      </c>
      <c r="B178" s="2">
        <v>0.16669999999999999</v>
      </c>
      <c r="C178" s="2">
        <v>0.32</v>
      </c>
      <c r="D178" s="2">
        <v>0.44779999999999998</v>
      </c>
      <c r="E178" s="2">
        <v>5</v>
      </c>
      <c r="F178" s="2">
        <v>69</v>
      </c>
      <c r="G178" s="16">
        <v>74</v>
      </c>
    </row>
    <row r="179" spans="1:7" ht="15" thickBot="1" x14ac:dyDescent="0.35">
      <c r="A179" s="2">
        <v>178</v>
      </c>
      <c r="B179" s="2">
        <v>0.13639999999999999</v>
      </c>
      <c r="C179" s="2">
        <v>0.28999999999999998</v>
      </c>
      <c r="D179" s="2">
        <v>0.44779999999999998</v>
      </c>
      <c r="E179" s="2">
        <v>8</v>
      </c>
      <c r="F179" s="2">
        <v>68</v>
      </c>
      <c r="G179" s="16">
        <v>76</v>
      </c>
    </row>
    <row r="180" spans="1:7" ht="15" thickBot="1" x14ac:dyDescent="0.35">
      <c r="A180" s="2">
        <v>179</v>
      </c>
      <c r="B180" s="2">
        <v>0.1212</v>
      </c>
      <c r="C180" s="2">
        <v>0.37</v>
      </c>
      <c r="D180" s="2">
        <v>0.55220000000000002</v>
      </c>
      <c r="E180" s="2">
        <v>5</v>
      </c>
      <c r="F180" s="2">
        <v>64</v>
      </c>
      <c r="G180" s="16">
        <v>69</v>
      </c>
    </row>
    <row r="181" spans="1:7" ht="15" thickBot="1" x14ac:dyDescent="0.35">
      <c r="A181" s="2">
        <v>180</v>
      </c>
      <c r="B181" s="2">
        <v>0.1212</v>
      </c>
      <c r="C181" s="2">
        <v>0.39</v>
      </c>
      <c r="D181" s="2">
        <v>0.29849999999999999</v>
      </c>
      <c r="E181" s="2">
        <v>3</v>
      </c>
      <c r="F181" s="2">
        <v>52</v>
      </c>
      <c r="G181" s="16">
        <v>55</v>
      </c>
    </row>
    <row r="182" spans="1:7" ht="15" thickBot="1" x14ac:dyDescent="0.35">
      <c r="A182" s="2">
        <v>181</v>
      </c>
      <c r="B182" s="2">
        <v>0.1212</v>
      </c>
      <c r="C182" s="2">
        <v>0.36</v>
      </c>
      <c r="D182" s="2">
        <v>0.25369999999999998</v>
      </c>
      <c r="E182" s="2">
        <v>4</v>
      </c>
      <c r="F182" s="2">
        <v>26</v>
      </c>
      <c r="G182" s="16">
        <v>30</v>
      </c>
    </row>
    <row r="183" spans="1:7" ht="15" thickBot="1" x14ac:dyDescent="0.35">
      <c r="A183" s="2">
        <v>182</v>
      </c>
      <c r="B183" s="2">
        <v>0.1212</v>
      </c>
      <c r="C183" s="2">
        <v>0.36</v>
      </c>
      <c r="D183" s="2">
        <v>0.25369999999999998</v>
      </c>
      <c r="E183" s="2">
        <v>0</v>
      </c>
      <c r="F183" s="2">
        <v>28</v>
      </c>
      <c r="G183" s="16">
        <v>28</v>
      </c>
    </row>
    <row r="184" spans="1:7" ht="15" thickBot="1" x14ac:dyDescent="0.35">
      <c r="A184" s="2">
        <v>183</v>
      </c>
      <c r="B184" s="2">
        <v>0.1061</v>
      </c>
      <c r="C184" s="2">
        <v>0.39</v>
      </c>
      <c r="D184" s="2">
        <v>0.35820000000000002</v>
      </c>
      <c r="E184" s="2">
        <v>2</v>
      </c>
      <c r="F184" s="2">
        <v>35</v>
      </c>
      <c r="G184" s="16">
        <v>37</v>
      </c>
    </row>
    <row r="185" spans="1:7" ht="15" thickBot="1" x14ac:dyDescent="0.35">
      <c r="A185" s="2">
        <v>184</v>
      </c>
      <c r="B185" s="2">
        <v>0.1061</v>
      </c>
      <c r="C185" s="2">
        <v>0.36</v>
      </c>
      <c r="D185" s="2">
        <v>0.3881</v>
      </c>
      <c r="E185" s="2">
        <v>1</v>
      </c>
      <c r="F185" s="2">
        <v>33</v>
      </c>
      <c r="G185" s="16">
        <v>34</v>
      </c>
    </row>
    <row r="186" spans="1:7" ht="15" thickBot="1" x14ac:dyDescent="0.35">
      <c r="A186" s="2">
        <v>185</v>
      </c>
      <c r="B186" s="2">
        <v>6.0600000000000001E-2</v>
      </c>
      <c r="C186" s="2">
        <v>0.39</v>
      </c>
      <c r="D186" s="2">
        <v>0.44779999999999998</v>
      </c>
      <c r="E186" s="2">
        <v>0</v>
      </c>
      <c r="F186" s="2">
        <v>22</v>
      </c>
      <c r="G186" s="16">
        <v>22</v>
      </c>
    </row>
    <row r="187" spans="1:7" ht="15" thickBot="1" x14ac:dyDescent="0.35">
      <c r="A187" s="2">
        <v>186</v>
      </c>
      <c r="B187" s="2">
        <v>7.5800000000000006E-2</v>
      </c>
      <c r="C187" s="2">
        <v>0.42</v>
      </c>
      <c r="D187" s="2">
        <v>0.3881</v>
      </c>
      <c r="E187" s="2">
        <v>1</v>
      </c>
      <c r="F187" s="2">
        <v>24</v>
      </c>
      <c r="G187" s="16">
        <v>25</v>
      </c>
    </row>
    <row r="188" spans="1:7" ht="15" thickBot="1" x14ac:dyDescent="0.35">
      <c r="A188" s="2">
        <v>187</v>
      </c>
      <c r="B188" s="2">
        <v>6.0600000000000001E-2</v>
      </c>
      <c r="C188" s="2">
        <v>0.42</v>
      </c>
      <c r="D188" s="2">
        <v>0.4627</v>
      </c>
      <c r="E188" s="2">
        <v>0</v>
      </c>
      <c r="F188" s="2">
        <v>12</v>
      </c>
      <c r="G188" s="16">
        <v>12</v>
      </c>
    </row>
    <row r="189" spans="1:7" ht="15" thickBot="1" x14ac:dyDescent="0.35">
      <c r="A189" s="2">
        <v>188</v>
      </c>
      <c r="B189" s="2">
        <v>6.0600000000000001E-2</v>
      </c>
      <c r="C189" s="2">
        <v>0.46</v>
      </c>
      <c r="D189" s="2">
        <v>0.4627</v>
      </c>
      <c r="E189" s="2">
        <v>0</v>
      </c>
      <c r="F189" s="2">
        <v>11</v>
      </c>
      <c r="G189" s="16">
        <v>11</v>
      </c>
    </row>
    <row r="190" spans="1:7" ht="15" thickBot="1" x14ac:dyDescent="0.35">
      <c r="A190" s="2">
        <v>189</v>
      </c>
      <c r="B190" s="2">
        <v>7.5800000000000006E-2</v>
      </c>
      <c r="C190" s="2">
        <v>0.46</v>
      </c>
      <c r="D190" s="2">
        <v>0.41789999999999999</v>
      </c>
      <c r="E190" s="2">
        <v>0</v>
      </c>
      <c r="F190" s="2">
        <v>4</v>
      </c>
      <c r="G190" s="16">
        <v>4</v>
      </c>
    </row>
    <row r="191" spans="1:7" ht="15" thickBot="1" x14ac:dyDescent="0.35">
      <c r="A191" s="2">
        <v>190</v>
      </c>
      <c r="B191" s="2">
        <v>9.0899999999999995E-2</v>
      </c>
      <c r="C191" s="2">
        <v>0.53</v>
      </c>
      <c r="D191" s="2">
        <v>0.19400000000000001</v>
      </c>
      <c r="E191" s="2">
        <v>0</v>
      </c>
      <c r="F191" s="2">
        <v>1</v>
      </c>
      <c r="G191" s="16">
        <v>1</v>
      </c>
    </row>
    <row r="192" spans="1:7" ht="15" thickBot="1" x14ac:dyDescent="0.35">
      <c r="A192" s="2">
        <v>191</v>
      </c>
      <c r="B192" s="2">
        <v>9.0899999999999995E-2</v>
      </c>
      <c r="C192" s="2">
        <v>0.53</v>
      </c>
      <c r="D192" s="2">
        <v>0.19400000000000001</v>
      </c>
      <c r="E192" s="2">
        <v>0</v>
      </c>
      <c r="F192" s="2">
        <v>1</v>
      </c>
      <c r="G192" s="16">
        <v>1</v>
      </c>
    </row>
    <row r="193" spans="1:7" ht="15" thickBot="1" x14ac:dyDescent="0.35">
      <c r="A193" s="2">
        <v>192</v>
      </c>
      <c r="B193" s="2">
        <v>9.0899999999999995E-2</v>
      </c>
      <c r="C193" s="2">
        <v>0.49</v>
      </c>
      <c r="D193" s="2">
        <v>0.28360000000000002</v>
      </c>
      <c r="E193" s="2">
        <v>0</v>
      </c>
      <c r="F193" s="2">
        <v>1</v>
      </c>
      <c r="G193" s="16">
        <v>1</v>
      </c>
    </row>
    <row r="194" spans="1:7" ht="15" thickBot="1" x14ac:dyDescent="0.35">
      <c r="A194" s="2">
        <v>193</v>
      </c>
      <c r="B194" s="2">
        <v>9.0899999999999995E-2</v>
      </c>
      <c r="C194" s="2">
        <v>0.53</v>
      </c>
      <c r="D194" s="2">
        <v>0.19400000000000001</v>
      </c>
      <c r="E194" s="2">
        <v>1</v>
      </c>
      <c r="F194" s="2">
        <v>5</v>
      </c>
      <c r="G194" s="16">
        <v>6</v>
      </c>
    </row>
    <row r="195" spans="1:7" ht="15" thickBot="1" x14ac:dyDescent="0.35">
      <c r="A195" s="2">
        <v>194</v>
      </c>
      <c r="B195" s="2">
        <v>9.0899999999999995E-2</v>
      </c>
      <c r="C195" s="2">
        <v>0.49</v>
      </c>
      <c r="D195" s="2">
        <v>0.28360000000000002</v>
      </c>
      <c r="E195" s="2">
        <v>0</v>
      </c>
      <c r="F195" s="2">
        <v>10</v>
      </c>
      <c r="G195" s="16">
        <v>10</v>
      </c>
    </row>
    <row r="196" spans="1:7" ht="15" thickBot="1" x14ac:dyDescent="0.35">
      <c r="A196" s="2">
        <v>195</v>
      </c>
      <c r="B196" s="2">
        <v>7.5800000000000006E-2</v>
      </c>
      <c r="C196" s="2">
        <v>0.46</v>
      </c>
      <c r="D196" s="2">
        <v>0.52239999999999998</v>
      </c>
      <c r="E196" s="2">
        <v>0</v>
      </c>
      <c r="F196" s="2">
        <v>19</v>
      </c>
      <c r="G196" s="16">
        <v>19</v>
      </c>
    </row>
    <row r="197" spans="1:7" ht="15" thickBot="1" x14ac:dyDescent="0.35">
      <c r="A197" s="2">
        <v>196</v>
      </c>
      <c r="B197" s="2">
        <v>0.1061</v>
      </c>
      <c r="C197" s="2">
        <v>0.43</v>
      </c>
      <c r="D197" s="2">
        <v>0.3881</v>
      </c>
      <c r="E197" s="2">
        <v>0</v>
      </c>
      <c r="F197" s="2">
        <v>49</v>
      </c>
      <c r="G197" s="16">
        <v>49</v>
      </c>
    </row>
    <row r="198" spans="1:7" ht="15" thickBot="1" x14ac:dyDescent="0.35">
      <c r="A198" s="2">
        <v>197</v>
      </c>
      <c r="B198" s="2">
        <v>0.1212</v>
      </c>
      <c r="C198" s="2">
        <v>0.4</v>
      </c>
      <c r="D198" s="2">
        <v>0.52239999999999998</v>
      </c>
      <c r="E198" s="2">
        <v>2</v>
      </c>
      <c r="F198" s="2">
        <v>47</v>
      </c>
      <c r="G198" s="16">
        <v>49</v>
      </c>
    </row>
    <row r="199" spans="1:7" ht="15" thickBot="1" x14ac:dyDescent="0.35">
      <c r="A199" s="2">
        <v>198</v>
      </c>
      <c r="B199" s="2">
        <v>0.13639999999999999</v>
      </c>
      <c r="C199" s="2">
        <v>0.37</v>
      </c>
      <c r="D199" s="2">
        <v>0.44779999999999998</v>
      </c>
      <c r="E199" s="2">
        <v>4</v>
      </c>
      <c r="F199" s="2">
        <v>79</v>
      </c>
      <c r="G199" s="16">
        <v>83</v>
      </c>
    </row>
    <row r="200" spans="1:7" ht="15" thickBot="1" x14ac:dyDescent="0.35">
      <c r="A200" s="2">
        <v>199</v>
      </c>
      <c r="B200" s="2">
        <v>0.16669999999999999</v>
      </c>
      <c r="C200" s="2">
        <v>0.34</v>
      </c>
      <c r="D200" s="2">
        <v>0.44779999999999998</v>
      </c>
      <c r="E200" s="2">
        <v>6</v>
      </c>
      <c r="F200" s="2">
        <v>69</v>
      </c>
      <c r="G200" s="16">
        <v>75</v>
      </c>
    </row>
    <row r="201" spans="1:7" ht="15" thickBot="1" x14ac:dyDescent="0.35">
      <c r="A201" s="2">
        <v>200</v>
      </c>
      <c r="B201" s="2">
        <v>0.18179999999999999</v>
      </c>
      <c r="C201" s="2">
        <v>0.32</v>
      </c>
      <c r="D201" s="2">
        <v>0.4627</v>
      </c>
      <c r="E201" s="2">
        <v>8</v>
      </c>
      <c r="F201" s="2">
        <v>64</v>
      </c>
      <c r="G201" s="16">
        <v>72</v>
      </c>
    </row>
    <row r="202" spans="1:7" ht="15" thickBot="1" x14ac:dyDescent="0.35">
      <c r="A202" s="2">
        <v>201</v>
      </c>
      <c r="B202" s="2">
        <v>0.19700000000000001</v>
      </c>
      <c r="C202" s="2">
        <v>0.35</v>
      </c>
      <c r="D202" s="2">
        <v>0.35820000000000002</v>
      </c>
      <c r="E202" s="2">
        <v>5</v>
      </c>
      <c r="F202" s="2">
        <v>77</v>
      </c>
      <c r="G202" s="16">
        <v>82</v>
      </c>
    </row>
    <row r="203" spans="1:7" ht="15" thickBot="1" x14ac:dyDescent="0.35">
      <c r="A203" s="2">
        <v>202</v>
      </c>
      <c r="B203" s="2">
        <v>0.16669999999999999</v>
      </c>
      <c r="C203" s="2">
        <v>0.34</v>
      </c>
      <c r="D203" s="2">
        <v>0.44779999999999998</v>
      </c>
      <c r="E203" s="2">
        <v>13</v>
      </c>
      <c r="F203" s="2">
        <v>79</v>
      </c>
      <c r="G203" s="16">
        <v>92</v>
      </c>
    </row>
    <row r="204" spans="1:7" ht="15" thickBot="1" x14ac:dyDescent="0.35">
      <c r="A204" s="2">
        <v>203</v>
      </c>
      <c r="B204" s="2">
        <v>0.1515</v>
      </c>
      <c r="C204" s="2">
        <v>0.37</v>
      </c>
      <c r="D204" s="2">
        <v>0.3881</v>
      </c>
      <c r="E204" s="2">
        <v>3</v>
      </c>
      <c r="F204" s="2">
        <v>59</v>
      </c>
      <c r="G204" s="16">
        <v>62</v>
      </c>
    </row>
    <row r="205" spans="1:7" ht="15" thickBot="1" x14ac:dyDescent="0.35">
      <c r="A205" s="2">
        <v>204</v>
      </c>
      <c r="B205" s="2">
        <v>0.13639999999999999</v>
      </c>
      <c r="C205" s="2">
        <v>0.4</v>
      </c>
      <c r="D205" s="2">
        <v>0.32840000000000003</v>
      </c>
      <c r="E205" s="2">
        <v>4</v>
      </c>
      <c r="F205" s="2">
        <v>44</v>
      </c>
      <c r="G205" s="16">
        <v>48</v>
      </c>
    </row>
    <row r="206" spans="1:7" ht="15" thickBot="1" x14ac:dyDescent="0.35">
      <c r="A206" s="2">
        <v>205</v>
      </c>
      <c r="B206" s="2">
        <v>0.13639999999999999</v>
      </c>
      <c r="C206" s="2">
        <v>0.43</v>
      </c>
      <c r="D206" s="2">
        <v>0.32840000000000003</v>
      </c>
      <c r="E206" s="2">
        <v>1</v>
      </c>
      <c r="F206" s="2">
        <v>40</v>
      </c>
      <c r="G206" s="16">
        <v>41</v>
      </c>
    </row>
    <row r="207" spans="1:7" ht="15" thickBot="1" x14ac:dyDescent="0.35">
      <c r="A207" s="2">
        <v>206</v>
      </c>
      <c r="B207" s="2">
        <v>0.1212</v>
      </c>
      <c r="C207" s="2">
        <v>0.46</v>
      </c>
      <c r="D207" s="2">
        <v>0.25369999999999998</v>
      </c>
      <c r="E207" s="2">
        <v>0</v>
      </c>
      <c r="F207" s="2">
        <v>38</v>
      </c>
      <c r="G207" s="16">
        <v>38</v>
      </c>
    </row>
    <row r="208" spans="1:7" ht="15" thickBot="1" x14ac:dyDescent="0.35">
      <c r="A208" s="2">
        <v>207</v>
      </c>
      <c r="B208" s="2">
        <v>0.1061</v>
      </c>
      <c r="C208" s="2">
        <v>0.46</v>
      </c>
      <c r="D208" s="2">
        <v>0.41789999999999999</v>
      </c>
      <c r="E208" s="2">
        <v>1</v>
      </c>
      <c r="F208" s="2">
        <v>19</v>
      </c>
      <c r="G208" s="16">
        <v>20</v>
      </c>
    </row>
    <row r="209" spans="1:7" ht="15" thickBot="1" x14ac:dyDescent="0.35">
      <c r="A209" s="2">
        <v>208</v>
      </c>
      <c r="B209" s="2">
        <v>0.1212</v>
      </c>
      <c r="C209" s="2">
        <v>0.46</v>
      </c>
      <c r="D209" s="2">
        <v>0.29849999999999999</v>
      </c>
      <c r="E209" s="2">
        <v>5</v>
      </c>
      <c r="F209" s="2">
        <v>10</v>
      </c>
      <c r="G209" s="16">
        <v>15</v>
      </c>
    </row>
    <row r="210" spans="1:7" ht="15" thickBot="1" x14ac:dyDescent="0.35">
      <c r="A210" s="2">
        <v>209</v>
      </c>
      <c r="B210" s="2">
        <v>0.13639999999999999</v>
      </c>
      <c r="C210" s="2">
        <v>0.5</v>
      </c>
      <c r="D210" s="2">
        <v>0.19400000000000001</v>
      </c>
      <c r="E210" s="2">
        <v>0</v>
      </c>
      <c r="F210" s="2">
        <v>6</v>
      </c>
      <c r="G210" s="16">
        <v>6</v>
      </c>
    </row>
    <row r="211" spans="1:7" ht="15" thickBot="1" x14ac:dyDescent="0.35">
      <c r="A211" s="2">
        <v>210</v>
      </c>
      <c r="B211" s="2">
        <v>0.1212</v>
      </c>
      <c r="C211" s="2">
        <v>0.5</v>
      </c>
      <c r="D211" s="2">
        <v>0.28360000000000002</v>
      </c>
      <c r="E211" s="2">
        <v>2</v>
      </c>
      <c r="F211" s="2">
        <v>3</v>
      </c>
      <c r="G211" s="16">
        <v>5</v>
      </c>
    </row>
    <row r="212" spans="1:7" ht="15" thickBot="1" x14ac:dyDescent="0.35">
      <c r="A212" s="2">
        <v>211</v>
      </c>
      <c r="B212" s="2">
        <v>0.1212</v>
      </c>
      <c r="C212" s="2">
        <v>0.5</v>
      </c>
      <c r="D212" s="2">
        <v>0.28360000000000002</v>
      </c>
      <c r="E212" s="2">
        <v>1</v>
      </c>
      <c r="F212" s="2">
        <v>0</v>
      </c>
      <c r="G212" s="16">
        <v>1</v>
      </c>
    </row>
    <row r="213" spans="1:7" ht="15" thickBot="1" x14ac:dyDescent="0.35">
      <c r="A213" s="2">
        <v>212</v>
      </c>
      <c r="B213" s="2">
        <v>0.1212</v>
      </c>
      <c r="C213" s="2">
        <v>0.5</v>
      </c>
      <c r="D213" s="2">
        <v>0.22389999999999999</v>
      </c>
      <c r="E213" s="2">
        <v>0</v>
      </c>
      <c r="F213" s="2">
        <v>3</v>
      </c>
      <c r="G213" s="16">
        <v>3</v>
      </c>
    </row>
    <row r="214" spans="1:7" ht="15" thickBot="1" x14ac:dyDescent="0.35">
      <c r="A214" s="2">
        <v>213</v>
      </c>
      <c r="B214" s="2">
        <v>0.1212</v>
      </c>
      <c r="C214" s="2">
        <v>0.5</v>
      </c>
      <c r="D214" s="2">
        <v>0.22389999999999999</v>
      </c>
      <c r="E214" s="2">
        <v>0</v>
      </c>
      <c r="F214" s="2">
        <v>1</v>
      </c>
      <c r="G214" s="16">
        <v>1</v>
      </c>
    </row>
    <row r="215" spans="1:7" ht="15" thickBot="1" x14ac:dyDescent="0.35">
      <c r="A215" s="2">
        <v>214</v>
      </c>
      <c r="B215" s="2">
        <v>0.1212</v>
      </c>
      <c r="C215" s="2">
        <v>0.54</v>
      </c>
      <c r="D215" s="2">
        <v>0.1343</v>
      </c>
      <c r="E215" s="2">
        <v>1</v>
      </c>
      <c r="F215" s="2">
        <v>2</v>
      </c>
      <c r="G215" s="16">
        <v>3</v>
      </c>
    </row>
    <row r="216" spans="1:7" ht="15" thickBot="1" x14ac:dyDescent="0.35">
      <c r="A216" s="2">
        <v>215</v>
      </c>
      <c r="B216" s="2">
        <v>0.1061</v>
      </c>
      <c r="C216" s="2">
        <v>0.54</v>
      </c>
      <c r="D216" s="2">
        <v>0.25369999999999998</v>
      </c>
      <c r="E216" s="2">
        <v>0</v>
      </c>
      <c r="F216" s="2">
        <v>3</v>
      </c>
      <c r="G216" s="16">
        <v>3</v>
      </c>
    </row>
    <row r="217" spans="1:7" ht="15" thickBot="1" x14ac:dyDescent="0.35">
      <c r="A217" s="2">
        <v>216</v>
      </c>
      <c r="B217" s="2">
        <v>0.1212</v>
      </c>
      <c r="C217" s="2">
        <v>0.5</v>
      </c>
      <c r="D217" s="2">
        <v>0.28360000000000002</v>
      </c>
      <c r="E217" s="2">
        <v>0</v>
      </c>
      <c r="F217" s="2">
        <v>31</v>
      </c>
      <c r="G217" s="16">
        <v>31</v>
      </c>
    </row>
    <row r="218" spans="1:7" ht="15" thickBot="1" x14ac:dyDescent="0.35">
      <c r="A218" s="2">
        <v>217</v>
      </c>
      <c r="B218" s="2">
        <v>0.1212</v>
      </c>
      <c r="C218" s="2">
        <v>0.5</v>
      </c>
      <c r="D218" s="2">
        <v>0.22389999999999999</v>
      </c>
      <c r="E218" s="2">
        <v>2</v>
      </c>
      <c r="F218" s="2">
        <v>75</v>
      </c>
      <c r="G218" s="16">
        <v>77</v>
      </c>
    </row>
    <row r="219" spans="1:7" ht="15" thickBot="1" x14ac:dyDescent="0.35">
      <c r="A219" s="2">
        <v>218</v>
      </c>
      <c r="B219" s="2">
        <v>0.1212</v>
      </c>
      <c r="C219" s="2">
        <v>0.5</v>
      </c>
      <c r="D219" s="2">
        <v>0.28360000000000002</v>
      </c>
      <c r="E219" s="2">
        <v>4</v>
      </c>
      <c r="F219" s="2">
        <v>184</v>
      </c>
      <c r="G219" s="16">
        <v>188</v>
      </c>
    </row>
    <row r="220" spans="1:7" ht="15" thickBot="1" x14ac:dyDescent="0.35">
      <c r="A220" s="2">
        <v>219</v>
      </c>
      <c r="B220" s="2">
        <v>0.1212</v>
      </c>
      <c r="C220" s="2">
        <v>0.5</v>
      </c>
      <c r="D220" s="2">
        <v>0.25369999999999998</v>
      </c>
      <c r="E220" s="2">
        <v>2</v>
      </c>
      <c r="F220" s="2">
        <v>92</v>
      </c>
      <c r="G220" s="16">
        <v>94</v>
      </c>
    </row>
    <row r="221" spans="1:7" ht="15" thickBot="1" x14ac:dyDescent="0.35">
      <c r="A221" s="2">
        <v>220</v>
      </c>
      <c r="B221" s="2">
        <v>0.1212</v>
      </c>
      <c r="C221" s="2">
        <v>0.5</v>
      </c>
      <c r="D221" s="2">
        <v>0.29849999999999999</v>
      </c>
      <c r="E221" s="2">
        <v>0</v>
      </c>
      <c r="F221" s="2">
        <v>31</v>
      </c>
      <c r="G221" s="16">
        <v>31</v>
      </c>
    </row>
    <row r="222" spans="1:7" ht="15" thickBot="1" x14ac:dyDescent="0.35">
      <c r="A222" s="2">
        <v>221</v>
      </c>
      <c r="B222" s="2">
        <v>0.13639999999999999</v>
      </c>
      <c r="C222" s="2">
        <v>0.47</v>
      </c>
      <c r="D222" s="2">
        <v>0.28360000000000002</v>
      </c>
      <c r="E222" s="2">
        <v>2</v>
      </c>
      <c r="F222" s="2">
        <v>28</v>
      </c>
      <c r="G222" s="16">
        <v>30</v>
      </c>
    </row>
    <row r="223" spans="1:7" ht="15" thickBot="1" x14ac:dyDescent="0.35">
      <c r="A223" s="2">
        <v>222</v>
      </c>
      <c r="B223" s="2">
        <v>0.18179999999999999</v>
      </c>
      <c r="C223" s="2">
        <v>0.4</v>
      </c>
      <c r="D223" s="2">
        <v>0.28360000000000002</v>
      </c>
      <c r="E223" s="2">
        <v>5</v>
      </c>
      <c r="F223" s="2">
        <v>47</v>
      </c>
      <c r="G223" s="16">
        <v>52</v>
      </c>
    </row>
    <row r="224" spans="1:7" ht="15" thickBot="1" x14ac:dyDescent="0.35">
      <c r="A224" s="2">
        <v>223</v>
      </c>
      <c r="B224" s="2">
        <v>0.18179999999999999</v>
      </c>
      <c r="C224" s="2">
        <v>0.4</v>
      </c>
      <c r="D224" s="2">
        <v>0.28360000000000002</v>
      </c>
      <c r="E224" s="2">
        <v>4</v>
      </c>
      <c r="F224" s="2">
        <v>50</v>
      </c>
      <c r="G224" s="16">
        <v>54</v>
      </c>
    </row>
    <row r="225" spans="1:7" ht="15" thickBot="1" x14ac:dyDescent="0.35">
      <c r="A225" s="2">
        <v>224</v>
      </c>
      <c r="B225" s="2">
        <v>0.19700000000000001</v>
      </c>
      <c r="C225" s="2">
        <v>0.4</v>
      </c>
      <c r="D225" s="2">
        <v>0.22389999999999999</v>
      </c>
      <c r="E225" s="2">
        <v>0</v>
      </c>
      <c r="F225" s="2">
        <v>47</v>
      </c>
      <c r="G225" s="16">
        <v>47</v>
      </c>
    </row>
    <row r="226" spans="1:7" ht="15" thickBot="1" x14ac:dyDescent="0.35">
      <c r="A226" s="2">
        <v>225</v>
      </c>
      <c r="B226" s="2">
        <v>0.19700000000000001</v>
      </c>
      <c r="C226" s="2">
        <v>0.4</v>
      </c>
      <c r="D226" s="2">
        <v>0.22389999999999999</v>
      </c>
      <c r="E226" s="2">
        <v>2</v>
      </c>
      <c r="F226" s="2">
        <v>43</v>
      </c>
      <c r="G226" s="16">
        <v>45</v>
      </c>
    </row>
    <row r="227" spans="1:7" ht="15" thickBot="1" x14ac:dyDescent="0.35">
      <c r="A227" s="2">
        <v>226</v>
      </c>
      <c r="B227" s="2">
        <v>0.21210000000000001</v>
      </c>
      <c r="C227" s="2">
        <v>0.4</v>
      </c>
      <c r="D227" s="2">
        <v>0.1343</v>
      </c>
      <c r="E227" s="2">
        <v>4</v>
      </c>
      <c r="F227" s="2">
        <v>70</v>
      </c>
      <c r="G227" s="16">
        <v>74</v>
      </c>
    </row>
    <row r="228" spans="1:7" ht="15" thickBot="1" x14ac:dyDescent="0.35">
      <c r="A228" s="2">
        <v>227</v>
      </c>
      <c r="B228" s="2">
        <v>0.2273</v>
      </c>
      <c r="C228" s="2">
        <v>0.4</v>
      </c>
      <c r="D228" s="2">
        <v>0.1045</v>
      </c>
      <c r="E228" s="2">
        <v>4</v>
      </c>
      <c r="F228" s="2">
        <v>174</v>
      </c>
      <c r="G228" s="16">
        <v>178</v>
      </c>
    </row>
    <row r="229" spans="1:7" ht="15" thickBot="1" x14ac:dyDescent="0.35">
      <c r="A229" s="2">
        <v>228</v>
      </c>
      <c r="B229" s="2">
        <v>0.19700000000000001</v>
      </c>
      <c r="C229" s="2">
        <v>0.4</v>
      </c>
      <c r="D229" s="2">
        <v>0.22389999999999999</v>
      </c>
      <c r="E229" s="2">
        <v>1</v>
      </c>
      <c r="F229" s="2">
        <v>154</v>
      </c>
      <c r="G229" s="16">
        <v>155</v>
      </c>
    </row>
    <row r="230" spans="1:7" ht="15" thickBot="1" x14ac:dyDescent="0.35">
      <c r="A230" s="2">
        <v>229</v>
      </c>
      <c r="B230" s="2">
        <v>0.16669999999999999</v>
      </c>
      <c r="C230" s="2">
        <v>0.47</v>
      </c>
      <c r="D230" s="2">
        <v>0.16420000000000001</v>
      </c>
      <c r="E230" s="2">
        <v>3</v>
      </c>
      <c r="F230" s="2">
        <v>92</v>
      </c>
      <c r="G230" s="16">
        <v>95</v>
      </c>
    </row>
    <row r="231" spans="1:7" ht="15" thickBot="1" x14ac:dyDescent="0.35">
      <c r="A231" s="2">
        <v>230</v>
      </c>
      <c r="B231" s="2">
        <v>0.16669999999999999</v>
      </c>
      <c r="C231" s="2">
        <v>0.5</v>
      </c>
      <c r="D231" s="2">
        <v>0.16420000000000001</v>
      </c>
      <c r="E231" s="2">
        <v>1</v>
      </c>
      <c r="F231" s="2">
        <v>73</v>
      </c>
      <c r="G231" s="16">
        <v>74</v>
      </c>
    </row>
    <row r="232" spans="1:7" ht="15" thickBot="1" x14ac:dyDescent="0.35">
      <c r="A232" s="2">
        <v>231</v>
      </c>
      <c r="B232" s="2">
        <v>0.13639999999999999</v>
      </c>
      <c r="C232" s="2">
        <v>0.59</v>
      </c>
      <c r="D232" s="2">
        <v>0.19400000000000001</v>
      </c>
      <c r="E232" s="2">
        <v>1</v>
      </c>
      <c r="F232" s="2">
        <v>37</v>
      </c>
      <c r="G232" s="16">
        <v>38</v>
      </c>
    </row>
    <row r="233" spans="1:7" ht="15" thickBot="1" x14ac:dyDescent="0.35">
      <c r="A233" s="2">
        <v>232</v>
      </c>
      <c r="B233" s="2">
        <v>0.1515</v>
      </c>
      <c r="C233" s="2">
        <v>0.59</v>
      </c>
      <c r="D233" s="2">
        <v>0.16420000000000001</v>
      </c>
      <c r="E233" s="2">
        <v>2</v>
      </c>
      <c r="F233" s="2">
        <v>22</v>
      </c>
      <c r="G233" s="16">
        <v>24</v>
      </c>
    </row>
    <row r="234" spans="1:7" ht="15" thickBot="1" x14ac:dyDescent="0.35">
      <c r="A234" s="2">
        <v>233</v>
      </c>
      <c r="B234" s="2">
        <v>0.1515</v>
      </c>
      <c r="C234" s="2">
        <v>0.59</v>
      </c>
      <c r="D234" s="2">
        <v>0.16420000000000001</v>
      </c>
      <c r="E234" s="2">
        <v>0</v>
      </c>
      <c r="F234" s="2">
        <v>18</v>
      </c>
      <c r="G234" s="16">
        <v>18</v>
      </c>
    </row>
    <row r="235" spans="1:7" ht="15" thickBot="1" x14ac:dyDescent="0.35">
      <c r="A235" s="2">
        <v>234</v>
      </c>
      <c r="B235" s="2">
        <v>0.16669999999999999</v>
      </c>
      <c r="C235" s="2">
        <v>0.59</v>
      </c>
      <c r="D235" s="2">
        <v>0.1045</v>
      </c>
      <c r="E235" s="2">
        <v>2</v>
      </c>
      <c r="F235" s="2">
        <v>10</v>
      </c>
      <c r="G235" s="16">
        <v>12</v>
      </c>
    </row>
    <row r="236" spans="1:7" ht="15" thickBot="1" x14ac:dyDescent="0.35">
      <c r="A236" s="2">
        <v>235</v>
      </c>
      <c r="B236" s="2">
        <v>0.1515</v>
      </c>
      <c r="C236" s="2">
        <v>0.59</v>
      </c>
      <c r="D236" s="2">
        <v>0.16420000000000001</v>
      </c>
      <c r="E236" s="2">
        <v>0</v>
      </c>
      <c r="F236" s="2">
        <v>3</v>
      </c>
      <c r="G236" s="16">
        <v>3</v>
      </c>
    </row>
    <row r="237" spans="1:7" ht="15" thickBot="1" x14ac:dyDescent="0.35">
      <c r="A237" s="2">
        <v>236</v>
      </c>
      <c r="B237" s="2">
        <v>0.1515</v>
      </c>
      <c r="C237" s="2">
        <v>0.55000000000000004</v>
      </c>
      <c r="D237" s="2">
        <v>0.19400000000000001</v>
      </c>
      <c r="E237" s="2">
        <v>0</v>
      </c>
      <c r="F237" s="2">
        <v>3</v>
      </c>
      <c r="G237" s="16">
        <v>3</v>
      </c>
    </row>
    <row r="238" spans="1:7" ht="15" thickBot="1" x14ac:dyDescent="0.35">
      <c r="A238" s="2">
        <v>237</v>
      </c>
      <c r="B238" s="2">
        <v>0.18179999999999999</v>
      </c>
      <c r="C238" s="2">
        <v>0.55000000000000004</v>
      </c>
      <c r="D238" s="2">
        <v>0.1343</v>
      </c>
      <c r="E238" s="2">
        <v>0</v>
      </c>
      <c r="F238" s="2">
        <v>6</v>
      </c>
      <c r="G238" s="16">
        <v>6</v>
      </c>
    </row>
    <row r="239" spans="1:7" ht="15" thickBot="1" x14ac:dyDescent="0.35">
      <c r="A239" s="2">
        <v>238</v>
      </c>
      <c r="B239" s="2">
        <v>0.18179999999999999</v>
      </c>
      <c r="C239" s="2">
        <v>0.55000000000000004</v>
      </c>
      <c r="D239" s="2">
        <v>0.1343</v>
      </c>
      <c r="E239" s="2">
        <v>0</v>
      </c>
      <c r="F239" s="2">
        <v>27</v>
      </c>
      <c r="G239" s="16">
        <v>27</v>
      </c>
    </row>
    <row r="240" spans="1:7" ht="15" thickBot="1" x14ac:dyDescent="0.35">
      <c r="A240" s="2">
        <v>239</v>
      </c>
      <c r="B240" s="2">
        <v>0.2273</v>
      </c>
      <c r="C240" s="2">
        <v>0.55000000000000004</v>
      </c>
      <c r="D240" s="2">
        <v>0</v>
      </c>
      <c r="E240" s="2">
        <v>2</v>
      </c>
      <c r="F240" s="2">
        <v>97</v>
      </c>
      <c r="G240" s="16">
        <v>99</v>
      </c>
    </row>
    <row r="241" spans="1:7" ht="15" thickBot="1" x14ac:dyDescent="0.35">
      <c r="A241" s="2">
        <v>240</v>
      </c>
      <c r="B241" s="2">
        <v>0.21210000000000001</v>
      </c>
      <c r="C241" s="2">
        <v>0.51</v>
      </c>
      <c r="D241" s="2">
        <v>8.9599999999999999E-2</v>
      </c>
      <c r="E241" s="2">
        <v>3</v>
      </c>
      <c r="F241" s="2">
        <v>214</v>
      </c>
      <c r="G241" s="16">
        <v>217</v>
      </c>
    </row>
    <row r="242" spans="1:7" ht="15" thickBot="1" x14ac:dyDescent="0.35">
      <c r="A242" s="2">
        <v>241</v>
      </c>
      <c r="B242" s="2">
        <v>0.19700000000000001</v>
      </c>
      <c r="C242" s="2">
        <v>0.51</v>
      </c>
      <c r="D242" s="2">
        <v>0.16420000000000001</v>
      </c>
      <c r="E242" s="2">
        <v>3</v>
      </c>
      <c r="F242" s="2">
        <v>127</v>
      </c>
      <c r="G242" s="16">
        <v>130</v>
      </c>
    </row>
    <row r="243" spans="1:7" ht="15" thickBot="1" x14ac:dyDescent="0.35">
      <c r="A243" s="2">
        <v>242</v>
      </c>
      <c r="B243" s="2">
        <v>0.21210000000000001</v>
      </c>
      <c r="C243" s="2">
        <v>0.51</v>
      </c>
      <c r="D243" s="2">
        <v>0.16420000000000001</v>
      </c>
      <c r="E243" s="2">
        <v>3</v>
      </c>
      <c r="F243" s="2">
        <v>51</v>
      </c>
      <c r="G243" s="16">
        <v>54</v>
      </c>
    </row>
    <row r="244" spans="1:7" ht="15" thickBot="1" x14ac:dyDescent="0.35">
      <c r="A244" s="2">
        <v>243</v>
      </c>
      <c r="B244" s="2">
        <v>0.21210000000000001</v>
      </c>
      <c r="C244" s="2">
        <v>0.47</v>
      </c>
      <c r="D244" s="2">
        <v>0.1343</v>
      </c>
      <c r="E244" s="2">
        <v>4</v>
      </c>
      <c r="F244" s="2">
        <v>31</v>
      </c>
      <c r="G244" s="16">
        <v>35</v>
      </c>
    </row>
    <row r="245" spans="1:7" ht="15" thickBot="1" x14ac:dyDescent="0.35">
      <c r="A245" s="2">
        <v>244</v>
      </c>
      <c r="B245" s="2">
        <v>0.2273</v>
      </c>
      <c r="C245" s="2">
        <v>0.51</v>
      </c>
      <c r="D245" s="2">
        <v>0.1045</v>
      </c>
      <c r="E245" s="2">
        <v>2</v>
      </c>
      <c r="F245" s="2">
        <v>55</v>
      </c>
      <c r="G245" s="16">
        <v>57</v>
      </c>
    </row>
    <row r="246" spans="1:7" ht="15" thickBot="1" x14ac:dyDescent="0.35">
      <c r="A246" s="2">
        <v>245</v>
      </c>
      <c r="B246" s="2">
        <v>0.2273</v>
      </c>
      <c r="C246" s="2">
        <v>0.59</v>
      </c>
      <c r="D246" s="2">
        <v>8.9599999999999999E-2</v>
      </c>
      <c r="E246" s="2">
        <v>6</v>
      </c>
      <c r="F246" s="2">
        <v>46</v>
      </c>
      <c r="G246" s="16">
        <v>52</v>
      </c>
    </row>
    <row r="247" spans="1:7" ht="15" thickBot="1" x14ac:dyDescent="0.35">
      <c r="A247" s="2">
        <v>246</v>
      </c>
      <c r="B247" s="2">
        <v>0.2273</v>
      </c>
      <c r="C247" s="2">
        <v>0.59</v>
      </c>
      <c r="D247" s="2">
        <v>8.9599999999999999E-2</v>
      </c>
      <c r="E247" s="2">
        <v>3</v>
      </c>
      <c r="F247" s="2">
        <v>60</v>
      </c>
      <c r="G247" s="16">
        <v>63</v>
      </c>
    </row>
    <row r="248" spans="1:7" ht="15" thickBot="1" x14ac:dyDescent="0.35">
      <c r="A248" s="2">
        <v>247</v>
      </c>
      <c r="B248" s="2">
        <v>0.19700000000000001</v>
      </c>
      <c r="C248" s="2">
        <v>0.8</v>
      </c>
      <c r="D248" s="2">
        <v>8.9599999999999999E-2</v>
      </c>
      <c r="E248" s="2">
        <v>2</v>
      </c>
      <c r="F248" s="2">
        <v>45</v>
      </c>
      <c r="G248" s="16">
        <v>47</v>
      </c>
    </row>
    <row r="249" spans="1:7" ht="15" thickBot="1" x14ac:dyDescent="0.35">
      <c r="A249" s="2">
        <v>248</v>
      </c>
      <c r="B249" s="2">
        <v>0.1515</v>
      </c>
      <c r="C249" s="2">
        <v>0.86</v>
      </c>
      <c r="D249" s="2">
        <v>0.22389999999999999</v>
      </c>
      <c r="E249" s="2">
        <v>4</v>
      </c>
      <c r="F249" s="2">
        <v>72</v>
      </c>
      <c r="G249" s="16">
        <v>76</v>
      </c>
    </row>
    <row r="250" spans="1:7" ht="15" thickBot="1" x14ac:dyDescent="0.35">
      <c r="A250" s="2">
        <v>249</v>
      </c>
      <c r="B250" s="2">
        <v>0.1515</v>
      </c>
      <c r="C250" s="2">
        <v>0.86</v>
      </c>
      <c r="D250" s="2">
        <v>0.22389999999999999</v>
      </c>
      <c r="E250" s="2">
        <v>6</v>
      </c>
      <c r="F250" s="2">
        <v>130</v>
      </c>
      <c r="G250" s="16">
        <v>136</v>
      </c>
    </row>
    <row r="251" spans="1:7" ht="15" thickBot="1" x14ac:dyDescent="0.35">
      <c r="A251" s="2">
        <v>250</v>
      </c>
      <c r="B251" s="2">
        <v>0.18179999999999999</v>
      </c>
      <c r="C251" s="2">
        <v>0.93</v>
      </c>
      <c r="D251" s="2">
        <v>0.1045</v>
      </c>
      <c r="E251" s="2">
        <v>1</v>
      </c>
      <c r="F251" s="2">
        <v>94</v>
      </c>
      <c r="G251" s="16">
        <v>95</v>
      </c>
    </row>
    <row r="252" spans="1:7" ht="15" thickBot="1" x14ac:dyDescent="0.35">
      <c r="A252" s="2">
        <v>251</v>
      </c>
      <c r="B252" s="2">
        <v>0.2273</v>
      </c>
      <c r="C252" s="2">
        <v>0.93</v>
      </c>
      <c r="D252" s="2">
        <v>0</v>
      </c>
      <c r="E252" s="2">
        <v>0</v>
      </c>
      <c r="F252" s="2">
        <v>51</v>
      </c>
      <c r="G252" s="16">
        <v>51</v>
      </c>
    </row>
    <row r="253" spans="1:7" ht="15" thickBot="1" x14ac:dyDescent="0.35">
      <c r="A253" s="2">
        <v>252</v>
      </c>
      <c r="B253" s="2">
        <v>0.1515</v>
      </c>
      <c r="C253" s="2">
        <v>0.93</v>
      </c>
      <c r="D253" s="2">
        <v>0.19400000000000001</v>
      </c>
      <c r="E253" s="2">
        <v>0</v>
      </c>
      <c r="F253" s="2">
        <v>32</v>
      </c>
      <c r="G253" s="16">
        <v>32</v>
      </c>
    </row>
    <row r="254" spans="1:7" ht="15" thickBot="1" x14ac:dyDescent="0.35">
      <c r="A254" s="2">
        <v>253</v>
      </c>
      <c r="B254" s="2">
        <v>0.19700000000000001</v>
      </c>
      <c r="C254" s="2">
        <v>0.86</v>
      </c>
      <c r="D254" s="2">
        <v>8.9599999999999999E-2</v>
      </c>
      <c r="E254" s="2">
        <v>0</v>
      </c>
      <c r="F254" s="2">
        <v>20</v>
      </c>
      <c r="G254" s="16">
        <v>20</v>
      </c>
    </row>
    <row r="255" spans="1:7" ht="15" thickBot="1" x14ac:dyDescent="0.35">
      <c r="A255" s="2">
        <v>254</v>
      </c>
      <c r="B255" s="2">
        <v>0.18179999999999999</v>
      </c>
      <c r="C255" s="2">
        <v>0.93</v>
      </c>
      <c r="D255" s="2">
        <v>0.1045</v>
      </c>
      <c r="E255" s="2">
        <v>1</v>
      </c>
      <c r="F255" s="2">
        <v>28</v>
      </c>
      <c r="G255" s="16">
        <v>29</v>
      </c>
    </row>
    <row r="256" spans="1:7" ht="15" thickBot="1" x14ac:dyDescent="0.35">
      <c r="A256" s="2">
        <v>255</v>
      </c>
      <c r="B256" s="2">
        <v>0.19700000000000001</v>
      </c>
      <c r="C256" s="2">
        <v>0.93</v>
      </c>
      <c r="D256" s="2">
        <v>8.9599999999999999E-2</v>
      </c>
      <c r="E256" s="2">
        <v>1</v>
      </c>
      <c r="F256" s="2">
        <v>18</v>
      </c>
      <c r="G256" s="16">
        <v>19</v>
      </c>
    </row>
    <row r="257" spans="1:7" ht="15" thickBot="1" x14ac:dyDescent="0.35">
      <c r="A257" s="2">
        <v>256</v>
      </c>
      <c r="B257" s="2">
        <v>0.19700000000000001</v>
      </c>
      <c r="C257" s="2">
        <v>0.86</v>
      </c>
      <c r="D257" s="2">
        <v>8.9599999999999999E-2</v>
      </c>
      <c r="E257" s="2">
        <v>0</v>
      </c>
      <c r="F257" s="2">
        <v>7</v>
      </c>
      <c r="G257" s="16">
        <v>7</v>
      </c>
    </row>
    <row r="258" spans="1:7" ht="15" thickBot="1" x14ac:dyDescent="0.35">
      <c r="A258" s="2">
        <v>257</v>
      </c>
      <c r="B258" s="2">
        <v>0.18179999999999999</v>
      </c>
      <c r="C258" s="2">
        <v>0.86</v>
      </c>
      <c r="D258" s="2">
        <v>0.1045</v>
      </c>
      <c r="E258" s="2">
        <v>0</v>
      </c>
      <c r="F258" s="2">
        <v>6</v>
      </c>
      <c r="G258" s="16">
        <v>6</v>
      </c>
    </row>
    <row r="259" spans="1:7" ht="15" thickBot="1" x14ac:dyDescent="0.35">
      <c r="A259" s="2">
        <v>258</v>
      </c>
      <c r="B259" s="2">
        <v>0.1515</v>
      </c>
      <c r="C259" s="2">
        <v>0.86</v>
      </c>
      <c r="D259" s="2">
        <v>0.1343</v>
      </c>
      <c r="E259" s="2">
        <v>0</v>
      </c>
      <c r="F259" s="2">
        <v>1</v>
      </c>
      <c r="G259" s="16">
        <v>1</v>
      </c>
    </row>
    <row r="260" spans="1:7" ht="15" thickBot="1" x14ac:dyDescent="0.35">
      <c r="A260" s="2">
        <v>259</v>
      </c>
      <c r="B260" s="2">
        <v>0.1515</v>
      </c>
      <c r="C260" s="2">
        <v>0.86</v>
      </c>
      <c r="D260" s="2">
        <v>0.16420000000000001</v>
      </c>
      <c r="E260" s="2">
        <v>0</v>
      </c>
      <c r="F260" s="2">
        <v>5</v>
      </c>
      <c r="G260" s="16">
        <v>5</v>
      </c>
    </row>
    <row r="261" spans="1:7" ht="15" thickBot="1" x14ac:dyDescent="0.35">
      <c r="A261" s="2">
        <v>260</v>
      </c>
      <c r="B261" s="2">
        <v>0.1515</v>
      </c>
      <c r="C261" s="2">
        <v>0.93</v>
      </c>
      <c r="D261" s="2">
        <v>0.1343</v>
      </c>
      <c r="E261" s="2">
        <v>0</v>
      </c>
      <c r="F261" s="2">
        <v>16</v>
      </c>
      <c r="G261" s="16">
        <v>16</v>
      </c>
    </row>
    <row r="262" spans="1:7" ht="15" thickBot="1" x14ac:dyDescent="0.35">
      <c r="A262" s="2">
        <v>261</v>
      </c>
      <c r="B262" s="2">
        <v>0.1515</v>
      </c>
      <c r="C262" s="2">
        <v>0.69</v>
      </c>
      <c r="D262" s="2">
        <v>0.1343</v>
      </c>
      <c r="E262" s="2">
        <v>0</v>
      </c>
      <c r="F262" s="2">
        <v>54</v>
      </c>
      <c r="G262" s="16">
        <v>54</v>
      </c>
    </row>
    <row r="263" spans="1:7" ht="15" thickBot="1" x14ac:dyDescent="0.35">
      <c r="A263" s="2">
        <v>262</v>
      </c>
      <c r="B263" s="2">
        <v>0.16669999999999999</v>
      </c>
      <c r="C263" s="2">
        <v>0.59</v>
      </c>
      <c r="D263" s="2">
        <v>0.16420000000000001</v>
      </c>
      <c r="E263" s="2">
        <v>3</v>
      </c>
      <c r="F263" s="2">
        <v>125</v>
      </c>
      <c r="G263" s="16">
        <v>128</v>
      </c>
    </row>
    <row r="264" spans="1:7" ht="15" thickBot="1" x14ac:dyDescent="0.35">
      <c r="A264" s="2">
        <v>263</v>
      </c>
      <c r="B264" s="2">
        <v>0.13639999999999999</v>
      </c>
      <c r="C264" s="2">
        <v>0.59</v>
      </c>
      <c r="D264" s="2">
        <v>0.32840000000000003</v>
      </c>
      <c r="E264" s="2">
        <v>3</v>
      </c>
      <c r="F264" s="2">
        <v>78</v>
      </c>
      <c r="G264" s="16">
        <v>81</v>
      </c>
    </row>
    <row r="265" spans="1:7" ht="15" thickBot="1" x14ac:dyDescent="0.35">
      <c r="A265" s="2">
        <v>264</v>
      </c>
      <c r="B265" s="2">
        <v>0.18179999999999999</v>
      </c>
      <c r="C265" s="2">
        <v>0.55000000000000004</v>
      </c>
      <c r="D265" s="2">
        <v>0.22389999999999999</v>
      </c>
      <c r="E265" s="2">
        <v>0</v>
      </c>
      <c r="F265" s="2">
        <v>39</v>
      </c>
      <c r="G265" s="16">
        <v>39</v>
      </c>
    </row>
    <row r="266" spans="1:7" ht="15" thickBot="1" x14ac:dyDescent="0.35">
      <c r="A266" s="2">
        <v>265</v>
      </c>
      <c r="B266" s="2">
        <v>0.18179999999999999</v>
      </c>
      <c r="C266" s="2">
        <v>0.51</v>
      </c>
      <c r="D266" s="2">
        <v>0.3881</v>
      </c>
      <c r="E266" s="2">
        <v>3</v>
      </c>
      <c r="F266" s="2">
        <v>32</v>
      </c>
      <c r="G266" s="16">
        <v>35</v>
      </c>
    </row>
    <row r="267" spans="1:7" ht="15" thickBot="1" x14ac:dyDescent="0.35">
      <c r="A267" s="2">
        <v>266</v>
      </c>
      <c r="B267" s="2">
        <v>0.1515</v>
      </c>
      <c r="C267" s="2">
        <v>0.47</v>
      </c>
      <c r="D267" s="2">
        <v>0.58209999999999995</v>
      </c>
      <c r="E267" s="2">
        <v>3</v>
      </c>
      <c r="F267" s="2">
        <v>52</v>
      </c>
      <c r="G267" s="16">
        <v>55</v>
      </c>
    </row>
    <row r="268" spans="1:7" ht="15" thickBot="1" x14ac:dyDescent="0.35">
      <c r="A268" s="2">
        <v>267</v>
      </c>
      <c r="B268" s="2">
        <v>0.19700000000000001</v>
      </c>
      <c r="C268" s="2">
        <v>0.44</v>
      </c>
      <c r="D268" s="2">
        <v>0.35820000000000002</v>
      </c>
      <c r="E268" s="2">
        <v>0</v>
      </c>
      <c r="F268" s="2">
        <v>49</v>
      </c>
      <c r="G268" s="16">
        <v>49</v>
      </c>
    </row>
    <row r="269" spans="1:7" ht="15" thickBot="1" x14ac:dyDescent="0.35">
      <c r="A269" s="2">
        <v>268</v>
      </c>
      <c r="B269" s="2">
        <v>0.18179999999999999</v>
      </c>
      <c r="C269" s="2">
        <v>0.47</v>
      </c>
      <c r="D269" s="2">
        <v>0.32840000000000003</v>
      </c>
      <c r="E269" s="2">
        <v>0</v>
      </c>
      <c r="F269" s="2">
        <v>44</v>
      </c>
      <c r="G269" s="16">
        <v>44</v>
      </c>
    </row>
    <row r="270" spans="1:7" ht="15" thickBot="1" x14ac:dyDescent="0.35">
      <c r="A270" s="2">
        <v>269</v>
      </c>
      <c r="B270" s="2">
        <v>0.16669999999999999</v>
      </c>
      <c r="C270" s="2">
        <v>0.47</v>
      </c>
      <c r="D270" s="2">
        <v>0.41789999999999999</v>
      </c>
      <c r="E270" s="2">
        <v>1</v>
      </c>
      <c r="F270" s="2">
        <v>48</v>
      </c>
      <c r="G270" s="16">
        <v>49</v>
      </c>
    </row>
    <row r="271" spans="1:7" ht="15" thickBot="1" x14ac:dyDescent="0.35">
      <c r="A271" s="2">
        <v>270</v>
      </c>
      <c r="B271" s="2">
        <v>0.19700000000000001</v>
      </c>
      <c r="C271" s="2">
        <v>0.44</v>
      </c>
      <c r="D271" s="2">
        <v>0.32840000000000003</v>
      </c>
      <c r="E271" s="2">
        <v>5</v>
      </c>
      <c r="F271" s="2">
        <v>63</v>
      </c>
      <c r="G271" s="16">
        <v>68</v>
      </c>
    </row>
    <row r="272" spans="1:7" ht="15" thickBot="1" x14ac:dyDescent="0.35">
      <c r="A272" s="2">
        <v>271</v>
      </c>
      <c r="B272" s="2">
        <v>0.18179999999999999</v>
      </c>
      <c r="C272" s="2">
        <v>0.47</v>
      </c>
      <c r="D272" s="2">
        <v>0.35820000000000002</v>
      </c>
      <c r="E272" s="2">
        <v>0</v>
      </c>
      <c r="F272" s="2">
        <v>139</v>
      </c>
      <c r="G272" s="16">
        <v>139</v>
      </c>
    </row>
    <row r="273" spans="1:7" ht="15" thickBot="1" x14ac:dyDescent="0.35">
      <c r="A273" s="2">
        <v>272</v>
      </c>
      <c r="B273" s="2">
        <v>0.1515</v>
      </c>
      <c r="C273" s="2">
        <v>0.47</v>
      </c>
      <c r="D273" s="2">
        <v>0.52239999999999998</v>
      </c>
      <c r="E273" s="2">
        <v>2</v>
      </c>
      <c r="F273" s="2">
        <v>135</v>
      </c>
      <c r="G273" s="16">
        <v>137</v>
      </c>
    </row>
    <row r="274" spans="1:7" ht="15" thickBot="1" x14ac:dyDescent="0.35">
      <c r="A274" s="2">
        <v>273</v>
      </c>
      <c r="B274" s="2">
        <v>0.1515</v>
      </c>
      <c r="C274" s="2">
        <v>0.47</v>
      </c>
      <c r="D274" s="2">
        <v>0.41789999999999999</v>
      </c>
      <c r="E274" s="2">
        <v>1</v>
      </c>
      <c r="F274" s="2">
        <v>82</v>
      </c>
      <c r="G274" s="16">
        <v>83</v>
      </c>
    </row>
    <row r="275" spans="1:7" ht="15" thickBot="1" x14ac:dyDescent="0.35">
      <c r="A275" s="2">
        <v>274</v>
      </c>
      <c r="B275" s="2">
        <v>0.13639999999999999</v>
      </c>
      <c r="C275" s="2">
        <v>0.5</v>
      </c>
      <c r="D275" s="2">
        <v>0.32840000000000003</v>
      </c>
      <c r="E275" s="2">
        <v>2</v>
      </c>
      <c r="F275" s="2">
        <v>54</v>
      </c>
      <c r="G275" s="16">
        <v>56</v>
      </c>
    </row>
    <row r="276" spans="1:7" ht="15" thickBot="1" x14ac:dyDescent="0.35">
      <c r="A276" s="2">
        <v>275</v>
      </c>
      <c r="B276" s="2">
        <v>0.13639999999999999</v>
      </c>
      <c r="C276" s="2">
        <v>0.55000000000000004</v>
      </c>
      <c r="D276" s="2">
        <v>0.32840000000000003</v>
      </c>
      <c r="E276" s="2">
        <v>0</v>
      </c>
      <c r="F276" s="2">
        <v>57</v>
      </c>
      <c r="G276" s="16">
        <v>57</v>
      </c>
    </row>
    <row r="277" spans="1:7" ht="15" thickBot="1" x14ac:dyDescent="0.35">
      <c r="A277" s="2">
        <v>276</v>
      </c>
      <c r="B277" s="2">
        <v>0.1212</v>
      </c>
      <c r="C277" s="2">
        <v>0.55000000000000004</v>
      </c>
      <c r="D277" s="2">
        <v>0.44779999999999998</v>
      </c>
      <c r="E277" s="2">
        <v>1</v>
      </c>
      <c r="F277" s="2">
        <v>32</v>
      </c>
      <c r="G277" s="16">
        <v>33</v>
      </c>
    </row>
    <row r="278" spans="1:7" ht="15" thickBot="1" x14ac:dyDescent="0.35">
      <c r="A278" s="2">
        <v>277</v>
      </c>
      <c r="B278" s="2">
        <v>0.1061</v>
      </c>
      <c r="C278" s="2">
        <v>0.59</v>
      </c>
      <c r="D278" s="2">
        <v>0.41789999999999999</v>
      </c>
      <c r="E278" s="2">
        <v>1</v>
      </c>
      <c r="F278" s="2">
        <v>19</v>
      </c>
      <c r="G278" s="16">
        <v>20</v>
      </c>
    </row>
    <row r="279" spans="1:7" ht="15" thickBot="1" x14ac:dyDescent="0.35">
      <c r="A279" s="2">
        <v>278</v>
      </c>
      <c r="B279" s="2">
        <v>0.1212</v>
      </c>
      <c r="C279" s="2">
        <v>0.59</v>
      </c>
      <c r="D279" s="2">
        <v>0.28360000000000002</v>
      </c>
      <c r="E279" s="2">
        <v>1</v>
      </c>
      <c r="F279" s="2">
        <v>6</v>
      </c>
      <c r="G279" s="16">
        <v>7</v>
      </c>
    </row>
    <row r="280" spans="1:7" ht="15" thickBot="1" x14ac:dyDescent="0.35">
      <c r="A280" s="2">
        <v>279</v>
      </c>
      <c r="B280" s="2">
        <v>0.1212</v>
      </c>
      <c r="C280" s="2">
        <v>0.5</v>
      </c>
      <c r="D280" s="2">
        <v>0.28360000000000002</v>
      </c>
      <c r="E280" s="2">
        <v>0</v>
      </c>
      <c r="F280" s="2">
        <v>2</v>
      </c>
      <c r="G280" s="16">
        <v>2</v>
      </c>
    </row>
    <row r="281" spans="1:7" ht="15" thickBot="1" x14ac:dyDescent="0.35">
      <c r="A281" s="2">
        <v>280</v>
      </c>
      <c r="B281" s="2">
        <v>0.1212</v>
      </c>
      <c r="C281" s="2">
        <v>0.5</v>
      </c>
      <c r="D281" s="2">
        <v>0.35820000000000002</v>
      </c>
      <c r="E281" s="2">
        <v>0</v>
      </c>
      <c r="F281" s="2">
        <v>2</v>
      </c>
      <c r="G281" s="16">
        <v>2</v>
      </c>
    </row>
    <row r="282" spans="1:7" ht="15" thickBot="1" x14ac:dyDescent="0.35">
      <c r="A282" s="2">
        <v>281</v>
      </c>
      <c r="B282" s="2">
        <v>0.1212</v>
      </c>
      <c r="C282" s="2">
        <v>0.5</v>
      </c>
      <c r="D282" s="2">
        <v>0.32840000000000003</v>
      </c>
      <c r="E282" s="2">
        <v>0</v>
      </c>
      <c r="F282" s="2">
        <v>3</v>
      </c>
      <c r="G282" s="16">
        <v>3</v>
      </c>
    </row>
    <row r="283" spans="1:7" ht="15" thickBot="1" x14ac:dyDescent="0.35">
      <c r="A283" s="2">
        <v>282</v>
      </c>
      <c r="B283" s="2">
        <v>0.1212</v>
      </c>
      <c r="C283" s="2">
        <v>0.5</v>
      </c>
      <c r="D283" s="2">
        <v>0.25369999999999998</v>
      </c>
      <c r="E283" s="2">
        <v>0</v>
      </c>
      <c r="F283" s="2">
        <v>4</v>
      </c>
      <c r="G283" s="16">
        <v>4</v>
      </c>
    </row>
    <row r="284" spans="1:7" ht="15" thickBot="1" x14ac:dyDescent="0.35">
      <c r="A284" s="2">
        <v>283</v>
      </c>
      <c r="B284" s="2">
        <v>0.1212</v>
      </c>
      <c r="C284" s="2">
        <v>0.5</v>
      </c>
      <c r="D284" s="2">
        <v>0.29849999999999999</v>
      </c>
      <c r="E284" s="2">
        <v>0</v>
      </c>
      <c r="F284" s="2">
        <v>3</v>
      </c>
      <c r="G284" s="16">
        <v>3</v>
      </c>
    </row>
    <row r="285" spans="1:7" ht="15" thickBot="1" x14ac:dyDescent="0.35">
      <c r="A285" s="2">
        <v>284</v>
      </c>
      <c r="B285" s="2">
        <v>0.1515</v>
      </c>
      <c r="C285" s="2">
        <v>0.54</v>
      </c>
      <c r="D285" s="2">
        <v>0.1343</v>
      </c>
      <c r="E285" s="2">
        <v>0</v>
      </c>
      <c r="F285" s="2">
        <v>28</v>
      </c>
      <c r="G285" s="16">
        <v>28</v>
      </c>
    </row>
    <row r="286" spans="1:7" ht="15" thickBot="1" x14ac:dyDescent="0.35">
      <c r="A286" s="2">
        <v>285</v>
      </c>
      <c r="B286" s="2">
        <v>0.1515</v>
      </c>
      <c r="C286" s="2">
        <v>0.54</v>
      </c>
      <c r="D286" s="2">
        <v>0.1343</v>
      </c>
      <c r="E286" s="2">
        <v>0</v>
      </c>
      <c r="F286" s="2">
        <v>72</v>
      </c>
      <c r="G286" s="16">
        <v>72</v>
      </c>
    </row>
    <row r="287" spans="1:7" ht="15" thickBot="1" x14ac:dyDescent="0.35">
      <c r="A287" s="2">
        <v>286</v>
      </c>
      <c r="B287" s="2">
        <v>0.13639999999999999</v>
      </c>
      <c r="C287" s="2">
        <v>0.5</v>
      </c>
      <c r="D287" s="2">
        <v>0.19400000000000001</v>
      </c>
      <c r="E287" s="2">
        <v>5</v>
      </c>
      <c r="F287" s="2">
        <v>197</v>
      </c>
      <c r="G287" s="16">
        <v>202</v>
      </c>
    </row>
    <row r="288" spans="1:7" ht="15" thickBot="1" x14ac:dyDescent="0.35">
      <c r="A288" s="2">
        <v>287</v>
      </c>
      <c r="B288" s="2">
        <v>0.1212</v>
      </c>
      <c r="C288" s="2">
        <v>0.5</v>
      </c>
      <c r="D288" s="2">
        <v>0.32840000000000003</v>
      </c>
      <c r="E288" s="2">
        <v>2</v>
      </c>
      <c r="F288" s="2">
        <v>137</v>
      </c>
      <c r="G288" s="16">
        <v>139</v>
      </c>
    </row>
    <row r="289" spans="1:7" ht="15" thickBot="1" x14ac:dyDescent="0.35">
      <c r="A289" s="2">
        <v>288</v>
      </c>
      <c r="B289" s="2">
        <v>0.13639999999999999</v>
      </c>
      <c r="C289" s="2">
        <v>0.5</v>
      </c>
      <c r="D289" s="2">
        <v>0.35820000000000002</v>
      </c>
      <c r="E289" s="2">
        <v>2</v>
      </c>
      <c r="F289" s="2">
        <v>36</v>
      </c>
      <c r="G289" s="16">
        <v>38</v>
      </c>
    </row>
    <row r="290" spans="1:7" ht="15" thickBot="1" x14ac:dyDescent="0.35">
      <c r="A290" s="2">
        <v>289</v>
      </c>
      <c r="B290" s="2">
        <v>0.16669999999999999</v>
      </c>
      <c r="C290" s="2">
        <v>0.44</v>
      </c>
      <c r="D290" s="2">
        <v>0.44779999999999998</v>
      </c>
      <c r="E290" s="2">
        <v>4</v>
      </c>
      <c r="F290" s="2">
        <v>33</v>
      </c>
      <c r="G290" s="16">
        <v>37</v>
      </c>
    </row>
    <row r="291" spans="1:7" ht="15" thickBot="1" x14ac:dyDescent="0.35">
      <c r="A291" s="2">
        <v>290</v>
      </c>
      <c r="B291" s="2">
        <v>0.16669999999999999</v>
      </c>
      <c r="C291" s="2">
        <v>0.44</v>
      </c>
      <c r="D291" s="2">
        <v>0.41789999999999999</v>
      </c>
      <c r="E291" s="2">
        <v>3</v>
      </c>
      <c r="F291" s="2">
        <v>49</v>
      </c>
      <c r="G291" s="16">
        <v>52</v>
      </c>
    </row>
    <row r="292" spans="1:7" ht="15" thickBot="1" x14ac:dyDescent="0.35">
      <c r="A292" s="2">
        <v>291</v>
      </c>
      <c r="B292" s="2">
        <v>0.19700000000000001</v>
      </c>
      <c r="C292" s="2">
        <v>0.41</v>
      </c>
      <c r="D292" s="2">
        <v>0.44779999999999998</v>
      </c>
      <c r="E292" s="2">
        <v>2</v>
      </c>
      <c r="F292" s="2">
        <v>81</v>
      </c>
      <c r="G292" s="16">
        <v>83</v>
      </c>
    </row>
    <row r="293" spans="1:7" ht="15" thickBot="1" x14ac:dyDescent="0.35">
      <c r="A293" s="2">
        <v>292</v>
      </c>
      <c r="B293" s="2">
        <v>0.19700000000000001</v>
      </c>
      <c r="C293" s="2">
        <v>0.41</v>
      </c>
      <c r="D293" s="2">
        <v>0.3881</v>
      </c>
      <c r="E293" s="2">
        <v>3</v>
      </c>
      <c r="F293" s="2">
        <v>39</v>
      </c>
      <c r="G293" s="16">
        <v>42</v>
      </c>
    </row>
    <row r="294" spans="1:7" ht="15" thickBot="1" x14ac:dyDescent="0.35">
      <c r="A294" s="2">
        <v>293</v>
      </c>
      <c r="B294" s="2">
        <v>0.21210000000000001</v>
      </c>
      <c r="C294" s="2">
        <v>0.38</v>
      </c>
      <c r="D294" s="2">
        <v>0.29849999999999999</v>
      </c>
      <c r="E294" s="2">
        <v>5</v>
      </c>
      <c r="F294" s="2">
        <v>55</v>
      </c>
      <c r="G294" s="16">
        <v>60</v>
      </c>
    </row>
    <row r="295" spans="1:7" ht="15" thickBot="1" x14ac:dyDescent="0.35">
      <c r="A295" s="2">
        <v>294</v>
      </c>
      <c r="B295" s="2">
        <v>0.21210000000000001</v>
      </c>
      <c r="C295" s="2">
        <v>0.38</v>
      </c>
      <c r="D295" s="2">
        <v>0.35820000000000002</v>
      </c>
      <c r="E295" s="2">
        <v>2</v>
      </c>
      <c r="F295" s="2">
        <v>76</v>
      </c>
      <c r="G295" s="16">
        <v>78</v>
      </c>
    </row>
    <row r="296" spans="1:7" ht="15" thickBot="1" x14ac:dyDescent="0.35">
      <c r="A296" s="2">
        <v>295</v>
      </c>
      <c r="B296" s="2">
        <v>0.18179999999999999</v>
      </c>
      <c r="C296" s="2">
        <v>0.4</v>
      </c>
      <c r="D296" s="2">
        <v>0.28360000000000002</v>
      </c>
      <c r="E296" s="2">
        <v>4</v>
      </c>
      <c r="F296" s="2">
        <v>158</v>
      </c>
      <c r="G296" s="16">
        <v>162</v>
      </c>
    </row>
    <row r="297" spans="1:7" ht="15" thickBot="1" x14ac:dyDescent="0.35">
      <c r="A297" s="2">
        <v>296</v>
      </c>
      <c r="B297" s="2">
        <v>0.18179999999999999</v>
      </c>
      <c r="C297" s="2">
        <v>0.4</v>
      </c>
      <c r="D297" s="2">
        <v>0.32840000000000003</v>
      </c>
      <c r="E297" s="2">
        <v>3</v>
      </c>
      <c r="F297" s="2">
        <v>141</v>
      </c>
      <c r="G297" s="16">
        <v>144</v>
      </c>
    </row>
    <row r="298" spans="1:7" ht="15" thickBot="1" x14ac:dyDescent="0.35">
      <c r="A298" s="2">
        <v>297</v>
      </c>
      <c r="B298" s="2">
        <v>0.1515</v>
      </c>
      <c r="C298" s="2">
        <v>0.47</v>
      </c>
      <c r="D298" s="2">
        <v>0.25369999999999998</v>
      </c>
      <c r="E298" s="2">
        <v>1</v>
      </c>
      <c r="F298" s="2">
        <v>98</v>
      </c>
      <c r="G298" s="16">
        <v>99</v>
      </c>
    </row>
    <row r="299" spans="1:7" ht="15" thickBot="1" x14ac:dyDescent="0.35">
      <c r="A299" s="2">
        <v>298</v>
      </c>
      <c r="B299" s="2">
        <v>0.1515</v>
      </c>
      <c r="C299" s="2">
        <v>0.47</v>
      </c>
      <c r="D299" s="2">
        <v>0.22389999999999999</v>
      </c>
      <c r="E299" s="2">
        <v>0</v>
      </c>
      <c r="F299" s="2">
        <v>64</v>
      </c>
      <c r="G299" s="16">
        <v>64</v>
      </c>
    </row>
    <row r="300" spans="1:7" ht="15" thickBot="1" x14ac:dyDescent="0.35">
      <c r="A300" s="2">
        <v>299</v>
      </c>
      <c r="B300" s="2">
        <v>0.1212</v>
      </c>
      <c r="C300" s="2">
        <v>0.46</v>
      </c>
      <c r="D300" s="2">
        <v>0.29849999999999999</v>
      </c>
      <c r="E300" s="2">
        <v>0</v>
      </c>
      <c r="F300" s="2">
        <v>40</v>
      </c>
      <c r="G300" s="16">
        <v>40</v>
      </c>
    </row>
    <row r="301" spans="1:7" ht="15" thickBot="1" x14ac:dyDescent="0.35">
      <c r="A301" s="2">
        <v>300</v>
      </c>
      <c r="B301" s="2">
        <v>0.1212</v>
      </c>
      <c r="C301" s="2">
        <v>0.46</v>
      </c>
      <c r="D301" s="2">
        <v>0.32840000000000003</v>
      </c>
      <c r="E301" s="2">
        <v>0</v>
      </c>
      <c r="F301" s="2">
        <v>30</v>
      </c>
      <c r="G301" s="16">
        <v>30</v>
      </c>
    </row>
    <row r="302" spans="1:7" ht="15" thickBot="1" x14ac:dyDescent="0.35">
      <c r="A302" s="2">
        <v>301</v>
      </c>
      <c r="B302" s="2">
        <v>0.13639999999999999</v>
      </c>
      <c r="C302" s="2">
        <v>0.5</v>
      </c>
      <c r="D302" s="2">
        <v>0.19400000000000001</v>
      </c>
      <c r="E302" s="2">
        <v>1</v>
      </c>
      <c r="F302" s="2">
        <v>14</v>
      </c>
      <c r="G302" s="16">
        <v>15</v>
      </c>
    </row>
    <row r="303" spans="1:7" ht="15" thickBot="1" x14ac:dyDescent="0.35">
      <c r="A303" s="2">
        <v>302</v>
      </c>
      <c r="B303" s="2">
        <v>0.13639999999999999</v>
      </c>
      <c r="C303" s="2">
        <v>0.5</v>
      </c>
      <c r="D303" s="2">
        <v>0.19400000000000001</v>
      </c>
      <c r="E303" s="2">
        <v>0</v>
      </c>
      <c r="F303" s="2">
        <v>14</v>
      </c>
      <c r="G303" s="16">
        <v>14</v>
      </c>
    </row>
    <row r="304" spans="1:7" ht="15" thickBot="1" x14ac:dyDescent="0.35">
      <c r="A304" s="2">
        <v>303</v>
      </c>
      <c r="B304" s="2">
        <v>0.1212</v>
      </c>
      <c r="C304" s="2">
        <v>0.54</v>
      </c>
      <c r="D304" s="2">
        <v>0.16420000000000001</v>
      </c>
      <c r="E304" s="2">
        <v>0</v>
      </c>
      <c r="F304" s="2">
        <v>5</v>
      </c>
      <c r="G304" s="16">
        <v>5</v>
      </c>
    </row>
    <row r="305" spans="1:7" ht="15" thickBot="1" x14ac:dyDescent="0.35">
      <c r="A305" s="2">
        <v>304</v>
      </c>
      <c r="B305" s="2">
        <v>0.1212</v>
      </c>
      <c r="C305" s="2">
        <v>0.54</v>
      </c>
      <c r="D305" s="2">
        <v>0.1343</v>
      </c>
      <c r="E305" s="2">
        <v>0</v>
      </c>
      <c r="F305" s="2">
        <v>1</v>
      </c>
      <c r="G305" s="16">
        <v>1</v>
      </c>
    </row>
    <row r="306" spans="1:7" ht="15" thickBot="1" x14ac:dyDescent="0.35">
      <c r="A306" s="2">
        <v>305</v>
      </c>
      <c r="B306" s="2">
        <v>0.13639999999999999</v>
      </c>
      <c r="C306" s="2">
        <v>0.54</v>
      </c>
      <c r="D306" s="2">
        <v>0.1045</v>
      </c>
      <c r="E306" s="2">
        <v>0</v>
      </c>
      <c r="F306" s="2">
        <v>1</v>
      </c>
      <c r="G306" s="16">
        <v>1</v>
      </c>
    </row>
    <row r="307" spans="1:7" ht="15" thickBot="1" x14ac:dyDescent="0.35">
      <c r="A307" s="2">
        <v>306</v>
      </c>
      <c r="B307" s="2">
        <v>0.13639999999999999</v>
      </c>
      <c r="C307" s="2">
        <v>0.54</v>
      </c>
      <c r="D307" s="2">
        <v>8.9599999999999999E-2</v>
      </c>
      <c r="E307" s="2">
        <v>0</v>
      </c>
      <c r="F307" s="2">
        <v>8</v>
      </c>
      <c r="G307" s="16">
        <v>8</v>
      </c>
    </row>
    <row r="308" spans="1:7" ht="15" thickBot="1" x14ac:dyDescent="0.35">
      <c r="A308" s="2">
        <v>307</v>
      </c>
      <c r="B308" s="2">
        <v>0.18179999999999999</v>
      </c>
      <c r="C308" s="2">
        <v>0.54</v>
      </c>
      <c r="D308" s="2">
        <v>0</v>
      </c>
      <c r="E308" s="2">
        <v>0</v>
      </c>
      <c r="F308" s="2">
        <v>17</v>
      </c>
      <c r="G308" s="16">
        <v>17</v>
      </c>
    </row>
    <row r="309" spans="1:7" ht="15" thickBot="1" x14ac:dyDescent="0.35">
      <c r="A309" s="2">
        <v>308</v>
      </c>
      <c r="B309" s="2">
        <v>0.1212</v>
      </c>
      <c r="C309" s="2">
        <v>0.74</v>
      </c>
      <c r="D309" s="2">
        <v>0.16420000000000001</v>
      </c>
      <c r="E309" s="2">
        <v>0</v>
      </c>
      <c r="F309" s="2">
        <v>70</v>
      </c>
      <c r="G309" s="16">
        <v>70</v>
      </c>
    </row>
    <row r="310" spans="1:7" ht="15" thickBot="1" x14ac:dyDescent="0.35">
      <c r="A310" s="2">
        <v>309</v>
      </c>
      <c r="B310" s="2">
        <v>0.16669999999999999</v>
      </c>
      <c r="C310" s="2">
        <v>0.68</v>
      </c>
      <c r="D310" s="2">
        <v>0</v>
      </c>
      <c r="E310" s="2">
        <v>2</v>
      </c>
      <c r="F310" s="2">
        <v>156</v>
      </c>
      <c r="G310" s="16">
        <v>158</v>
      </c>
    </row>
    <row r="311" spans="1:7" ht="15" thickBot="1" x14ac:dyDescent="0.35">
      <c r="A311" s="2">
        <v>310</v>
      </c>
      <c r="B311" s="2">
        <v>0.1515</v>
      </c>
      <c r="C311" s="2">
        <v>0.69</v>
      </c>
      <c r="D311" s="2">
        <v>0.1343</v>
      </c>
      <c r="E311" s="2">
        <v>0</v>
      </c>
      <c r="F311" s="2">
        <v>117</v>
      </c>
      <c r="G311" s="16">
        <v>117</v>
      </c>
    </row>
    <row r="312" spans="1:7" ht="15" thickBot="1" x14ac:dyDescent="0.35">
      <c r="A312" s="2">
        <v>311</v>
      </c>
      <c r="B312" s="2">
        <v>0.18179999999999999</v>
      </c>
      <c r="C312" s="2">
        <v>0.55000000000000004</v>
      </c>
      <c r="D312" s="2">
        <v>0.19400000000000001</v>
      </c>
      <c r="E312" s="2">
        <v>4</v>
      </c>
      <c r="F312" s="2">
        <v>40</v>
      </c>
      <c r="G312" s="16">
        <v>44</v>
      </c>
    </row>
    <row r="313" spans="1:7" ht="15" thickBot="1" x14ac:dyDescent="0.35">
      <c r="A313" s="2">
        <v>312</v>
      </c>
      <c r="B313" s="2">
        <v>0.16669999999999999</v>
      </c>
      <c r="C313" s="2">
        <v>0.51</v>
      </c>
      <c r="D313" s="2">
        <v>0.28360000000000002</v>
      </c>
      <c r="E313" s="2">
        <v>6</v>
      </c>
      <c r="F313" s="2">
        <v>47</v>
      </c>
      <c r="G313" s="16">
        <v>53</v>
      </c>
    </row>
    <row r="314" spans="1:7" ht="15" thickBot="1" x14ac:dyDescent="0.35">
      <c r="A314" s="2">
        <v>313</v>
      </c>
      <c r="B314" s="2">
        <v>0.19700000000000001</v>
      </c>
      <c r="C314" s="2">
        <v>0.44</v>
      </c>
      <c r="D314" s="2">
        <v>0.25369999999999998</v>
      </c>
      <c r="E314" s="2">
        <v>2</v>
      </c>
      <c r="F314" s="2">
        <v>59</v>
      </c>
      <c r="G314" s="16">
        <v>61</v>
      </c>
    </row>
    <row r="315" spans="1:7" ht="15" thickBot="1" x14ac:dyDescent="0.35">
      <c r="A315" s="2">
        <v>314</v>
      </c>
      <c r="B315" s="2">
        <v>0.19700000000000001</v>
      </c>
      <c r="C315" s="2">
        <v>0.37</v>
      </c>
      <c r="D315" s="2">
        <v>0.3881</v>
      </c>
      <c r="E315" s="2">
        <v>4</v>
      </c>
      <c r="F315" s="2">
        <v>73</v>
      </c>
      <c r="G315" s="16">
        <v>77</v>
      </c>
    </row>
    <row r="316" spans="1:7" ht="15" thickBot="1" x14ac:dyDescent="0.35">
      <c r="A316" s="2">
        <v>315</v>
      </c>
      <c r="B316" s="2">
        <v>0.21210000000000001</v>
      </c>
      <c r="C316" s="2">
        <v>0.41</v>
      </c>
      <c r="D316" s="2">
        <v>0.28360000000000002</v>
      </c>
      <c r="E316" s="2">
        <v>5</v>
      </c>
      <c r="F316" s="2">
        <v>59</v>
      </c>
      <c r="G316" s="16">
        <v>64</v>
      </c>
    </row>
    <row r="317" spans="1:7" ht="15" thickBot="1" x14ac:dyDescent="0.35">
      <c r="A317" s="2">
        <v>316</v>
      </c>
      <c r="B317" s="2">
        <v>0.2424</v>
      </c>
      <c r="C317" s="2">
        <v>0.38</v>
      </c>
      <c r="D317" s="2">
        <v>0.16420000000000001</v>
      </c>
      <c r="E317" s="2">
        <v>9</v>
      </c>
      <c r="F317" s="2">
        <v>59</v>
      </c>
      <c r="G317" s="16">
        <v>68</v>
      </c>
    </row>
    <row r="318" spans="1:7" ht="15" thickBot="1" x14ac:dyDescent="0.35">
      <c r="A318" s="2">
        <v>317</v>
      </c>
      <c r="B318" s="2">
        <v>0.2424</v>
      </c>
      <c r="C318" s="2">
        <v>0.41</v>
      </c>
      <c r="D318" s="2">
        <v>0.1045</v>
      </c>
      <c r="E318" s="2">
        <v>3</v>
      </c>
      <c r="F318" s="2">
        <v>87</v>
      </c>
      <c r="G318" s="16">
        <v>90</v>
      </c>
    </row>
    <row r="319" spans="1:7" ht="15" thickBot="1" x14ac:dyDescent="0.35">
      <c r="A319" s="2">
        <v>318</v>
      </c>
      <c r="B319" s="2">
        <v>0.2273</v>
      </c>
      <c r="C319" s="2">
        <v>0.41</v>
      </c>
      <c r="D319" s="2">
        <v>0.16420000000000001</v>
      </c>
      <c r="E319" s="2">
        <v>4</v>
      </c>
      <c r="F319" s="2">
        <v>155</v>
      </c>
      <c r="G319" s="16">
        <v>159</v>
      </c>
    </row>
    <row r="320" spans="1:7" ht="15" thickBot="1" x14ac:dyDescent="0.35">
      <c r="A320" s="2">
        <v>319</v>
      </c>
      <c r="B320" s="2">
        <v>0.2576</v>
      </c>
      <c r="C320" s="2">
        <v>0.47</v>
      </c>
      <c r="D320" s="2">
        <v>0</v>
      </c>
      <c r="E320" s="2">
        <v>5</v>
      </c>
      <c r="F320" s="2">
        <v>134</v>
      </c>
      <c r="G320" s="16">
        <v>139</v>
      </c>
    </row>
    <row r="321" spans="1:7" ht="15" thickBot="1" x14ac:dyDescent="0.35">
      <c r="A321" s="2">
        <v>320</v>
      </c>
      <c r="B321" s="2">
        <v>0.19700000000000001</v>
      </c>
      <c r="C321" s="2">
        <v>0.59</v>
      </c>
      <c r="D321" s="2">
        <v>8.9599999999999999E-2</v>
      </c>
      <c r="E321" s="2">
        <v>3</v>
      </c>
      <c r="F321" s="2">
        <v>89</v>
      </c>
      <c r="G321" s="16">
        <v>92</v>
      </c>
    </row>
    <row r="322" spans="1:7" ht="15" thickBot="1" x14ac:dyDescent="0.35">
      <c r="A322" s="2">
        <v>321</v>
      </c>
      <c r="B322" s="2">
        <v>0.2424</v>
      </c>
      <c r="C322" s="2">
        <v>0.59</v>
      </c>
      <c r="D322" s="2">
        <v>0</v>
      </c>
      <c r="E322" s="2">
        <v>0</v>
      </c>
      <c r="F322" s="2">
        <v>68</v>
      </c>
      <c r="G322" s="16">
        <v>68</v>
      </c>
    </row>
    <row r="323" spans="1:7" ht="15" thickBot="1" x14ac:dyDescent="0.35">
      <c r="A323" s="2">
        <v>322</v>
      </c>
      <c r="B323" s="2">
        <v>0.2273</v>
      </c>
      <c r="C323" s="2">
        <v>0.69</v>
      </c>
      <c r="D323" s="2">
        <v>0</v>
      </c>
      <c r="E323" s="2">
        <v>4</v>
      </c>
      <c r="F323" s="2">
        <v>48</v>
      </c>
      <c r="G323" s="16">
        <v>52</v>
      </c>
    </row>
    <row r="324" spans="1:7" ht="15" thickBot="1" x14ac:dyDescent="0.35">
      <c r="A324" s="2">
        <v>323</v>
      </c>
      <c r="B324" s="2">
        <v>0.2273</v>
      </c>
      <c r="C324" s="2">
        <v>0.69</v>
      </c>
      <c r="D324" s="2">
        <v>0</v>
      </c>
      <c r="E324" s="2">
        <v>2</v>
      </c>
      <c r="F324" s="2">
        <v>34</v>
      </c>
      <c r="G324" s="16">
        <v>36</v>
      </c>
    </row>
    <row r="325" spans="1:7" ht="15" thickBot="1" x14ac:dyDescent="0.35">
      <c r="A325" s="2">
        <v>324</v>
      </c>
      <c r="B325" s="2">
        <v>0.2424</v>
      </c>
      <c r="C325" s="2">
        <v>0.55000000000000004</v>
      </c>
      <c r="D325" s="2">
        <v>0</v>
      </c>
      <c r="E325" s="2">
        <v>1</v>
      </c>
      <c r="F325" s="2">
        <v>26</v>
      </c>
      <c r="G325" s="16">
        <v>27</v>
      </c>
    </row>
    <row r="326" spans="1:7" ht="15" thickBot="1" x14ac:dyDescent="0.35">
      <c r="A326" s="2">
        <v>325</v>
      </c>
      <c r="B326" s="2">
        <v>0.2424</v>
      </c>
      <c r="C326" s="2">
        <v>0.55000000000000004</v>
      </c>
      <c r="D326" s="2">
        <v>0</v>
      </c>
      <c r="E326" s="2">
        <v>3</v>
      </c>
      <c r="F326" s="2">
        <v>25</v>
      </c>
      <c r="G326" s="16">
        <v>28</v>
      </c>
    </row>
    <row r="327" spans="1:7" ht="15" thickBot="1" x14ac:dyDescent="0.35">
      <c r="A327" s="2">
        <v>326</v>
      </c>
      <c r="B327" s="2">
        <v>0.19700000000000001</v>
      </c>
      <c r="C327" s="2">
        <v>0.59</v>
      </c>
      <c r="D327" s="2">
        <v>8.9599999999999999E-2</v>
      </c>
      <c r="E327" s="2">
        <v>2</v>
      </c>
      <c r="F327" s="2">
        <v>18</v>
      </c>
      <c r="G327" s="16">
        <v>20</v>
      </c>
    </row>
    <row r="328" spans="1:7" ht="15" thickBot="1" x14ac:dyDescent="0.35">
      <c r="A328" s="2">
        <v>327</v>
      </c>
      <c r="B328" s="2">
        <v>0.19700000000000001</v>
      </c>
      <c r="C328" s="2">
        <v>0.59</v>
      </c>
      <c r="D328" s="2">
        <v>8.9599999999999999E-2</v>
      </c>
      <c r="E328" s="2">
        <v>0</v>
      </c>
      <c r="F328" s="2">
        <v>12</v>
      </c>
      <c r="G328" s="16">
        <v>12</v>
      </c>
    </row>
    <row r="329" spans="1:7" ht="15" thickBot="1" x14ac:dyDescent="0.35">
      <c r="A329" s="2">
        <v>328</v>
      </c>
      <c r="B329" s="2">
        <v>0.2273</v>
      </c>
      <c r="C329" s="2">
        <v>0.59</v>
      </c>
      <c r="D329" s="2">
        <v>0</v>
      </c>
      <c r="E329" s="2">
        <v>1</v>
      </c>
      <c r="F329" s="2">
        <v>7</v>
      </c>
      <c r="G329" s="16">
        <v>8</v>
      </c>
    </row>
    <row r="330" spans="1:7" ht="15" thickBot="1" x14ac:dyDescent="0.35">
      <c r="A330" s="2">
        <v>329</v>
      </c>
      <c r="B330" s="2">
        <v>0.2273</v>
      </c>
      <c r="C330" s="2">
        <v>0.59</v>
      </c>
      <c r="D330" s="2">
        <v>0</v>
      </c>
      <c r="E330" s="2">
        <v>0</v>
      </c>
      <c r="F330" s="2">
        <v>5</v>
      </c>
      <c r="G330" s="16">
        <v>5</v>
      </c>
    </row>
    <row r="331" spans="1:7" ht="15" thickBot="1" x14ac:dyDescent="0.35">
      <c r="A331" s="2">
        <v>330</v>
      </c>
      <c r="B331" s="2">
        <v>0.2273</v>
      </c>
      <c r="C331" s="2">
        <v>0.59</v>
      </c>
      <c r="D331" s="2">
        <v>0</v>
      </c>
      <c r="E331" s="2">
        <v>0</v>
      </c>
      <c r="F331" s="2">
        <v>1</v>
      </c>
      <c r="G331" s="16">
        <v>1</v>
      </c>
    </row>
    <row r="332" spans="1:7" ht="15" thickBot="1" x14ac:dyDescent="0.35">
      <c r="A332" s="2">
        <v>331</v>
      </c>
      <c r="B332" s="2">
        <v>0.16669999999999999</v>
      </c>
      <c r="C332" s="2">
        <v>0.63</v>
      </c>
      <c r="D332" s="2">
        <v>0.1045</v>
      </c>
      <c r="E332" s="2">
        <v>1</v>
      </c>
      <c r="F332" s="2">
        <v>2</v>
      </c>
      <c r="G332" s="16">
        <v>3</v>
      </c>
    </row>
    <row r="333" spans="1:7" ht="15" thickBot="1" x14ac:dyDescent="0.35">
      <c r="A333" s="2">
        <v>332</v>
      </c>
      <c r="B333" s="2">
        <v>0.21210000000000001</v>
      </c>
      <c r="C333" s="2">
        <v>0.63</v>
      </c>
      <c r="D333" s="2">
        <v>0</v>
      </c>
      <c r="E333" s="2">
        <v>1</v>
      </c>
      <c r="F333" s="2">
        <v>9</v>
      </c>
      <c r="G333" s="16">
        <v>10</v>
      </c>
    </row>
    <row r="334" spans="1:7" ht="15" thickBot="1" x14ac:dyDescent="0.35">
      <c r="A334" s="2">
        <v>333</v>
      </c>
      <c r="B334" s="2">
        <v>0.1515</v>
      </c>
      <c r="C334" s="2">
        <v>0.63</v>
      </c>
      <c r="D334" s="2">
        <v>0.1343</v>
      </c>
      <c r="E334" s="2">
        <v>1</v>
      </c>
      <c r="F334" s="2">
        <v>22</v>
      </c>
      <c r="G334" s="16">
        <v>23</v>
      </c>
    </row>
    <row r="335" spans="1:7" ht="15" thickBot="1" x14ac:dyDescent="0.35">
      <c r="A335" s="2">
        <v>334</v>
      </c>
      <c r="B335" s="2">
        <v>0.18179999999999999</v>
      </c>
      <c r="C335" s="2">
        <v>0.64</v>
      </c>
      <c r="D335" s="2">
        <v>0.1343</v>
      </c>
      <c r="E335" s="2">
        <v>2</v>
      </c>
      <c r="F335" s="2">
        <v>31</v>
      </c>
      <c r="G335" s="16">
        <v>33</v>
      </c>
    </row>
    <row r="336" spans="1:7" ht="15" thickBot="1" x14ac:dyDescent="0.35">
      <c r="A336" s="2">
        <v>335</v>
      </c>
      <c r="B336" s="2">
        <v>0.19700000000000001</v>
      </c>
      <c r="C336" s="2">
        <v>0.59</v>
      </c>
      <c r="D336" s="2">
        <v>0.16420000000000001</v>
      </c>
      <c r="E336" s="2">
        <v>2</v>
      </c>
      <c r="F336" s="2">
        <v>57</v>
      </c>
      <c r="G336" s="16">
        <v>59</v>
      </c>
    </row>
    <row r="337" spans="1:7" ht="15" thickBot="1" x14ac:dyDescent="0.35">
      <c r="A337" s="2">
        <v>336</v>
      </c>
      <c r="B337" s="2">
        <v>0.19700000000000001</v>
      </c>
      <c r="C337" s="2">
        <v>0.55000000000000004</v>
      </c>
      <c r="D337" s="2">
        <v>0.22389999999999999</v>
      </c>
      <c r="E337" s="2">
        <v>18</v>
      </c>
      <c r="F337" s="2">
        <v>54</v>
      </c>
      <c r="G337" s="16">
        <v>72</v>
      </c>
    </row>
    <row r="338" spans="1:7" ht="15" thickBot="1" x14ac:dyDescent="0.35">
      <c r="A338" s="2">
        <v>337</v>
      </c>
      <c r="B338" s="2">
        <v>0.2273</v>
      </c>
      <c r="C338" s="2">
        <v>0.48</v>
      </c>
      <c r="D338" s="2">
        <v>0.22389999999999999</v>
      </c>
      <c r="E338" s="2">
        <v>15</v>
      </c>
      <c r="F338" s="2">
        <v>74</v>
      </c>
      <c r="G338" s="16">
        <v>89</v>
      </c>
    </row>
    <row r="339" spans="1:7" ht="15" thickBot="1" x14ac:dyDescent="0.35">
      <c r="A339" s="2">
        <v>338</v>
      </c>
      <c r="B339" s="2">
        <v>0.2576</v>
      </c>
      <c r="C339" s="2">
        <v>0.38</v>
      </c>
      <c r="D339" s="2">
        <v>0.29849999999999999</v>
      </c>
      <c r="E339" s="2">
        <v>21</v>
      </c>
      <c r="F339" s="2">
        <v>80</v>
      </c>
      <c r="G339" s="16">
        <v>101</v>
      </c>
    </row>
    <row r="340" spans="1:7" ht="15" thickBot="1" x14ac:dyDescent="0.35">
      <c r="A340" s="2">
        <v>339</v>
      </c>
      <c r="B340" s="2">
        <v>0.28789999999999999</v>
      </c>
      <c r="C340" s="2">
        <v>0.39</v>
      </c>
      <c r="D340" s="2">
        <v>0.28360000000000002</v>
      </c>
      <c r="E340" s="2">
        <v>26</v>
      </c>
      <c r="F340" s="2">
        <v>92</v>
      </c>
      <c r="G340" s="16">
        <v>118</v>
      </c>
    </row>
    <row r="341" spans="1:7" ht="15" thickBot="1" x14ac:dyDescent="0.35">
      <c r="A341" s="2">
        <v>340</v>
      </c>
      <c r="B341" s="2">
        <v>0.31819999999999998</v>
      </c>
      <c r="C341" s="2">
        <v>0.36</v>
      </c>
      <c r="D341" s="2">
        <v>0.19400000000000001</v>
      </c>
      <c r="E341" s="2">
        <v>21</v>
      </c>
      <c r="F341" s="2">
        <v>108</v>
      </c>
      <c r="G341" s="16">
        <v>129</v>
      </c>
    </row>
    <row r="342" spans="1:7" ht="15" thickBot="1" x14ac:dyDescent="0.35">
      <c r="A342" s="2">
        <v>341</v>
      </c>
      <c r="B342" s="2">
        <v>0.33329999999999999</v>
      </c>
      <c r="C342" s="2">
        <v>0.34</v>
      </c>
      <c r="D342" s="2">
        <v>0.19400000000000001</v>
      </c>
      <c r="E342" s="2">
        <v>33</v>
      </c>
      <c r="F342" s="2">
        <v>95</v>
      </c>
      <c r="G342" s="16">
        <v>128</v>
      </c>
    </row>
    <row r="343" spans="1:7" ht="15" thickBot="1" x14ac:dyDescent="0.35">
      <c r="A343" s="2">
        <v>342</v>
      </c>
      <c r="B343" s="2">
        <v>0.30299999999999999</v>
      </c>
      <c r="C343" s="2">
        <v>0.36</v>
      </c>
      <c r="D343" s="2">
        <v>0.28360000000000002</v>
      </c>
      <c r="E343" s="2">
        <v>29</v>
      </c>
      <c r="F343" s="2">
        <v>54</v>
      </c>
      <c r="G343" s="16">
        <v>83</v>
      </c>
    </row>
    <row r="344" spans="1:7" ht="15" thickBot="1" x14ac:dyDescent="0.35">
      <c r="A344" s="2">
        <v>343</v>
      </c>
      <c r="B344" s="2">
        <v>0.28789999999999999</v>
      </c>
      <c r="C344" s="2">
        <v>0.45</v>
      </c>
      <c r="D344" s="2">
        <v>0.25369999999999998</v>
      </c>
      <c r="E344" s="2">
        <v>15</v>
      </c>
      <c r="F344" s="2">
        <v>69</v>
      </c>
      <c r="G344" s="16">
        <v>84</v>
      </c>
    </row>
    <row r="345" spans="1:7" ht="15" thickBot="1" x14ac:dyDescent="0.35">
      <c r="A345" s="2">
        <v>344</v>
      </c>
      <c r="B345" s="2">
        <v>0.30299999999999999</v>
      </c>
      <c r="C345" s="2">
        <v>0.39</v>
      </c>
      <c r="D345" s="2">
        <v>0.25369999999999998</v>
      </c>
      <c r="E345" s="2">
        <v>14</v>
      </c>
      <c r="F345" s="2">
        <v>60</v>
      </c>
      <c r="G345" s="16">
        <v>74</v>
      </c>
    </row>
    <row r="346" spans="1:7" ht="15" thickBot="1" x14ac:dyDescent="0.35">
      <c r="A346" s="2">
        <v>345</v>
      </c>
      <c r="B346" s="2">
        <v>0.30299999999999999</v>
      </c>
      <c r="C346" s="2">
        <v>0.39</v>
      </c>
      <c r="D346" s="2">
        <v>0.25369999999999998</v>
      </c>
      <c r="E346" s="2">
        <v>6</v>
      </c>
      <c r="F346" s="2">
        <v>35</v>
      </c>
      <c r="G346" s="16">
        <v>41</v>
      </c>
    </row>
    <row r="347" spans="1:7" ht="15" thickBot="1" x14ac:dyDescent="0.35">
      <c r="A347" s="2">
        <v>346</v>
      </c>
      <c r="B347" s="2">
        <v>0.30299999999999999</v>
      </c>
      <c r="C347" s="2">
        <v>0.39</v>
      </c>
      <c r="D347" s="2">
        <v>0.22389999999999999</v>
      </c>
      <c r="E347" s="2">
        <v>6</v>
      </c>
      <c r="F347" s="2">
        <v>51</v>
      </c>
      <c r="G347" s="16">
        <v>57</v>
      </c>
    </row>
    <row r="348" spans="1:7" ht="15" thickBot="1" x14ac:dyDescent="0.35">
      <c r="A348" s="2">
        <v>347</v>
      </c>
      <c r="B348" s="2">
        <v>0.31819999999999998</v>
      </c>
      <c r="C348" s="2">
        <v>0.42</v>
      </c>
      <c r="D348" s="2">
        <v>0.1045</v>
      </c>
      <c r="E348" s="2">
        <v>0</v>
      </c>
      <c r="F348" s="2">
        <v>26</v>
      </c>
      <c r="G348" s="16">
        <v>26</v>
      </c>
    </row>
    <row r="349" spans="1:7" ht="15" thickBot="1" x14ac:dyDescent="0.35">
      <c r="A349" s="2">
        <v>348</v>
      </c>
      <c r="B349" s="2">
        <v>0.28789999999999999</v>
      </c>
      <c r="C349" s="2">
        <v>0.45</v>
      </c>
      <c r="D349" s="2">
        <v>0.28360000000000002</v>
      </c>
      <c r="E349" s="2">
        <v>5</v>
      </c>
      <c r="F349" s="2">
        <v>39</v>
      </c>
      <c r="G349" s="16">
        <v>44</v>
      </c>
    </row>
    <row r="350" spans="1:7" ht="15" thickBot="1" x14ac:dyDescent="0.35">
      <c r="A350" s="2">
        <v>349</v>
      </c>
      <c r="B350" s="2">
        <v>0.30299999999999999</v>
      </c>
      <c r="C350" s="2">
        <v>0.56000000000000005</v>
      </c>
      <c r="D350" s="2">
        <v>0</v>
      </c>
      <c r="E350" s="2">
        <v>6</v>
      </c>
      <c r="F350" s="2">
        <v>33</v>
      </c>
      <c r="G350" s="16">
        <v>39</v>
      </c>
    </row>
    <row r="351" spans="1:7" ht="15" thickBot="1" x14ac:dyDescent="0.35">
      <c r="A351" s="2">
        <v>350</v>
      </c>
      <c r="B351" s="2">
        <v>0.2727</v>
      </c>
      <c r="C351" s="2">
        <v>0.56000000000000005</v>
      </c>
      <c r="D351" s="2">
        <v>0.1343</v>
      </c>
      <c r="E351" s="2">
        <v>4</v>
      </c>
      <c r="F351" s="2">
        <v>19</v>
      </c>
      <c r="G351" s="16">
        <v>23</v>
      </c>
    </row>
    <row r="352" spans="1:7" ht="15" thickBot="1" x14ac:dyDescent="0.35">
      <c r="A352" s="2">
        <v>351</v>
      </c>
      <c r="B352" s="2">
        <v>0.28789999999999999</v>
      </c>
      <c r="C352" s="2">
        <v>0.56000000000000005</v>
      </c>
      <c r="D352" s="2">
        <v>8.9599999999999999E-2</v>
      </c>
      <c r="E352" s="2">
        <v>3</v>
      </c>
      <c r="F352" s="2">
        <v>13</v>
      </c>
      <c r="G352" s="16">
        <v>16</v>
      </c>
    </row>
    <row r="353" spans="1:7" ht="15" thickBot="1" x14ac:dyDescent="0.35">
      <c r="A353" s="2">
        <v>352</v>
      </c>
      <c r="B353" s="2">
        <v>0.2727</v>
      </c>
      <c r="C353" s="2">
        <v>0.69</v>
      </c>
      <c r="D353" s="2">
        <v>0</v>
      </c>
      <c r="E353" s="2">
        <v>9</v>
      </c>
      <c r="F353" s="2">
        <v>6</v>
      </c>
      <c r="G353" s="16">
        <v>15</v>
      </c>
    </row>
    <row r="354" spans="1:7" ht="15" thickBot="1" x14ac:dyDescent="0.35">
      <c r="A354" s="2">
        <v>353</v>
      </c>
      <c r="B354" s="2">
        <v>0.2576</v>
      </c>
      <c r="C354" s="2">
        <v>0.56000000000000005</v>
      </c>
      <c r="D354" s="2">
        <v>0.16420000000000001</v>
      </c>
      <c r="E354" s="2">
        <v>0</v>
      </c>
      <c r="F354" s="2">
        <v>1</v>
      </c>
      <c r="G354" s="16">
        <v>1</v>
      </c>
    </row>
    <row r="355" spans="1:7" ht="15" thickBot="1" x14ac:dyDescent="0.35">
      <c r="A355" s="2">
        <v>354</v>
      </c>
      <c r="B355" s="2">
        <v>0.2576</v>
      </c>
      <c r="C355" s="2">
        <v>0.56000000000000005</v>
      </c>
      <c r="D355" s="2">
        <v>0.16420000000000001</v>
      </c>
      <c r="E355" s="2">
        <v>1</v>
      </c>
      <c r="F355" s="2">
        <v>1</v>
      </c>
      <c r="G355" s="16">
        <v>2</v>
      </c>
    </row>
    <row r="356" spans="1:7" ht="15" thickBot="1" x14ac:dyDescent="0.35">
      <c r="A356" s="2">
        <v>355</v>
      </c>
      <c r="B356" s="2">
        <v>0.2576</v>
      </c>
      <c r="C356" s="2">
        <v>0.56000000000000005</v>
      </c>
      <c r="D356" s="2">
        <v>0.16420000000000001</v>
      </c>
      <c r="E356" s="2">
        <v>0</v>
      </c>
      <c r="F356" s="2">
        <v>1</v>
      </c>
      <c r="G356" s="16">
        <v>1</v>
      </c>
    </row>
    <row r="357" spans="1:7" ht="15" thickBot="1" x14ac:dyDescent="0.35">
      <c r="A357" s="2">
        <v>356</v>
      </c>
      <c r="B357" s="2">
        <v>0.21210000000000001</v>
      </c>
      <c r="C357" s="2">
        <v>0.56000000000000005</v>
      </c>
      <c r="D357" s="2">
        <v>0.29849999999999999</v>
      </c>
      <c r="E357" s="2">
        <v>0</v>
      </c>
      <c r="F357" s="2">
        <v>3</v>
      </c>
      <c r="G357" s="16">
        <v>3</v>
      </c>
    </row>
    <row r="358" spans="1:7" ht="15" thickBot="1" x14ac:dyDescent="0.35">
      <c r="A358" s="2">
        <v>357</v>
      </c>
      <c r="B358" s="2">
        <v>0.21210000000000001</v>
      </c>
      <c r="C358" s="2">
        <v>0.55000000000000004</v>
      </c>
      <c r="D358" s="2">
        <v>0.28360000000000002</v>
      </c>
      <c r="E358" s="2">
        <v>0</v>
      </c>
      <c r="F358" s="2">
        <v>18</v>
      </c>
      <c r="G358" s="16">
        <v>18</v>
      </c>
    </row>
    <row r="359" spans="1:7" ht="15" thickBot="1" x14ac:dyDescent="0.35">
      <c r="A359" s="2">
        <v>358</v>
      </c>
      <c r="B359" s="2">
        <v>0.21210000000000001</v>
      </c>
      <c r="C359" s="2">
        <v>0.51</v>
      </c>
      <c r="D359" s="2">
        <v>0.25369999999999998</v>
      </c>
      <c r="E359" s="2">
        <v>3</v>
      </c>
      <c r="F359" s="2">
        <v>29</v>
      </c>
      <c r="G359" s="16">
        <v>32</v>
      </c>
    </row>
    <row r="360" spans="1:7" ht="15" thickBot="1" x14ac:dyDescent="0.35">
      <c r="A360" s="2">
        <v>359</v>
      </c>
      <c r="B360" s="2">
        <v>0.21210000000000001</v>
      </c>
      <c r="C360" s="2">
        <v>0.51</v>
      </c>
      <c r="D360" s="2">
        <v>0.28360000000000002</v>
      </c>
      <c r="E360" s="2">
        <v>8</v>
      </c>
      <c r="F360" s="2">
        <v>71</v>
      </c>
      <c r="G360" s="16">
        <v>79</v>
      </c>
    </row>
    <row r="361" spans="1:7" ht="15" thickBot="1" x14ac:dyDescent="0.35">
      <c r="A361" s="2">
        <v>360</v>
      </c>
      <c r="B361" s="2">
        <v>0.2273</v>
      </c>
      <c r="C361" s="2">
        <v>0.44</v>
      </c>
      <c r="D361" s="2">
        <v>0.25369999999999998</v>
      </c>
      <c r="E361" s="2">
        <v>23</v>
      </c>
      <c r="F361" s="2">
        <v>70</v>
      </c>
      <c r="G361" s="16">
        <v>93</v>
      </c>
    </row>
    <row r="362" spans="1:7" ht="15" thickBot="1" x14ac:dyDescent="0.35">
      <c r="A362" s="2">
        <v>361</v>
      </c>
      <c r="B362" s="2">
        <v>0.21210000000000001</v>
      </c>
      <c r="C362" s="2">
        <v>0.41</v>
      </c>
      <c r="D362" s="2">
        <v>0.28360000000000002</v>
      </c>
      <c r="E362" s="2">
        <v>29</v>
      </c>
      <c r="F362" s="2">
        <v>75</v>
      </c>
      <c r="G362" s="16">
        <v>104</v>
      </c>
    </row>
    <row r="363" spans="1:7" ht="15" thickBot="1" x14ac:dyDescent="0.35">
      <c r="A363" s="2">
        <v>362</v>
      </c>
      <c r="B363" s="2">
        <v>0.2273</v>
      </c>
      <c r="C363" s="2">
        <v>0.35</v>
      </c>
      <c r="D363" s="2">
        <v>0.29849999999999999</v>
      </c>
      <c r="E363" s="2">
        <v>23</v>
      </c>
      <c r="F363" s="2">
        <v>95</v>
      </c>
      <c r="G363" s="16">
        <v>118</v>
      </c>
    </row>
    <row r="364" spans="1:7" ht="15" thickBot="1" x14ac:dyDescent="0.35">
      <c r="A364" s="2">
        <v>363</v>
      </c>
      <c r="B364" s="2">
        <v>0.2727</v>
      </c>
      <c r="C364" s="2">
        <v>0.36</v>
      </c>
      <c r="D364" s="2">
        <v>0.25369999999999998</v>
      </c>
      <c r="E364" s="2">
        <v>22</v>
      </c>
      <c r="F364" s="2">
        <v>69</v>
      </c>
      <c r="G364" s="16">
        <v>91</v>
      </c>
    </row>
    <row r="365" spans="1:7" ht="15" thickBot="1" x14ac:dyDescent="0.35">
      <c r="A365" s="2">
        <v>364</v>
      </c>
      <c r="B365" s="2">
        <v>0.2424</v>
      </c>
      <c r="C365" s="2">
        <v>0.38</v>
      </c>
      <c r="D365" s="2">
        <v>0.25369999999999998</v>
      </c>
      <c r="E365" s="2">
        <v>35</v>
      </c>
      <c r="F365" s="2">
        <v>78</v>
      </c>
      <c r="G365" s="16">
        <v>113</v>
      </c>
    </row>
    <row r="366" spans="1:7" ht="15" thickBot="1" x14ac:dyDescent="0.35">
      <c r="A366" s="2">
        <v>365</v>
      </c>
      <c r="B366" s="2">
        <v>0.2273</v>
      </c>
      <c r="C366" s="2">
        <v>0.38</v>
      </c>
      <c r="D366" s="2">
        <v>0.22389999999999999</v>
      </c>
      <c r="E366" s="2">
        <v>22</v>
      </c>
      <c r="F366" s="2">
        <v>77</v>
      </c>
      <c r="G366" s="16">
        <v>99</v>
      </c>
    </row>
    <row r="367" spans="1:7" ht="15" thickBot="1" x14ac:dyDescent="0.35">
      <c r="A367" s="2">
        <v>366</v>
      </c>
      <c r="B367" s="2">
        <v>0.21210000000000001</v>
      </c>
      <c r="C367" s="2">
        <v>0.37</v>
      </c>
      <c r="D367" s="2">
        <v>0.25369999999999998</v>
      </c>
      <c r="E367" s="2">
        <v>23</v>
      </c>
      <c r="F367" s="2">
        <v>82</v>
      </c>
      <c r="G367" s="16">
        <v>105</v>
      </c>
    </row>
    <row r="368" spans="1:7" ht="15" thickBot="1" x14ac:dyDescent="0.35">
      <c r="A368" s="2">
        <v>367</v>
      </c>
      <c r="B368" s="2">
        <v>0.21210000000000001</v>
      </c>
      <c r="C368" s="2">
        <v>0.4</v>
      </c>
      <c r="D368" s="2">
        <v>0.16420000000000001</v>
      </c>
      <c r="E368" s="2">
        <v>11</v>
      </c>
      <c r="F368" s="2">
        <v>56</v>
      </c>
      <c r="G368" s="16">
        <v>67</v>
      </c>
    </row>
    <row r="369" spans="1:7" ht="15" thickBot="1" x14ac:dyDescent="0.35">
      <c r="A369" s="2">
        <v>368</v>
      </c>
      <c r="B369" s="2">
        <v>0.19700000000000001</v>
      </c>
      <c r="C369" s="2">
        <v>0.47</v>
      </c>
      <c r="D369" s="2">
        <v>0.1343</v>
      </c>
      <c r="E369" s="2">
        <v>14</v>
      </c>
      <c r="F369" s="2">
        <v>47</v>
      </c>
      <c r="G369" s="16">
        <v>61</v>
      </c>
    </row>
    <row r="370" spans="1:7" ht="15" thickBot="1" x14ac:dyDescent="0.35">
      <c r="A370" s="2">
        <v>369</v>
      </c>
      <c r="B370" s="2">
        <v>0.19700000000000001</v>
      </c>
      <c r="C370" s="2">
        <v>0.47</v>
      </c>
      <c r="D370" s="2">
        <v>0.16420000000000001</v>
      </c>
      <c r="E370" s="2">
        <v>7</v>
      </c>
      <c r="F370" s="2">
        <v>50</v>
      </c>
      <c r="G370" s="16">
        <v>57</v>
      </c>
    </row>
    <row r="371" spans="1:7" ht="15" thickBot="1" x14ac:dyDescent="0.35">
      <c r="A371" s="2">
        <v>370</v>
      </c>
      <c r="B371" s="2">
        <v>0.19700000000000001</v>
      </c>
      <c r="C371" s="2">
        <v>0.51</v>
      </c>
      <c r="D371" s="2">
        <v>0.16420000000000001</v>
      </c>
      <c r="E371" s="2">
        <v>6</v>
      </c>
      <c r="F371" s="2">
        <v>22</v>
      </c>
      <c r="G371" s="16">
        <v>28</v>
      </c>
    </row>
    <row r="372" spans="1:7" ht="15" thickBot="1" x14ac:dyDescent="0.35">
      <c r="A372" s="2">
        <v>371</v>
      </c>
      <c r="B372" s="2">
        <v>0.21210000000000001</v>
      </c>
      <c r="C372" s="2">
        <v>0.49</v>
      </c>
      <c r="D372" s="2">
        <v>0.1343</v>
      </c>
      <c r="E372" s="2">
        <v>2</v>
      </c>
      <c r="F372" s="2">
        <v>19</v>
      </c>
      <c r="G372" s="16">
        <v>21</v>
      </c>
    </row>
    <row r="373" spans="1:7" ht="15" thickBot="1" x14ac:dyDescent="0.35">
      <c r="A373" s="2">
        <v>372</v>
      </c>
      <c r="B373" s="2">
        <v>0.2273</v>
      </c>
      <c r="C373" s="2">
        <v>0.4</v>
      </c>
      <c r="D373" s="2">
        <v>0.1045</v>
      </c>
      <c r="E373" s="2">
        <v>0</v>
      </c>
      <c r="F373" s="2">
        <v>18</v>
      </c>
      <c r="G373" s="16">
        <v>18</v>
      </c>
    </row>
    <row r="374" spans="1:7" ht="15" thickBot="1" x14ac:dyDescent="0.35">
      <c r="A374" s="2">
        <v>373</v>
      </c>
      <c r="B374" s="2">
        <v>0.19700000000000001</v>
      </c>
      <c r="C374" s="2">
        <v>0.47</v>
      </c>
      <c r="D374" s="2">
        <v>0.22389999999999999</v>
      </c>
      <c r="E374" s="2">
        <v>1</v>
      </c>
      <c r="F374" s="2">
        <v>16</v>
      </c>
      <c r="G374" s="16">
        <v>17</v>
      </c>
    </row>
    <row r="375" spans="1:7" ht="15" thickBot="1" x14ac:dyDescent="0.35">
      <c r="A375" s="2">
        <v>374</v>
      </c>
      <c r="B375" s="2">
        <v>0.19700000000000001</v>
      </c>
      <c r="C375" s="2">
        <v>0.44</v>
      </c>
      <c r="D375" s="2">
        <v>0.19400000000000001</v>
      </c>
      <c r="E375" s="2">
        <v>1</v>
      </c>
      <c r="F375" s="2">
        <v>15</v>
      </c>
      <c r="G375" s="16">
        <v>16</v>
      </c>
    </row>
    <row r="376" spans="1:7" ht="15" thickBot="1" x14ac:dyDescent="0.35">
      <c r="A376" s="2">
        <v>375</v>
      </c>
      <c r="B376" s="2">
        <v>0.16669999999999999</v>
      </c>
      <c r="C376" s="2">
        <v>0.43</v>
      </c>
      <c r="D376" s="2">
        <v>0.25369999999999998</v>
      </c>
      <c r="E376" s="2">
        <v>0</v>
      </c>
      <c r="F376" s="2">
        <v>8</v>
      </c>
      <c r="G376" s="16">
        <v>8</v>
      </c>
    </row>
    <row r="377" spans="1:7" ht="15" thickBot="1" x14ac:dyDescent="0.35">
      <c r="A377" s="2">
        <v>376</v>
      </c>
      <c r="B377" s="2">
        <v>0.18179999999999999</v>
      </c>
      <c r="C377" s="2">
        <v>0.43</v>
      </c>
      <c r="D377" s="2">
        <v>0.19400000000000001</v>
      </c>
      <c r="E377" s="2">
        <v>0</v>
      </c>
      <c r="F377" s="2">
        <v>2</v>
      </c>
      <c r="G377" s="16">
        <v>2</v>
      </c>
    </row>
    <row r="378" spans="1:7" ht="15" thickBot="1" x14ac:dyDescent="0.35">
      <c r="A378" s="2">
        <v>377</v>
      </c>
      <c r="B378" s="2">
        <v>0.19700000000000001</v>
      </c>
      <c r="C378" s="2">
        <v>0.43</v>
      </c>
      <c r="D378" s="2">
        <v>0.1343</v>
      </c>
      <c r="E378" s="2">
        <v>1</v>
      </c>
      <c r="F378" s="2">
        <v>2</v>
      </c>
      <c r="G378" s="16">
        <v>3</v>
      </c>
    </row>
    <row r="379" spans="1:7" ht="15" thickBot="1" x14ac:dyDescent="0.35">
      <c r="A379" s="2">
        <v>378</v>
      </c>
      <c r="B379" s="2">
        <v>0.19700000000000001</v>
      </c>
      <c r="C379" s="2">
        <v>0.43</v>
      </c>
      <c r="D379" s="2">
        <v>0.16420000000000001</v>
      </c>
      <c r="E379" s="2">
        <v>0</v>
      </c>
      <c r="F379" s="2">
        <v>1</v>
      </c>
      <c r="G379" s="16">
        <v>1</v>
      </c>
    </row>
    <row r="380" spans="1:7" ht="15" thickBot="1" x14ac:dyDescent="0.35">
      <c r="A380" s="2">
        <v>379</v>
      </c>
      <c r="B380" s="2">
        <v>0.18179999999999999</v>
      </c>
      <c r="C380" s="2">
        <v>0.43</v>
      </c>
      <c r="D380" s="2">
        <v>0.19400000000000001</v>
      </c>
      <c r="E380" s="2">
        <v>0</v>
      </c>
      <c r="F380" s="2">
        <v>5</v>
      </c>
      <c r="G380" s="16">
        <v>5</v>
      </c>
    </row>
    <row r="381" spans="1:7" ht="15" thickBot="1" x14ac:dyDescent="0.35">
      <c r="A381" s="2">
        <v>380</v>
      </c>
      <c r="B381" s="2">
        <v>0.18179999999999999</v>
      </c>
      <c r="C381" s="2">
        <v>0.5</v>
      </c>
      <c r="D381" s="2">
        <v>0.1343</v>
      </c>
      <c r="E381" s="2">
        <v>4</v>
      </c>
      <c r="F381" s="2">
        <v>9</v>
      </c>
      <c r="G381" s="16">
        <v>13</v>
      </c>
    </row>
    <row r="382" spans="1:7" ht="15" thickBot="1" x14ac:dyDescent="0.35">
      <c r="A382" s="2">
        <v>381</v>
      </c>
      <c r="B382" s="2">
        <v>0.1515</v>
      </c>
      <c r="C382" s="2">
        <v>0.47</v>
      </c>
      <c r="D382" s="2">
        <v>0.22389999999999999</v>
      </c>
      <c r="E382" s="2">
        <v>3</v>
      </c>
      <c r="F382" s="2">
        <v>30</v>
      </c>
      <c r="G382" s="16">
        <v>33</v>
      </c>
    </row>
    <row r="383" spans="1:7" ht="15" thickBot="1" x14ac:dyDescent="0.35">
      <c r="A383" s="2">
        <v>382</v>
      </c>
      <c r="B383" s="2">
        <v>0.1515</v>
      </c>
      <c r="C383" s="2">
        <v>0.47</v>
      </c>
      <c r="D383" s="2">
        <v>0.22389999999999999</v>
      </c>
      <c r="E383" s="2">
        <v>8</v>
      </c>
      <c r="F383" s="2">
        <v>39</v>
      </c>
      <c r="G383" s="16">
        <v>47</v>
      </c>
    </row>
    <row r="384" spans="1:7" ht="15" thickBot="1" x14ac:dyDescent="0.35">
      <c r="A384" s="2">
        <v>383</v>
      </c>
      <c r="B384" s="2">
        <v>0.1515</v>
      </c>
      <c r="C384" s="2">
        <v>0.5</v>
      </c>
      <c r="D384" s="2">
        <v>0.25369999999999998</v>
      </c>
      <c r="E384" s="2">
        <v>7</v>
      </c>
      <c r="F384" s="2">
        <v>50</v>
      </c>
      <c r="G384" s="16">
        <v>57</v>
      </c>
    </row>
    <row r="385" spans="1:7" ht="15" thickBot="1" x14ac:dyDescent="0.35">
      <c r="A385" s="2">
        <v>384</v>
      </c>
      <c r="B385" s="2">
        <v>0.1515</v>
      </c>
      <c r="C385" s="2">
        <v>0.55000000000000004</v>
      </c>
      <c r="D385" s="2">
        <v>0.19400000000000001</v>
      </c>
      <c r="E385" s="2">
        <v>9</v>
      </c>
      <c r="F385" s="2">
        <v>55</v>
      </c>
      <c r="G385" s="16">
        <v>64</v>
      </c>
    </row>
    <row r="386" spans="1:7" ht="15" thickBot="1" x14ac:dyDescent="0.35">
      <c r="A386" s="2">
        <v>385</v>
      </c>
      <c r="B386" s="2">
        <v>0.19700000000000001</v>
      </c>
      <c r="C386" s="2">
        <v>0.47</v>
      </c>
      <c r="D386" s="2">
        <v>0.1343</v>
      </c>
      <c r="E386" s="2">
        <v>10</v>
      </c>
      <c r="F386" s="2">
        <v>70</v>
      </c>
      <c r="G386" s="16">
        <v>80</v>
      </c>
    </row>
    <row r="387" spans="1:7" ht="15" thickBot="1" x14ac:dyDescent="0.35">
      <c r="A387" s="2">
        <v>386</v>
      </c>
      <c r="B387" s="2">
        <v>0.19700000000000001</v>
      </c>
      <c r="C387" s="2">
        <v>0.47</v>
      </c>
      <c r="D387" s="2">
        <v>0.1343</v>
      </c>
      <c r="E387" s="2">
        <v>13</v>
      </c>
      <c r="F387" s="2">
        <v>80</v>
      </c>
      <c r="G387" s="16">
        <v>93</v>
      </c>
    </row>
    <row r="388" spans="1:7" ht="15" thickBot="1" x14ac:dyDescent="0.35">
      <c r="A388" s="2">
        <v>387</v>
      </c>
      <c r="B388" s="2">
        <v>0.21210000000000001</v>
      </c>
      <c r="C388" s="2">
        <v>0.43</v>
      </c>
      <c r="D388" s="2">
        <v>0.1045</v>
      </c>
      <c r="E388" s="2">
        <v>12</v>
      </c>
      <c r="F388" s="2">
        <v>74</v>
      </c>
      <c r="G388" s="16">
        <v>86</v>
      </c>
    </row>
    <row r="389" spans="1:7" ht="15" thickBot="1" x14ac:dyDescent="0.35">
      <c r="A389" s="2">
        <v>388</v>
      </c>
      <c r="B389" s="2">
        <v>0.21210000000000001</v>
      </c>
      <c r="C389" s="2">
        <v>0.47</v>
      </c>
      <c r="D389" s="2">
        <v>0.16420000000000001</v>
      </c>
      <c r="E389" s="2">
        <v>21</v>
      </c>
      <c r="F389" s="2">
        <v>72</v>
      </c>
      <c r="G389" s="16">
        <v>93</v>
      </c>
    </row>
    <row r="390" spans="1:7" ht="15" thickBot="1" x14ac:dyDescent="0.35">
      <c r="A390" s="2">
        <v>389</v>
      </c>
      <c r="B390" s="2">
        <v>0.21210000000000001</v>
      </c>
      <c r="C390" s="2">
        <v>0.47</v>
      </c>
      <c r="D390" s="2">
        <v>0.16420000000000001</v>
      </c>
      <c r="E390" s="2">
        <v>6</v>
      </c>
      <c r="F390" s="2">
        <v>76</v>
      </c>
      <c r="G390" s="16">
        <v>82</v>
      </c>
    </row>
    <row r="391" spans="1:7" ht="15" thickBot="1" x14ac:dyDescent="0.35">
      <c r="A391" s="2">
        <v>390</v>
      </c>
      <c r="B391" s="2">
        <v>0.19700000000000001</v>
      </c>
      <c r="C391" s="2">
        <v>0.51</v>
      </c>
      <c r="D391" s="2">
        <v>0.19400000000000001</v>
      </c>
      <c r="E391" s="2">
        <v>4</v>
      </c>
      <c r="F391" s="2">
        <v>67</v>
      </c>
      <c r="G391" s="16">
        <v>71</v>
      </c>
    </row>
    <row r="392" spans="1:7" ht="15" thickBot="1" x14ac:dyDescent="0.35">
      <c r="A392" s="2">
        <v>391</v>
      </c>
      <c r="B392" s="2">
        <v>0.16669999999999999</v>
      </c>
      <c r="C392" s="2">
        <v>0.55000000000000004</v>
      </c>
      <c r="D392" s="2">
        <v>0.25369999999999998</v>
      </c>
      <c r="E392" s="2">
        <v>7</v>
      </c>
      <c r="F392" s="2">
        <v>85</v>
      </c>
      <c r="G392" s="16">
        <v>92</v>
      </c>
    </row>
    <row r="393" spans="1:7" ht="15" thickBot="1" x14ac:dyDescent="0.35">
      <c r="A393" s="2">
        <v>392</v>
      </c>
      <c r="B393" s="2">
        <v>0.18179999999999999</v>
      </c>
      <c r="C393" s="2">
        <v>0.59</v>
      </c>
      <c r="D393" s="2">
        <v>0.19400000000000001</v>
      </c>
      <c r="E393" s="2">
        <v>2</v>
      </c>
      <c r="F393" s="2">
        <v>58</v>
      </c>
      <c r="G393" s="16">
        <v>60</v>
      </c>
    </row>
    <row r="394" spans="1:7" ht="15" thickBot="1" x14ac:dyDescent="0.35">
      <c r="A394" s="2">
        <v>393</v>
      </c>
      <c r="B394" s="2">
        <v>0.1515</v>
      </c>
      <c r="C394" s="2">
        <v>0.8</v>
      </c>
      <c r="D394" s="2">
        <v>0.19400000000000001</v>
      </c>
      <c r="E394" s="2">
        <v>4</v>
      </c>
      <c r="F394" s="2">
        <v>29</v>
      </c>
      <c r="G394" s="16">
        <v>33</v>
      </c>
    </row>
    <row r="395" spans="1:7" ht="15" thickBot="1" x14ac:dyDescent="0.35">
      <c r="A395" s="2">
        <v>394</v>
      </c>
      <c r="B395" s="2">
        <v>0.1515</v>
      </c>
      <c r="C395" s="2">
        <v>0.8</v>
      </c>
      <c r="D395" s="2">
        <v>0.19400000000000001</v>
      </c>
      <c r="E395" s="2">
        <v>3</v>
      </c>
      <c r="F395" s="2">
        <v>24</v>
      </c>
      <c r="G395" s="16">
        <v>27</v>
      </c>
    </row>
    <row r="396" spans="1:7" ht="15" thickBot="1" x14ac:dyDescent="0.35">
      <c r="A396" s="2">
        <v>395</v>
      </c>
      <c r="B396" s="2">
        <v>0.1212</v>
      </c>
      <c r="C396" s="2">
        <v>0.93</v>
      </c>
      <c r="D396" s="2">
        <v>0.25369999999999998</v>
      </c>
      <c r="E396" s="2">
        <v>0</v>
      </c>
      <c r="F396" s="2">
        <v>13</v>
      </c>
      <c r="G396" s="16">
        <v>13</v>
      </c>
    </row>
    <row r="397" spans="1:7" ht="15" thickBot="1" x14ac:dyDescent="0.35">
      <c r="A397" s="2">
        <v>396</v>
      </c>
      <c r="B397" s="2">
        <v>0.13639999999999999</v>
      </c>
      <c r="C397" s="2">
        <v>0.86</v>
      </c>
      <c r="D397" s="2">
        <v>0.28360000000000002</v>
      </c>
      <c r="E397" s="2">
        <v>1</v>
      </c>
      <c r="F397" s="2">
        <v>3</v>
      </c>
      <c r="G397" s="16">
        <v>4</v>
      </c>
    </row>
    <row r="398" spans="1:7" ht="15" thickBot="1" x14ac:dyDescent="0.35">
      <c r="A398" s="2">
        <v>397</v>
      </c>
      <c r="B398" s="2">
        <v>0.18179999999999999</v>
      </c>
      <c r="C398" s="2">
        <v>0.86</v>
      </c>
      <c r="D398" s="2">
        <v>0.32840000000000003</v>
      </c>
      <c r="E398" s="2">
        <v>0</v>
      </c>
      <c r="F398" s="2">
        <v>3</v>
      </c>
      <c r="G398" s="16">
        <v>3</v>
      </c>
    </row>
    <row r="399" spans="1:7" ht="15" thickBot="1" x14ac:dyDescent="0.35">
      <c r="A399" s="2">
        <v>398</v>
      </c>
      <c r="B399" s="2">
        <v>0.19700000000000001</v>
      </c>
      <c r="C399" s="2">
        <v>0.86</v>
      </c>
      <c r="D399" s="2">
        <v>0.22389999999999999</v>
      </c>
      <c r="E399" s="2">
        <v>0</v>
      </c>
      <c r="F399" s="2">
        <v>22</v>
      </c>
      <c r="G399" s="16">
        <v>22</v>
      </c>
    </row>
    <row r="400" spans="1:7" ht="15" thickBot="1" x14ac:dyDescent="0.35">
      <c r="A400" s="2">
        <v>399</v>
      </c>
      <c r="B400" s="2">
        <v>0.2273</v>
      </c>
      <c r="C400" s="2">
        <v>0.8</v>
      </c>
      <c r="D400" s="2">
        <v>0.16420000000000001</v>
      </c>
      <c r="E400" s="2">
        <v>2</v>
      </c>
      <c r="F400" s="2">
        <v>26</v>
      </c>
      <c r="G400" s="16">
        <v>28</v>
      </c>
    </row>
    <row r="401" spans="1:7" ht="15" thickBot="1" x14ac:dyDescent="0.35">
      <c r="A401" s="2">
        <v>400</v>
      </c>
      <c r="B401" s="2">
        <v>0.2273</v>
      </c>
      <c r="C401" s="2">
        <v>0.87</v>
      </c>
      <c r="D401" s="2">
        <v>0.16420000000000001</v>
      </c>
      <c r="E401" s="2">
        <v>3</v>
      </c>
      <c r="F401" s="2">
        <v>32</v>
      </c>
      <c r="G401" s="16">
        <v>35</v>
      </c>
    </row>
    <row r="402" spans="1:7" ht="15" thickBot="1" x14ac:dyDescent="0.35">
      <c r="A402" s="2">
        <v>401</v>
      </c>
      <c r="B402" s="2">
        <v>0.2273</v>
      </c>
      <c r="C402" s="2">
        <v>0.87</v>
      </c>
      <c r="D402" s="2">
        <v>0.19400000000000001</v>
      </c>
      <c r="E402" s="2">
        <v>0</v>
      </c>
      <c r="F402" s="2">
        <v>61</v>
      </c>
      <c r="G402" s="16">
        <v>61</v>
      </c>
    </row>
    <row r="403" spans="1:7" ht="15" thickBot="1" x14ac:dyDescent="0.35">
      <c r="A403" s="2">
        <v>402</v>
      </c>
      <c r="B403" s="2">
        <v>0.2273</v>
      </c>
      <c r="C403" s="2">
        <v>0.82</v>
      </c>
      <c r="D403" s="2">
        <v>0.19400000000000001</v>
      </c>
      <c r="E403" s="2">
        <v>1</v>
      </c>
      <c r="F403" s="2">
        <v>124</v>
      </c>
      <c r="G403" s="16">
        <v>125</v>
      </c>
    </row>
    <row r="404" spans="1:7" ht="15" thickBot="1" x14ac:dyDescent="0.35">
      <c r="A404" s="2">
        <v>403</v>
      </c>
      <c r="B404" s="2">
        <v>0.2273</v>
      </c>
      <c r="C404" s="2">
        <v>0.8</v>
      </c>
      <c r="D404" s="2">
        <v>0.16420000000000001</v>
      </c>
      <c r="E404" s="2">
        <v>1</v>
      </c>
      <c r="F404" s="2">
        <v>132</v>
      </c>
      <c r="G404" s="16">
        <v>133</v>
      </c>
    </row>
    <row r="405" spans="1:7" ht="15" thickBot="1" x14ac:dyDescent="0.35">
      <c r="A405" s="2">
        <v>404</v>
      </c>
      <c r="B405" s="2">
        <v>0.2273</v>
      </c>
      <c r="C405" s="2">
        <v>0.8</v>
      </c>
      <c r="D405" s="2">
        <v>0.1343</v>
      </c>
      <c r="E405" s="2">
        <v>1</v>
      </c>
      <c r="F405" s="2">
        <v>98</v>
      </c>
      <c r="G405" s="16">
        <v>99</v>
      </c>
    </row>
    <row r="406" spans="1:7" ht="15" thickBot="1" x14ac:dyDescent="0.35">
      <c r="A406" s="2">
        <v>405</v>
      </c>
      <c r="B406" s="2">
        <v>0.2727</v>
      </c>
      <c r="C406" s="2">
        <v>0.87</v>
      </c>
      <c r="D406" s="2">
        <v>0</v>
      </c>
      <c r="E406" s="2">
        <v>0</v>
      </c>
      <c r="F406" s="2">
        <v>83</v>
      </c>
      <c r="G406" s="16">
        <v>83</v>
      </c>
    </row>
    <row r="407" spans="1:7" ht="15" thickBot="1" x14ac:dyDescent="0.35">
      <c r="A407" s="2">
        <v>406</v>
      </c>
      <c r="B407" s="2">
        <v>0.2424</v>
      </c>
      <c r="C407" s="2">
        <v>0.93</v>
      </c>
      <c r="D407" s="2">
        <v>0.1045</v>
      </c>
      <c r="E407" s="2">
        <v>0</v>
      </c>
      <c r="F407" s="2">
        <v>41</v>
      </c>
      <c r="G407" s="16">
        <v>41</v>
      </c>
    </row>
    <row r="408" spans="1:7" ht="15" thickBot="1" x14ac:dyDescent="0.35">
      <c r="A408" s="2">
        <v>407</v>
      </c>
      <c r="B408" s="2">
        <v>0.2576</v>
      </c>
      <c r="C408" s="2">
        <v>0.93</v>
      </c>
      <c r="D408" s="2">
        <v>8.9599999999999999E-2</v>
      </c>
      <c r="E408" s="2">
        <v>0</v>
      </c>
      <c r="F408" s="2">
        <v>33</v>
      </c>
      <c r="G408" s="16">
        <v>33</v>
      </c>
    </row>
    <row r="409" spans="1:7" ht="15" thickBot="1" x14ac:dyDescent="0.35">
      <c r="A409" s="2">
        <v>408</v>
      </c>
      <c r="B409" s="2">
        <v>0.2727</v>
      </c>
      <c r="C409" s="2">
        <v>0.93</v>
      </c>
      <c r="D409" s="2">
        <v>0</v>
      </c>
      <c r="E409" s="2">
        <v>1</v>
      </c>
      <c r="F409" s="2">
        <v>19</v>
      </c>
      <c r="G409" s="16">
        <v>20</v>
      </c>
    </row>
    <row r="410" spans="1:7" ht="15" thickBot="1" x14ac:dyDescent="0.35">
      <c r="A410" s="2">
        <v>409</v>
      </c>
      <c r="B410" s="2">
        <v>0.2727</v>
      </c>
      <c r="C410" s="2">
        <v>0.93</v>
      </c>
      <c r="D410" s="2">
        <v>0</v>
      </c>
      <c r="E410" s="2">
        <v>0</v>
      </c>
      <c r="F410" s="2">
        <v>3</v>
      </c>
      <c r="G410" s="16">
        <v>3</v>
      </c>
    </row>
    <row r="411" spans="1:7" ht="15" thickBot="1" x14ac:dyDescent="0.35">
      <c r="A411" s="2">
        <v>410</v>
      </c>
      <c r="B411" s="2">
        <v>0.2273</v>
      </c>
      <c r="C411" s="2">
        <v>0.93</v>
      </c>
      <c r="D411" s="2">
        <v>0.1343</v>
      </c>
      <c r="E411" s="2">
        <v>1</v>
      </c>
      <c r="F411" s="2">
        <v>6</v>
      </c>
      <c r="G411" s="16">
        <v>7</v>
      </c>
    </row>
    <row r="412" spans="1:7" ht="15" thickBot="1" x14ac:dyDescent="0.35">
      <c r="A412" s="2">
        <v>411</v>
      </c>
      <c r="B412" s="2">
        <v>0.2273</v>
      </c>
      <c r="C412" s="2">
        <v>0.93</v>
      </c>
      <c r="D412" s="2">
        <v>0.1343</v>
      </c>
      <c r="E412" s="2">
        <v>0</v>
      </c>
      <c r="F412" s="2">
        <v>3</v>
      </c>
      <c r="G412" s="16">
        <v>3</v>
      </c>
    </row>
    <row r="413" spans="1:7" ht="15" thickBot="1" x14ac:dyDescent="0.35">
      <c r="A413" s="2">
        <v>412</v>
      </c>
      <c r="B413" s="2">
        <v>0.2273</v>
      </c>
      <c r="C413" s="2">
        <v>0.93</v>
      </c>
      <c r="D413" s="2">
        <v>0.1343</v>
      </c>
      <c r="E413" s="2">
        <v>1</v>
      </c>
      <c r="F413" s="2">
        <v>1</v>
      </c>
      <c r="G413" s="16">
        <v>2</v>
      </c>
    </row>
    <row r="414" spans="1:7" ht="15" thickBot="1" x14ac:dyDescent="0.35">
      <c r="A414" s="2">
        <v>413</v>
      </c>
      <c r="B414" s="2">
        <v>0.2576</v>
      </c>
      <c r="C414" s="2">
        <v>0.93</v>
      </c>
      <c r="D414" s="2">
        <v>8.9599999999999999E-2</v>
      </c>
      <c r="E414" s="2">
        <v>0</v>
      </c>
      <c r="F414" s="2">
        <v>7</v>
      </c>
      <c r="G414" s="16">
        <v>7</v>
      </c>
    </row>
    <row r="415" spans="1:7" ht="15" thickBot="1" x14ac:dyDescent="0.35">
      <c r="A415" s="2">
        <v>414</v>
      </c>
      <c r="B415" s="2">
        <v>0.2576</v>
      </c>
      <c r="C415" s="2">
        <v>0.93</v>
      </c>
      <c r="D415" s="2">
        <v>8.9599999999999999E-2</v>
      </c>
      <c r="E415" s="2">
        <v>0</v>
      </c>
      <c r="F415" s="2">
        <v>32</v>
      </c>
      <c r="G415" s="16">
        <v>32</v>
      </c>
    </row>
    <row r="416" spans="1:7" ht="15" thickBot="1" x14ac:dyDescent="0.35">
      <c r="A416" s="2">
        <v>415</v>
      </c>
      <c r="B416" s="2">
        <v>0.2576</v>
      </c>
      <c r="C416" s="2">
        <v>0.92</v>
      </c>
      <c r="D416" s="2">
        <v>0.1045</v>
      </c>
      <c r="E416" s="2">
        <v>1</v>
      </c>
      <c r="F416" s="2">
        <v>89</v>
      </c>
      <c r="G416" s="16">
        <v>90</v>
      </c>
    </row>
    <row r="417" spans="1:7" ht="15" thickBot="1" x14ac:dyDescent="0.35">
      <c r="A417" s="2">
        <v>416</v>
      </c>
      <c r="B417" s="2">
        <v>0.2576</v>
      </c>
      <c r="C417" s="2">
        <v>0.93</v>
      </c>
      <c r="D417" s="2">
        <v>0.1045</v>
      </c>
      <c r="E417" s="2">
        <v>1</v>
      </c>
      <c r="F417" s="2">
        <v>196</v>
      </c>
      <c r="G417" s="16">
        <v>197</v>
      </c>
    </row>
    <row r="418" spans="1:7" ht="15" thickBot="1" x14ac:dyDescent="0.35">
      <c r="A418" s="2">
        <v>417</v>
      </c>
      <c r="B418" s="2">
        <v>0.2576</v>
      </c>
      <c r="C418" s="2">
        <v>0.93</v>
      </c>
      <c r="D418" s="2">
        <v>0.1045</v>
      </c>
      <c r="E418" s="2">
        <v>2</v>
      </c>
      <c r="F418" s="2">
        <v>107</v>
      </c>
      <c r="G418" s="16">
        <v>109</v>
      </c>
    </row>
    <row r="419" spans="1:7" ht="15" thickBot="1" x14ac:dyDescent="0.35">
      <c r="A419" s="2">
        <v>418</v>
      </c>
      <c r="B419" s="2">
        <v>0.2727</v>
      </c>
      <c r="C419" s="2">
        <v>0.93</v>
      </c>
      <c r="D419" s="2">
        <v>0.1343</v>
      </c>
      <c r="E419" s="2">
        <v>1</v>
      </c>
      <c r="F419" s="2">
        <v>46</v>
      </c>
      <c r="G419" s="16">
        <v>47</v>
      </c>
    </row>
    <row r="420" spans="1:7" ht="15" thickBot="1" x14ac:dyDescent="0.35">
      <c r="A420" s="2">
        <v>419</v>
      </c>
      <c r="B420" s="2">
        <v>0.30299999999999999</v>
      </c>
      <c r="C420" s="2">
        <v>0.87</v>
      </c>
      <c r="D420" s="2">
        <v>8.9599999999999999E-2</v>
      </c>
      <c r="E420" s="2">
        <v>5</v>
      </c>
      <c r="F420" s="2">
        <v>47</v>
      </c>
      <c r="G420" s="16">
        <v>52</v>
      </c>
    </row>
    <row r="421" spans="1:7" ht="15" thickBot="1" x14ac:dyDescent="0.35">
      <c r="A421" s="2">
        <v>420</v>
      </c>
      <c r="B421" s="2">
        <v>0.31819999999999998</v>
      </c>
      <c r="C421" s="2">
        <v>0.81</v>
      </c>
      <c r="D421" s="2">
        <v>8.9599999999999999E-2</v>
      </c>
      <c r="E421" s="2">
        <v>5</v>
      </c>
      <c r="F421" s="2">
        <v>65</v>
      </c>
      <c r="G421" s="16">
        <v>70</v>
      </c>
    </row>
    <row r="422" spans="1:7" ht="15" thickBot="1" x14ac:dyDescent="0.35">
      <c r="A422" s="2">
        <v>421</v>
      </c>
      <c r="B422" s="2">
        <v>0.40910000000000002</v>
      </c>
      <c r="C422" s="2">
        <v>0.62</v>
      </c>
      <c r="D422" s="2">
        <v>0.28360000000000002</v>
      </c>
      <c r="E422" s="2">
        <v>11</v>
      </c>
      <c r="F422" s="2">
        <v>67</v>
      </c>
      <c r="G422" s="16">
        <v>78</v>
      </c>
    </row>
    <row r="423" spans="1:7" ht="15" thickBot="1" x14ac:dyDescent="0.35">
      <c r="A423" s="2">
        <v>422</v>
      </c>
      <c r="B423" s="2">
        <v>0.40910000000000002</v>
      </c>
      <c r="C423" s="2">
        <v>0.57999999999999996</v>
      </c>
      <c r="D423" s="2">
        <v>0.25369999999999998</v>
      </c>
      <c r="E423" s="2">
        <v>7</v>
      </c>
      <c r="F423" s="2">
        <v>68</v>
      </c>
      <c r="G423" s="16">
        <v>75</v>
      </c>
    </row>
    <row r="424" spans="1:7" ht="15" thickBot="1" x14ac:dyDescent="0.35">
      <c r="A424" s="2">
        <v>423</v>
      </c>
      <c r="B424" s="2">
        <v>0.40910000000000002</v>
      </c>
      <c r="C424" s="2">
        <v>0.54</v>
      </c>
      <c r="D424" s="2">
        <v>0.28360000000000002</v>
      </c>
      <c r="E424" s="2">
        <v>4</v>
      </c>
      <c r="F424" s="2">
        <v>78</v>
      </c>
      <c r="G424" s="16">
        <v>82</v>
      </c>
    </row>
    <row r="425" spans="1:7" ht="15" thickBot="1" x14ac:dyDescent="0.35">
      <c r="A425" s="2">
        <v>424</v>
      </c>
      <c r="B425" s="2">
        <v>0.39389999999999997</v>
      </c>
      <c r="C425" s="2">
        <v>0.57999999999999996</v>
      </c>
      <c r="D425" s="2">
        <v>0.3881</v>
      </c>
      <c r="E425" s="2">
        <v>10</v>
      </c>
      <c r="F425" s="2">
        <v>94</v>
      </c>
      <c r="G425" s="16">
        <v>104</v>
      </c>
    </row>
    <row r="426" spans="1:7" ht="15" thickBot="1" x14ac:dyDescent="0.35">
      <c r="A426" s="2">
        <v>425</v>
      </c>
      <c r="B426" s="2">
        <v>0.33329999999999999</v>
      </c>
      <c r="C426" s="2">
        <v>0.56999999999999995</v>
      </c>
      <c r="D426" s="2">
        <v>0.32840000000000003</v>
      </c>
      <c r="E426" s="2">
        <v>7</v>
      </c>
      <c r="F426" s="2">
        <v>190</v>
      </c>
      <c r="G426" s="16">
        <v>197</v>
      </c>
    </row>
    <row r="427" spans="1:7" ht="15" thickBot="1" x14ac:dyDescent="0.35">
      <c r="A427" s="2">
        <v>426</v>
      </c>
      <c r="B427" s="2">
        <v>0.31819999999999998</v>
      </c>
      <c r="C427" s="2">
        <v>0.61</v>
      </c>
      <c r="D427" s="2">
        <v>0.28360000000000002</v>
      </c>
      <c r="E427" s="2">
        <v>5</v>
      </c>
      <c r="F427" s="2">
        <v>156</v>
      </c>
      <c r="G427" s="16">
        <v>161</v>
      </c>
    </row>
    <row r="428" spans="1:7" ht="15" thickBot="1" x14ac:dyDescent="0.35">
      <c r="A428" s="2">
        <v>427</v>
      </c>
      <c r="B428" s="2">
        <v>0.28789999999999999</v>
      </c>
      <c r="C428" s="2">
        <v>0.56999999999999995</v>
      </c>
      <c r="D428" s="2">
        <v>0.41789999999999999</v>
      </c>
      <c r="E428" s="2">
        <v>4</v>
      </c>
      <c r="F428" s="2">
        <v>108</v>
      </c>
      <c r="G428" s="16">
        <v>112</v>
      </c>
    </row>
    <row r="429" spans="1:7" ht="15" thickBot="1" x14ac:dyDescent="0.35">
      <c r="A429" s="2">
        <v>428</v>
      </c>
      <c r="B429" s="2">
        <v>0.30299999999999999</v>
      </c>
      <c r="C429" s="2">
        <v>0.49</v>
      </c>
      <c r="D429" s="2">
        <v>0.29849999999999999</v>
      </c>
      <c r="E429" s="2">
        <v>2</v>
      </c>
      <c r="F429" s="2">
        <v>74</v>
      </c>
      <c r="G429" s="16">
        <v>76</v>
      </c>
    </row>
    <row r="430" spans="1:7" ht="15" thickBot="1" x14ac:dyDescent="0.35">
      <c r="A430" s="2">
        <v>429</v>
      </c>
      <c r="B430" s="2">
        <v>0.28789999999999999</v>
      </c>
      <c r="C430" s="2">
        <v>0.49</v>
      </c>
      <c r="D430" s="2">
        <v>0.41789999999999999</v>
      </c>
      <c r="E430" s="2">
        <v>4</v>
      </c>
      <c r="F430" s="2">
        <v>55</v>
      </c>
      <c r="G430" s="16">
        <v>59</v>
      </c>
    </row>
    <row r="431" spans="1:7" ht="15" thickBot="1" x14ac:dyDescent="0.35">
      <c r="A431" s="2">
        <v>430</v>
      </c>
      <c r="B431" s="2">
        <v>0.30299999999999999</v>
      </c>
      <c r="C431" s="2">
        <v>0.52</v>
      </c>
      <c r="D431" s="2">
        <v>0.16420000000000001</v>
      </c>
      <c r="E431" s="2">
        <v>6</v>
      </c>
      <c r="F431" s="2">
        <v>53</v>
      </c>
      <c r="G431" s="16">
        <v>59</v>
      </c>
    </row>
    <row r="432" spans="1:7" ht="15" thickBot="1" x14ac:dyDescent="0.35">
      <c r="A432" s="2">
        <v>431</v>
      </c>
      <c r="B432" s="2">
        <v>0.2727</v>
      </c>
      <c r="C432" s="2">
        <v>0.52</v>
      </c>
      <c r="D432" s="2">
        <v>0.4627</v>
      </c>
      <c r="E432" s="2">
        <v>1</v>
      </c>
      <c r="F432" s="2">
        <v>27</v>
      </c>
      <c r="G432" s="16">
        <v>28</v>
      </c>
    </row>
    <row r="433" spans="1:7" ht="15" thickBot="1" x14ac:dyDescent="0.35">
      <c r="A433" s="2">
        <v>432</v>
      </c>
      <c r="B433" s="2">
        <v>0.2273</v>
      </c>
      <c r="C433" s="2">
        <v>0.56000000000000005</v>
      </c>
      <c r="D433" s="2">
        <v>0.3881</v>
      </c>
      <c r="E433" s="2">
        <v>5</v>
      </c>
      <c r="F433" s="2">
        <v>8</v>
      </c>
      <c r="G433" s="16">
        <v>13</v>
      </c>
    </row>
    <row r="434" spans="1:7" ht="15" thickBot="1" x14ac:dyDescent="0.35">
      <c r="A434" s="2">
        <v>433</v>
      </c>
      <c r="B434" s="2">
        <v>0.2727</v>
      </c>
      <c r="C434" s="2">
        <v>0.56000000000000005</v>
      </c>
      <c r="D434" s="2">
        <v>0</v>
      </c>
      <c r="E434" s="2">
        <v>2</v>
      </c>
      <c r="F434" s="2">
        <v>3</v>
      </c>
      <c r="G434" s="16">
        <v>5</v>
      </c>
    </row>
    <row r="435" spans="1:7" ht="15" thickBot="1" x14ac:dyDescent="0.35">
      <c r="A435" s="2">
        <v>434</v>
      </c>
      <c r="B435" s="2">
        <v>0.2727</v>
      </c>
      <c r="C435" s="2">
        <v>0.56000000000000005</v>
      </c>
      <c r="D435" s="2">
        <v>0</v>
      </c>
      <c r="E435" s="2">
        <v>0</v>
      </c>
      <c r="F435" s="2">
        <v>2</v>
      </c>
      <c r="G435" s="16">
        <v>2</v>
      </c>
    </row>
    <row r="436" spans="1:7" ht="15" thickBot="1" x14ac:dyDescent="0.35">
      <c r="A436" s="2">
        <v>435</v>
      </c>
      <c r="B436" s="2">
        <v>0.2576</v>
      </c>
      <c r="C436" s="2">
        <v>0.56000000000000005</v>
      </c>
      <c r="D436" s="2">
        <v>0.16420000000000001</v>
      </c>
      <c r="E436" s="2">
        <v>0</v>
      </c>
      <c r="F436" s="2">
        <v>1</v>
      </c>
      <c r="G436" s="16">
        <v>1</v>
      </c>
    </row>
    <row r="437" spans="1:7" ht="15" thickBot="1" x14ac:dyDescent="0.35">
      <c r="A437" s="2">
        <v>436</v>
      </c>
      <c r="B437" s="2">
        <v>0.2576</v>
      </c>
      <c r="C437" s="2">
        <v>0.56000000000000005</v>
      </c>
      <c r="D437" s="2">
        <v>0.16420000000000001</v>
      </c>
      <c r="E437" s="2">
        <v>0</v>
      </c>
      <c r="F437" s="2">
        <v>1</v>
      </c>
      <c r="G437" s="16">
        <v>1</v>
      </c>
    </row>
    <row r="438" spans="1:7" ht="15" thickBot="1" x14ac:dyDescent="0.35">
      <c r="A438" s="2">
        <v>437</v>
      </c>
      <c r="B438" s="2">
        <v>0.2273</v>
      </c>
      <c r="C438" s="2">
        <v>0.6</v>
      </c>
      <c r="D438" s="2">
        <v>0.22389999999999999</v>
      </c>
      <c r="E438" s="2">
        <v>0</v>
      </c>
      <c r="F438" s="2">
        <v>6</v>
      </c>
      <c r="G438" s="16">
        <v>6</v>
      </c>
    </row>
    <row r="439" spans="1:7" ht="15" thickBot="1" x14ac:dyDescent="0.35">
      <c r="A439" s="2">
        <v>438</v>
      </c>
      <c r="B439" s="2">
        <v>0.21210000000000001</v>
      </c>
      <c r="C439" s="2">
        <v>0.6</v>
      </c>
      <c r="D439" s="2">
        <v>0.22389999999999999</v>
      </c>
      <c r="E439" s="2">
        <v>0</v>
      </c>
      <c r="F439" s="2">
        <v>35</v>
      </c>
      <c r="G439" s="16">
        <v>35</v>
      </c>
    </row>
    <row r="440" spans="1:7" ht="15" thickBot="1" x14ac:dyDescent="0.35">
      <c r="A440" s="2">
        <v>439</v>
      </c>
      <c r="B440" s="2">
        <v>0.21210000000000001</v>
      </c>
      <c r="C440" s="2">
        <v>0.55000000000000004</v>
      </c>
      <c r="D440" s="2">
        <v>0.22389999999999999</v>
      </c>
      <c r="E440" s="2">
        <v>1</v>
      </c>
      <c r="F440" s="2">
        <v>100</v>
      </c>
      <c r="G440" s="16">
        <v>101</v>
      </c>
    </row>
    <row r="441" spans="1:7" ht="15" thickBot="1" x14ac:dyDescent="0.35">
      <c r="A441" s="2">
        <v>440</v>
      </c>
      <c r="B441" s="2">
        <v>0.21210000000000001</v>
      </c>
      <c r="C441" s="2">
        <v>0.55000000000000004</v>
      </c>
      <c r="D441" s="2">
        <v>0.28360000000000002</v>
      </c>
      <c r="E441" s="2">
        <v>2</v>
      </c>
      <c r="F441" s="2">
        <v>247</v>
      </c>
      <c r="G441" s="16">
        <v>249</v>
      </c>
    </row>
    <row r="442" spans="1:7" ht="15" thickBot="1" x14ac:dyDescent="0.35">
      <c r="A442" s="2">
        <v>441</v>
      </c>
      <c r="B442" s="2">
        <v>0.2273</v>
      </c>
      <c r="C442" s="2">
        <v>0.52</v>
      </c>
      <c r="D442" s="2">
        <v>0.22389999999999999</v>
      </c>
      <c r="E442" s="2">
        <v>3</v>
      </c>
      <c r="F442" s="2">
        <v>140</v>
      </c>
      <c r="G442" s="16">
        <v>143</v>
      </c>
    </row>
    <row r="443" spans="1:7" ht="15" thickBot="1" x14ac:dyDescent="0.35">
      <c r="A443" s="2">
        <v>442</v>
      </c>
      <c r="B443" s="2">
        <v>0.2273</v>
      </c>
      <c r="C443" s="2">
        <v>0.48</v>
      </c>
      <c r="D443" s="2">
        <v>0.29849999999999999</v>
      </c>
      <c r="E443" s="2">
        <v>1</v>
      </c>
      <c r="F443" s="2">
        <v>56</v>
      </c>
      <c r="G443" s="16">
        <v>57</v>
      </c>
    </row>
    <row r="444" spans="1:7" ht="15" thickBot="1" x14ac:dyDescent="0.35">
      <c r="A444" s="2">
        <v>443</v>
      </c>
      <c r="B444" s="2">
        <v>0.2727</v>
      </c>
      <c r="C444" s="2">
        <v>0.45</v>
      </c>
      <c r="D444" s="2">
        <v>0.16420000000000001</v>
      </c>
      <c r="E444" s="2">
        <v>5</v>
      </c>
      <c r="F444" s="2">
        <v>63</v>
      </c>
      <c r="G444" s="16">
        <v>68</v>
      </c>
    </row>
    <row r="445" spans="1:7" ht="15" thickBot="1" x14ac:dyDescent="0.35">
      <c r="A445" s="2">
        <v>444</v>
      </c>
      <c r="B445" s="2">
        <v>0.33329999999999999</v>
      </c>
      <c r="C445" s="2">
        <v>0.42</v>
      </c>
      <c r="D445" s="2">
        <v>0</v>
      </c>
      <c r="E445" s="2">
        <v>7</v>
      </c>
      <c r="F445" s="2">
        <v>77</v>
      </c>
      <c r="G445" s="16">
        <v>84</v>
      </c>
    </row>
    <row r="446" spans="1:7" ht="15" thickBot="1" x14ac:dyDescent="0.35">
      <c r="A446" s="2">
        <v>445</v>
      </c>
      <c r="B446" s="2">
        <v>0.28789999999999999</v>
      </c>
      <c r="C446" s="2">
        <v>0.45</v>
      </c>
      <c r="D446" s="2">
        <v>0.1045</v>
      </c>
      <c r="E446" s="2">
        <v>12</v>
      </c>
      <c r="F446" s="2">
        <v>86</v>
      </c>
      <c r="G446" s="16">
        <v>98</v>
      </c>
    </row>
    <row r="447" spans="1:7" ht="15" thickBot="1" x14ac:dyDescent="0.35">
      <c r="A447" s="2">
        <v>446</v>
      </c>
      <c r="B447" s="2">
        <v>0.30299999999999999</v>
      </c>
      <c r="C447" s="2">
        <v>0.45</v>
      </c>
      <c r="D447" s="2">
        <v>0.1343</v>
      </c>
      <c r="E447" s="2">
        <v>6</v>
      </c>
      <c r="F447" s="2">
        <v>75</v>
      </c>
      <c r="G447" s="16">
        <v>81</v>
      </c>
    </row>
    <row r="448" spans="1:7" ht="15" thickBot="1" x14ac:dyDescent="0.35">
      <c r="A448" s="2">
        <v>447</v>
      </c>
      <c r="B448" s="2">
        <v>0.31819999999999998</v>
      </c>
      <c r="C448" s="2">
        <v>0.45</v>
      </c>
      <c r="D448" s="2">
        <v>0.19400000000000001</v>
      </c>
      <c r="E448" s="2">
        <v>8</v>
      </c>
      <c r="F448" s="2">
        <v>62</v>
      </c>
      <c r="G448" s="16">
        <v>70</v>
      </c>
    </row>
    <row r="449" spans="1:7" ht="15" thickBot="1" x14ac:dyDescent="0.35">
      <c r="A449" s="2">
        <v>448</v>
      </c>
      <c r="B449" s="2">
        <v>0.30299999999999999</v>
      </c>
      <c r="C449" s="2">
        <v>0.49</v>
      </c>
      <c r="D449" s="2">
        <v>0.1343</v>
      </c>
      <c r="E449" s="2">
        <v>8</v>
      </c>
      <c r="F449" s="2">
        <v>83</v>
      </c>
      <c r="G449" s="16">
        <v>91</v>
      </c>
    </row>
    <row r="450" spans="1:7" ht="15" thickBot="1" x14ac:dyDescent="0.35">
      <c r="A450" s="2">
        <v>449</v>
      </c>
      <c r="B450" s="2">
        <v>0.31819999999999998</v>
      </c>
      <c r="C450" s="2">
        <v>0.49</v>
      </c>
      <c r="D450" s="2">
        <v>0.1045</v>
      </c>
      <c r="E450" s="2">
        <v>8</v>
      </c>
      <c r="F450" s="2">
        <v>207</v>
      </c>
      <c r="G450" s="16">
        <v>215</v>
      </c>
    </row>
    <row r="451" spans="1:7" ht="15" thickBot="1" x14ac:dyDescent="0.35">
      <c r="A451" s="2">
        <v>450</v>
      </c>
      <c r="B451" s="2">
        <v>0.2576</v>
      </c>
      <c r="C451" s="2">
        <v>0.56000000000000005</v>
      </c>
      <c r="D451" s="2">
        <v>0.19400000000000001</v>
      </c>
      <c r="E451" s="2">
        <v>1</v>
      </c>
      <c r="F451" s="2">
        <v>184</v>
      </c>
      <c r="G451" s="16">
        <v>185</v>
      </c>
    </row>
    <row r="452" spans="1:7" ht="15" thickBot="1" x14ac:dyDescent="0.35">
      <c r="A452" s="2">
        <v>451</v>
      </c>
      <c r="B452" s="2">
        <v>0.2273</v>
      </c>
      <c r="C452" s="2">
        <v>0.56000000000000005</v>
      </c>
      <c r="D452" s="2">
        <v>0.32840000000000003</v>
      </c>
      <c r="E452" s="2">
        <v>6</v>
      </c>
      <c r="F452" s="2">
        <v>146</v>
      </c>
      <c r="G452" s="16">
        <v>152</v>
      </c>
    </row>
    <row r="453" spans="1:7" ht="15" thickBot="1" x14ac:dyDescent="0.35">
      <c r="A453" s="2">
        <v>452</v>
      </c>
      <c r="B453" s="2">
        <v>0.2424</v>
      </c>
      <c r="C453" s="2">
        <v>0.6</v>
      </c>
      <c r="D453" s="2">
        <v>0.28360000000000002</v>
      </c>
      <c r="E453" s="2">
        <v>2</v>
      </c>
      <c r="F453" s="2">
        <v>124</v>
      </c>
      <c r="G453" s="16">
        <v>126</v>
      </c>
    </row>
    <row r="454" spans="1:7" ht="15" thickBot="1" x14ac:dyDescent="0.35">
      <c r="A454" s="2">
        <v>453</v>
      </c>
      <c r="B454" s="2">
        <v>0.2273</v>
      </c>
      <c r="C454" s="2">
        <v>0.6</v>
      </c>
      <c r="D454" s="2">
        <v>0.25369999999999998</v>
      </c>
      <c r="E454" s="2">
        <v>3</v>
      </c>
      <c r="F454" s="2">
        <v>54</v>
      </c>
      <c r="G454" s="16">
        <v>57</v>
      </c>
    </row>
    <row r="455" spans="1:7" ht="15" thickBot="1" x14ac:dyDescent="0.35">
      <c r="A455" s="2">
        <v>454</v>
      </c>
      <c r="B455" s="2">
        <v>0.21210000000000001</v>
      </c>
      <c r="C455" s="2">
        <v>0.65</v>
      </c>
      <c r="D455" s="2">
        <v>0.28360000000000002</v>
      </c>
      <c r="E455" s="2">
        <v>0</v>
      </c>
      <c r="F455" s="2">
        <v>56</v>
      </c>
      <c r="G455" s="16">
        <v>56</v>
      </c>
    </row>
    <row r="456" spans="1:7" ht="15" thickBot="1" x14ac:dyDescent="0.35">
      <c r="A456" s="2">
        <v>455</v>
      </c>
      <c r="B456" s="2">
        <v>0.21210000000000001</v>
      </c>
      <c r="C456" s="2">
        <v>0.65</v>
      </c>
      <c r="D456" s="2">
        <v>0.32840000000000003</v>
      </c>
      <c r="E456" s="2">
        <v>3</v>
      </c>
      <c r="F456" s="2">
        <v>28</v>
      </c>
      <c r="G456" s="16">
        <v>31</v>
      </c>
    </row>
    <row r="457" spans="1:7" ht="15" thickBot="1" x14ac:dyDescent="0.35">
      <c r="A457" s="2">
        <v>456</v>
      </c>
      <c r="B457" s="2">
        <v>0.2273</v>
      </c>
      <c r="C457" s="2">
        <v>0.7</v>
      </c>
      <c r="D457" s="2">
        <v>0.25369999999999998</v>
      </c>
      <c r="E457" s="2">
        <v>1</v>
      </c>
      <c r="F457" s="2">
        <v>20</v>
      </c>
      <c r="G457" s="16">
        <v>21</v>
      </c>
    </row>
    <row r="458" spans="1:7" ht="15" thickBot="1" x14ac:dyDescent="0.35">
      <c r="A458" s="2">
        <v>457</v>
      </c>
      <c r="B458" s="2">
        <v>0.2273</v>
      </c>
      <c r="C458" s="2">
        <v>0.7</v>
      </c>
      <c r="D458" s="2">
        <v>0.25369999999999998</v>
      </c>
      <c r="E458" s="2">
        <v>0</v>
      </c>
      <c r="F458" s="2">
        <v>6</v>
      </c>
      <c r="G458" s="16">
        <v>6</v>
      </c>
    </row>
    <row r="459" spans="1:7" ht="15" thickBot="1" x14ac:dyDescent="0.35">
      <c r="A459" s="2">
        <v>458</v>
      </c>
      <c r="B459" s="2">
        <v>0.2424</v>
      </c>
      <c r="C459" s="2">
        <v>0.75</v>
      </c>
      <c r="D459" s="2">
        <v>0.16420000000000001</v>
      </c>
      <c r="E459" s="2">
        <v>0</v>
      </c>
      <c r="F459" s="2">
        <v>2</v>
      </c>
      <c r="G459" s="16">
        <v>2</v>
      </c>
    </row>
    <row r="460" spans="1:7" ht="15" thickBot="1" x14ac:dyDescent="0.35">
      <c r="A460" s="2">
        <v>459</v>
      </c>
      <c r="B460" s="2">
        <v>0.21210000000000001</v>
      </c>
      <c r="C460" s="2">
        <v>0.8</v>
      </c>
      <c r="D460" s="2">
        <v>0.29849999999999999</v>
      </c>
      <c r="E460" s="2">
        <v>0</v>
      </c>
      <c r="F460" s="2">
        <v>1</v>
      </c>
      <c r="G460" s="16">
        <v>1</v>
      </c>
    </row>
    <row r="461" spans="1:7" ht="15" thickBot="1" x14ac:dyDescent="0.35">
      <c r="A461" s="2">
        <v>460</v>
      </c>
      <c r="B461" s="2">
        <v>0.2576</v>
      </c>
      <c r="C461" s="2">
        <v>0.87</v>
      </c>
      <c r="D461" s="2">
        <v>8.9599999999999999E-2</v>
      </c>
      <c r="E461" s="2">
        <v>0</v>
      </c>
      <c r="F461" s="2">
        <v>1</v>
      </c>
      <c r="G461" s="16">
        <v>1</v>
      </c>
    </row>
    <row r="462" spans="1:7" ht="15" thickBot="1" x14ac:dyDescent="0.35">
      <c r="A462" s="2">
        <v>461</v>
      </c>
      <c r="B462" s="2">
        <v>0.19700000000000001</v>
      </c>
      <c r="C462" s="2">
        <v>0.6</v>
      </c>
      <c r="D462" s="2">
        <v>0.41789999999999999</v>
      </c>
      <c r="E462" s="2">
        <v>1</v>
      </c>
      <c r="F462" s="2">
        <v>4</v>
      </c>
      <c r="G462" s="16">
        <v>5</v>
      </c>
    </row>
    <row r="463" spans="1:7" ht="15" thickBot="1" x14ac:dyDescent="0.35">
      <c r="A463" s="2">
        <v>462</v>
      </c>
      <c r="B463" s="2">
        <v>0.21210000000000001</v>
      </c>
      <c r="C463" s="2">
        <v>0.55000000000000004</v>
      </c>
      <c r="D463" s="2">
        <v>0.25369999999999998</v>
      </c>
      <c r="E463" s="2">
        <v>0</v>
      </c>
      <c r="F463" s="2">
        <v>27</v>
      </c>
      <c r="G463" s="16">
        <v>27</v>
      </c>
    </row>
    <row r="464" spans="1:7" ht="15" thickBot="1" x14ac:dyDescent="0.35">
      <c r="A464" s="2">
        <v>463</v>
      </c>
      <c r="B464" s="2">
        <v>0.18179999999999999</v>
      </c>
      <c r="C464" s="2">
        <v>0.51</v>
      </c>
      <c r="D464" s="2">
        <v>0.28360000000000002</v>
      </c>
      <c r="E464" s="2">
        <v>2</v>
      </c>
      <c r="F464" s="2">
        <v>66</v>
      </c>
      <c r="G464" s="16">
        <v>68</v>
      </c>
    </row>
    <row r="465" spans="1:7" ht="15" thickBot="1" x14ac:dyDescent="0.35">
      <c r="A465" s="2">
        <v>464</v>
      </c>
      <c r="B465" s="2">
        <v>0.18179999999999999</v>
      </c>
      <c r="C465" s="2">
        <v>0.47</v>
      </c>
      <c r="D465" s="2">
        <v>0.32840000000000003</v>
      </c>
      <c r="E465" s="2">
        <v>7</v>
      </c>
      <c r="F465" s="2">
        <v>210</v>
      </c>
      <c r="G465" s="16">
        <v>217</v>
      </c>
    </row>
    <row r="466" spans="1:7" ht="15" thickBot="1" x14ac:dyDescent="0.35">
      <c r="A466" s="2">
        <v>465</v>
      </c>
      <c r="B466" s="2">
        <v>0.18179999999999999</v>
      </c>
      <c r="C466" s="2">
        <v>0.51</v>
      </c>
      <c r="D466" s="2">
        <v>0.35820000000000002</v>
      </c>
      <c r="E466" s="2">
        <v>7</v>
      </c>
      <c r="F466" s="2">
        <v>159</v>
      </c>
      <c r="G466" s="16">
        <v>166</v>
      </c>
    </row>
    <row r="467" spans="1:7" ht="15" thickBot="1" x14ac:dyDescent="0.35">
      <c r="A467" s="2">
        <v>466</v>
      </c>
      <c r="B467" s="2">
        <v>0.16669999999999999</v>
      </c>
      <c r="C467" s="2">
        <v>0.47</v>
      </c>
      <c r="D467" s="2">
        <v>0.4627</v>
      </c>
      <c r="E467" s="2">
        <v>6</v>
      </c>
      <c r="F467" s="2">
        <v>57</v>
      </c>
      <c r="G467" s="16">
        <v>63</v>
      </c>
    </row>
    <row r="468" spans="1:7" ht="15" thickBot="1" x14ac:dyDescent="0.35">
      <c r="A468" s="2">
        <v>467</v>
      </c>
      <c r="B468" s="2">
        <v>0.18179999999999999</v>
      </c>
      <c r="C468" s="2">
        <v>0.41</v>
      </c>
      <c r="D468" s="2">
        <v>0.4627</v>
      </c>
      <c r="E468" s="2">
        <v>6</v>
      </c>
      <c r="F468" s="2">
        <v>53</v>
      </c>
      <c r="G468" s="16">
        <v>59</v>
      </c>
    </row>
    <row r="469" spans="1:7" ht="15" thickBot="1" x14ac:dyDescent="0.35">
      <c r="A469" s="2">
        <v>468</v>
      </c>
      <c r="B469" s="2">
        <v>0.18179999999999999</v>
      </c>
      <c r="C469" s="2">
        <v>0.27</v>
      </c>
      <c r="D469" s="2">
        <v>0.58209999999999995</v>
      </c>
      <c r="E469" s="2">
        <v>11</v>
      </c>
      <c r="F469" s="2">
        <v>67</v>
      </c>
      <c r="G469" s="16">
        <v>78</v>
      </c>
    </row>
    <row r="470" spans="1:7" ht="15" thickBot="1" x14ac:dyDescent="0.35">
      <c r="A470" s="2">
        <v>469</v>
      </c>
      <c r="B470" s="2">
        <v>0.1515</v>
      </c>
      <c r="C470" s="2">
        <v>0.21</v>
      </c>
      <c r="D470" s="2">
        <v>0.58209999999999995</v>
      </c>
      <c r="E470" s="2">
        <v>8</v>
      </c>
      <c r="F470" s="2">
        <v>65</v>
      </c>
      <c r="G470" s="16">
        <v>73</v>
      </c>
    </row>
    <row r="471" spans="1:7" ht="15" thickBot="1" x14ac:dyDescent="0.35">
      <c r="A471" s="2">
        <v>470</v>
      </c>
      <c r="B471" s="2">
        <v>0.1515</v>
      </c>
      <c r="C471" s="2">
        <v>0.25</v>
      </c>
      <c r="D471" s="2">
        <v>0.52239999999999998</v>
      </c>
      <c r="E471" s="2">
        <v>6</v>
      </c>
      <c r="F471" s="2">
        <v>56</v>
      </c>
      <c r="G471" s="16">
        <v>62</v>
      </c>
    </row>
    <row r="472" spans="1:7" ht="15" thickBot="1" x14ac:dyDescent="0.35">
      <c r="A472" s="2">
        <v>471</v>
      </c>
      <c r="B472" s="2">
        <v>0.1212</v>
      </c>
      <c r="C472" s="2">
        <v>0.26</v>
      </c>
      <c r="D472" s="2">
        <v>0.44779999999999998</v>
      </c>
      <c r="E472" s="2">
        <v>4</v>
      </c>
      <c r="F472" s="2">
        <v>61</v>
      </c>
      <c r="G472" s="16">
        <v>65</v>
      </c>
    </row>
    <row r="473" spans="1:7" ht="15" thickBot="1" x14ac:dyDescent="0.35">
      <c r="A473" s="2">
        <v>472</v>
      </c>
      <c r="B473" s="2">
        <v>0.13639999999999999</v>
      </c>
      <c r="C473" s="2">
        <v>0.26</v>
      </c>
      <c r="D473" s="2">
        <v>0.35820000000000002</v>
      </c>
      <c r="E473" s="2">
        <v>0</v>
      </c>
      <c r="F473" s="2">
        <v>97</v>
      </c>
      <c r="G473" s="16">
        <v>97</v>
      </c>
    </row>
    <row r="474" spans="1:7" ht="15" thickBot="1" x14ac:dyDescent="0.35">
      <c r="A474" s="2">
        <v>473</v>
      </c>
      <c r="B474" s="2">
        <v>0.1212</v>
      </c>
      <c r="C474" s="2">
        <v>0.28000000000000003</v>
      </c>
      <c r="D474" s="2">
        <v>0.35820000000000002</v>
      </c>
      <c r="E474" s="2">
        <v>10</v>
      </c>
      <c r="F474" s="2">
        <v>151</v>
      </c>
      <c r="G474" s="16">
        <v>161</v>
      </c>
    </row>
    <row r="475" spans="1:7" ht="15" thickBot="1" x14ac:dyDescent="0.35">
      <c r="A475" s="2">
        <v>474</v>
      </c>
      <c r="B475" s="2">
        <v>0.1212</v>
      </c>
      <c r="C475" s="2">
        <v>0.3</v>
      </c>
      <c r="D475" s="2">
        <v>0.25369999999999998</v>
      </c>
      <c r="E475" s="2">
        <v>1</v>
      </c>
      <c r="F475" s="2">
        <v>119</v>
      </c>
      <c r="G475" s="16">
        <v>120</v>
      </c>
    </row>
    <row r="476" spans="1:7" ht="15" thickBot="1" x14ac:dyDescent="0.35">
      <c r="A476" s="2">
        <v>475</v>
      </c>
      <c r="B476" s="2">
        <v>0.1061</v>
      </c>
      <c r="C476" s="2">
        <v>0.3</v>
      </c>
      <c r="D476" s="2">
        <v>0.32840000000000003</v>
      </c>
      <c r="E476" s="2">
        <v>3</v>
      </c>
      <c r="F476" s="2">
        <v>93</v>
      </c>
      <c r="G476" s="16">
        <v>96</v>
      </c>
    </row>
    <row r="477" spans="1:7" ht="15" thickBot="1" x14ac:dyDescent="0.35">
      <c r="A477" s="2">
        <v>476</v>
      </c>
      <c r="B477" s="2">
        <v>7.5800000000000006E-2</v>
      </c>
      <c r="C477" s="2">
        <v>0.33</v>
      </c>
      <c r="D477" s="2">
        <v>0.41789999999999999</v>
      </c>
      <c r="E477" s="2">
        <v>1</v>
      </c>
      <c r="F477" s="2">
        <v>52</v>
      </c>
      <c r="G477" s="16">
        <v>53</v>
      </c>
    </row>
    <row r="478" spans="1:7" ht="15" thickBot="1" x14ac:dyDescent="0.35">
      <c r="A478" s="2">
        <v>477</v>
      </c>
      <c r="B478" s="2">
        <v>7.5800000000000006E-2</v>
      </c>
      <c r="C478" s="2">
        <v>0.38</v>
      </c>
      <c r="D478" s="2">
        <v>0.28360000000000002</v>
      </c>
      <c r="E478" s="2">
        <v>0</v>
      </c>
      <c r="F478" s="2">
        <v>41</v>
      </c>
      <c r="G478" s="16">
        <v>41</v>
      </c>
    </row>
    <row r="479" spans="1:7" ht="15" thickBot="1" x14ac:dyDescent="0.35">
      <c r="A479" s="2">
        <v>478</v>
      </c>
      <c r="B479" s="2">
        <v>3.0300000000000001E-2</v>
      </c>
      <c r="C479" s="2">
        <v>0.41</v>
      </c>
      <c r="D479" s="2">
        <v>0.3881</v>
      </c>
      <c r="E479" s="2">
        <v>1</v>
      </c>
      <c r="F479" s="2">
        <v>33</v>
      </c>
      <c r="G479" s="16">
        <v>34</v>
      </c>
    </row>
    <row r="480" spans="1:7" ht="15" thickBot="1" x14ac:dyDescent="0.35">
      <c r="A480" s="2">
        <v>479</v>
      </c>
      <c r="B480" s="2">
        <v>4.5499999999999999E-2</v>
      </c>
      <c r="C480" s="2">
        <v>0.38</v>
      </c>
      <c r="D480" s="2">
        <v>0.32840000000000003</v>
      </c>
      <c r="E480" s="2">
        <v>0</v>
      </c>
      <c r="F480" s="2">
        <v>27</v>
      </c>
      <c r="G480" s="16">
        <v>27</v>
      </c>
    </row>
    <row r="481" spans="1:7" ht="15" thickBot="1" x14ac:dyDescent="0.35">
      <c r="A481" s="2">
        <v>480</v>
      </c>
      <c r="B481" s="2">
        <v>3.0300000000000001E-2</v>
      </c>
      <c r="C481" s="2">
        <v>0.45</v>
      </c>
      <c r="D481" s="2">
        <v>0.25369999999999998</v>
      </c>
      <c r="E481" s="2">
        <v>0</v>
      </c>
      <c r="F481" s="2">
        <v>13</v>
      </c>
      <c r="G481" s="16">
        <v>13</v>
      </c>
    </row>
    <row r="482" spans="1:7" ht="15" thickBot="1" x14ac:dyDescent="0.35">
      <c r="A482" s="2">
        <v>481</v>
      </c>
      <c r="B482" s="2">
        <v>0</v>
      </c>
      <c r="C482" s="2">
        <v>0.41</v>
      </c>
      <c r="D482" s="2">
        <v>0.3881</v>
      </c>
      <c r="E482" s="2">
        <v>3</v>
      </c>
      <c r="F482" s="2">
        <v>9</v>
      </c>
      <c r="G482" s="16">
        <v>12</v>
      </c>
    </row>
    <row r="483" spans="1:7" ht="15" thickBot="1" x14ac:dyDescent="0.35">
      <c r="A483" s="2">
        <v>482</v>
      </c>
      <c r="B483" s="2">
        <v>3.0300000000000001E-2</v>
      </c>
      <c r="C483" s="2">
        <v>0.41</v>
      </c>
      <c r="D483" s="2">
        <v>0.25369999999999998</v>
      </c>
      <c r="E483" s="2">
        <v>0</v>
      </c>
      <c r="F483" s="2">
        <v>11</v>
      </c>
      <c r="G483" s="16">
        <v>11</v>
      </c>
    </row>
    <row r="484" spans="1:7" ht="15" thickBot="1" x14ac:dyDescent="0.35">
      <c r="A484" s="2">
        <v>483</v>
      </c>
      <c r="B484" s="2">
        <v>3.0300000000000001E-2</v>
      </c>
      <c r="C484" s="2">
        <v>0.41</v>
      </c>
      <c r="D484" s="2">
        <v>0.28360000000000002</v>
      </c>
      <c r="E484" s="2">
        <v>1</v>
      </c>
      <c r="F484" s="2">
        <v>6</v>
      </c>
      <c r="G484" s="16">
        <v>7</v>
      </c>
    </row>
    <row r="485" spans="1:7" ht="15" thickBot="1" x14ac:dyDescent="0.35">
      <c r="A485" s="2">
        <v>484</v>
      </c>
      <c r="B485" s="2">
        <v>1.52E-2</v>
      </c>
      <c r="C485" s="2">
        <v>0.48</v>
      </c>
      <c r="D485" s="2">
        <v>0.29849999999999999</v>
      </c>
      <c r="E485" s="2">
        <v>0</v>
      </c>
      <c r="F485" s="2">
        <v>3</v>
      </c>
      <c r="G485" s="16">
        <v>3</v>
      </c>
    </row>
    <row r="486" spans="1:7" ht="15" thickBot="1" x14ac:dyDescent="0.35">
      <c r="A486" s="2">
        <v>485</v>
      </c>
      <c r="B486" s="2">
        <v>3.0300000000000001E-2</v>
      </c>
      <c r="C486" s="2">
        <v>0.44</v>
      </c>
      <c r="D486" s="2">
        <v>0.22389999999999999</v>
      </c>
      <c r="E486" s="2">
        <v>0</v>
      </c>
      <c r="F486" s="2">
        <v>2</v>
      </c>
      <c r="G486" s="16">
        <v>2</v>
      </c>
    </row>
    <row r="487" spans="1:7" ht="15" thickBot="1" x14ac:dyDescent="0.35">
      <c r="A487" s="2">
        <v>486</v>
      </c>
      <c r="B487" s="2">
        <v>1.52E-2</v>
      </c>
      <c r="C487" s="2">
        <v>0.44</v>
      </c>
      <c r="D487" s="2">
        <v>0.28360000000000002</v>
      </c>
      <c r="E487" s="2">
        <v>0</v>
      </c>
      <c r="F487" s="2">
        <v>8</v>
      </c>
      <c r="G487" s="16">
        <v>8</v>
      </c>
    </row>
    <row r="488" spans="1:7" ht="15" thickBot="1" x14ac:dyDescent="0.35">
      <c r="A488" s="2">
        <v>487</v>
      </c>
      <c r="B488" s="2">
        <v>0</v>
      </c>
      <c r="C488" s="2">
        <v>0.44</v>
      </c>
      <c r="D488" s="2">
        <v>0.32840000000000003</v>
      </c>
      <c r="E488" s="2">
        <v>1</v>
      </c>
      <c r="F488" s="2">
        <v>26</v>
      </c>
      <c r="G488" s="16">
        <v>27</v>
      </c>
    </row>
    <row r="489" spans="1:7" ht="15" thickBot="1" x14ac:dyDescent="0.35">
      <c r="A489" s="2">
        <v>488</v>
      </c>
      <c r="B489" s="2">
        <v>3.0300000000000001E-2</v>
      </c>
      <c r="C489" s="2">
        <v>0.41</v>
      </c>
      <c r="D489" s="2">
        <v>0.25369999999999998</v>
      </c>
      <c r="E489" s="2">
        <v>3</v>
      </c>
      <c r="F489" s="2">
        <v>37</v>
      </c>
      <c r="G489" s="16">
        <v>40</v>
      </c>
    </row>
    <row r="490" spans="1:7" ht="15" thickBot="1" x14ac:dyDescent="0.35">
      <c r="A490" s="2">
        <v>489</v>
      </c>
      <c r="B490" s="2">
        <v>6.0600000000000001E-2</v>
      </c>
      <c r="C490" s="2">
        <v>0.41</v>
      </c>
      <c r="D490" s="2">
        <v>0.16420000000000001</v>
      </c>
      <c r="E490" s="2">
        <v>3</v>
      </c>
      <c r="F490" s="2">
        <v>50</v>
      </c>
      <c r="G490" s="16">
        <v>53</v>
      </c>
    </row>
    <row r="491" spans="1:7" ht="15" thickBot="1" x14ac:dyDescent="0.35">
      <c r="A491" s="2">
        <v>490</v>
      </c>
      <c r="B491" s="2">
        <v>7.5800000000000006E-2</v>
      </c>
      <c r="C491" s="2">
        <v>0.38</v>
      </c>
      <c r="D491" s="2">
        <v>0.1343</v>
      </c>
      <c r="E491" s="2">
        <v>4</v>
      </c>
      <c r="F491" s="2">
        <v>59</v>
      </c>
      <c r="G491" s="16">
        <v>63</v>
      </c>
    </row>
    <row r="492" spans="1:7" ht="15" thickBot="1" x14ac:dyDescent="0.35">
      <c r="A492" s="2">
        <v>491</v>
      </c>
      <c r="B492" s="2">
        <v>0.1061</v>
      </c>
      <c r="C492" s="2">
        <v>0.38</v>
      </c>
      <c r="D492" s="2">
        <v>0.1045</v>
      </c>
      <c r="E492" s="2">
        <v>10</v>
      </c>
      <c r="F492" s="2">
        <v>60</v>
      </c>
      <c r="G492" s="16">
        <v>70</v>
      </c>
    </row>
    <row r="493" spans="1:7" ht="15" thickBot="1" x14ac:dyDescent="0.35">
      <c r="A493" s="2">
        <v>492</v>
      </c>
      <c r="B493" s="2">
        <v>0.16669999999999999</v>
      </c>
      <c r="C493" s="2">
        <v>0.35</v>
      </c>
      <c r="D493" s="2">
        <v>0</v>
      </c>
      <c r="E493" s="2">
        <v>12</v>
      </c>
      <c r="F493" s="2">
        <v>72</v>
      </c>
      <c r="G493" s="16">
        <v>84</v>
      </c>
    </row>
    <row r="494" spans="1:7" ht="15" thickBot="1" x14ac:dyDescent="0.35">
      <c r="A494" s="2">
        <v>493</v>
      </c>
      <c r="B494" s="2">
        <v>0.13639999999999999</v>
      </c>
      <c r="C494" s="2">
        <v>0.33</v>
      </c>
      <c r="D494" s="2">
        <v>0.1045</v>
      </c>
      <c r="E494" s="2">
        <v>11</v>
      </c>
      <c r="F494" s="2">
        <v>64</v>
      </c>
      <c r="G494" s="16">
        <v>75</v>
      </c>
    </row>
    <row r="495" spans="1:7" ht="15" thickBot="1" x14ac:dyDescent="0.35">
      <c r="A495" s="2">
        <v>494</v>
      </c>
      <c r="B495" s="2">
        <v>0.1515</v>
      </c>
      <c r="C495" s="2">
        <v>0.28000000000000003</v>
      </c>
      <c r="D495" s="2">
        <v>0</v>
      </c>
      <c r="E495" s="2">
        <v>10</v>
      </c>
      <c r="F495" s="2">
        <v>93</v>
      </c>
      <c r="G495" s="16">
        <v>103</v>
      </c>
    </row>
    <row r="496" spans="1:7" ht="15" thickBot="1" x14ac:dyDescent="0.35">
      <c r="A496" s="2">
        <v>495</v>
      </c>
      <c r="B496" s="2">
        <v>0.13639999999999999</v>
      </c>
      <c r="C496" s="2">
        <v>0.28000000000000003</v>
      </c>
      <c r="D496" s="2">
        <v>0.19400000000000001</v>
      </c>
      <c r="E496" s="2">
        <v>11</v>
      </c>
      <c r="F496" s="2">
        <v>72</v>
      </c>
      <c r="G496" s="16">
        <v>83</v>
      </c>
    </row>
    <row r="497" spans="1:7" ht="15" thickBot="1" x14ac:dyDescent="0.35">
      <c r="A497" s="2">
        <v>496</v>
      </c>
      <c r="B497" s="2">
        <v>0.19700000000000001</v>
      </c>
      <c r="C497" s="2">
        <v>0.28000000000000003</v>
      </c>
      <c r="D497" s="2">
        <v>0</v>
      </c>
      <c r="E497" s="2">
        <v>8</v>
      </c>
      <c r="F497" s="2">
        <v>59</v>
      </c>
      <c r="G497" s="16">
        <v>67</v>
      </c>
    </row>
    <row r="498" spans="1:7" ht="15" thickBot="1" x14ac:dyDescent="0.35">
      <c r="A498" s="2">
        <v>497</v>
      </c>
      <c r="B498" s="2">
        <v>9.0899999999999995E-2</v>
      </c>
      <c r="C498" s="2">
        <v>0.35</v>
      </c>
      <c r="D498" s="2">
        <v>0.19400000000000001</v>
      </c>
      <c r="E498" s="2">
        <v>0</v>
      </c>
      <c r="F498" s="2">
        <v>54</v>
      </c>
      <c r="G498" s="16">
        <v>54</v>
      </c>
    </row>
    <row r="499" spans="1:7" ht="15" thickBot="1" x14ac:dyDescent="0.35">
      <c r="A499" s="2">
        <v>498</v>
      </c>
      <c r="B499" s="2">
        <v>0.1061</v>
      </c>
      <c r="C499" s="2">
        <v>0.35</v>
      </c>
      <c r="D499" s="2">
        <v>0.1343</v>
      </c>
      <c r="E499" s="2">
        <v>6</v>
      </c>
      <c r="F499" s="2">
        <v>53</v>
      </c>
      <c r="G499" s="16">
        <v>59</v>
      </c>
    </row>
    <row r="500" spans="1:7" ht="15" thickBot="1" x14ac:dyDescent="0.35">
      <c r="A500" s="2">
        <v>499</v>
      </c>
      <c r="B500" s="2">
        <v>7.5800000000000006E-2</v>
      </c>
      <c r="C500" s="2">
        <v>0.45</v>
      </c>
      <c r="D500" s="2">
        <v>0.16420000000000001</v>
      </c>
      <c r="E500" s="2">
        <v>1</v>
      </c>
      <c r="F500" s="2">
        <v>44</v>
      </c>
      <c r="G500" s="16">
        <v>45</v>
      </c>
    </row>
    <row r="501" spans="1:7" ht="15" thickBot="1" x14ac:dyDescent="0.35">
      <c r="A501" s="2">
        <v>500</v>
      </c>
      <c r="B501" s="2">
        <v>0.1061</v>
      </c>
      <c r="C501" s="2">
        <v>0.41</v>
      </c>
      <c r="D501" s="2">
        <v>8.9599999999999999E-2</v>
      </c>
      <c r="E501" s="2">
        <v>0</v>
      </c>
      <c r="F501" s="2">
        <v>39</v>
      </c>
      <c r="G501" s="16">
        <v>39</v>
      </c>
    </row>
    <row r="502" spans="1:7" ht="15" thickBot="1" x14ac:dyDescent="0.35">
      <c r="A502" s="2">
        <v>501</v>
      </c>
      <c r="B502" s="2">
        <v>0.1515</v>
      </c>
      <c r="C502" s="2">
        <v>0.49</v>
      </c>
      <c r="D502" s="2">
        <v>0</v>
      </c>
      <c r="E502" s="2">
        <v>7</v>
      </c>
      <c r="F502" s="2">
        <v>23</v>
      </c>
      <c r="G502" s="16">
        <v>30</v>
      </c>
    </row>
    <row r="503" spans="1:7" ht="15" thickBot="1" x14ac:dyDescent="0.35">
      <c r="A503" s="2">
        <v>502</v>
      </c>
      <c r="B503" s="2">
        <v>7.5800000000000006E-2</v>
      </c>
      <c r="C503" s="2">
        <v>0.56999999999999995</v>
      </c>
      <c r="D503" s="2">
        <v>0.1045</v>
      </c>
      <c r="E503" s="2">
        <v>2</v>
      </c>
      <c r="F503" s="2">
        <v>31</v>
      </c>
      <c r="G503" s="16">
        <v>33</v>
      </c>
    </row>
    <row r="504" spans="1:7" ht="15" thickBot="1" x14ac:dyDescent="0.35">
      <c r="A504" s="2">
        <v>503</v>
      </c>
      <c r="B504" s="2">
        <v>7.5800000000000006E-2</v>
      </c>
      <c r="C504" s="2">
        <v>0.56999999999999995</v>
      </c>
      <c r="D504" s="2">
        <v>0.1045</v>
      </c>
      <c r="E504" s="2">
        <v>2</v>
      </c>
      <c r="F504" s="2">
        <v>20</v>
      </c>
      <c r="G504" s="16">
        <v>22</v>
      </c>
    </row>
    <row r="505" spans="1:7" ht="15" thickBot="1" x14ac:dyDescent="0.35">
      <c r="A505" s="2">
        <v>504</v>
      </c>
      <c r="B505" s="2">
        <v>7.5800000000000006E-2</v>
      </c>
      <c r="C505" s="2">
        <v>0.56999999999999995</v>
      </c>
      <c r="D505" s="2">
        <v>0.1045</v>
      </c>
      <c r="E505" s="2">
        <v>1</v>
      </c>
      <c r="F505" s="2">
        <v>12</v>
      </c>
      <c r="G505" s="16">
        <v>13</v>
      </c>
    </row>
    <row r="506" spans="1:7" ht="15" thickBot="1" x14ac:dyDescent="0.35">
      <c r="A506" s="2">
        <v>505</v>
      </c>
      <c r="B506" s="2">
        <v>6.0600000000000001E-2</v>
      </c>
      <c r="C506" s="2">
        <v>0.62</v>
      </c>
      <c r="D506" s="2">
        <v>0.1343</v>
      </c>
      <c r="E506" s="2">
        <v>3</v>
      </c>
      <c r="F506" s="2">
        <v>15</v>
      </c>
      <c r="G506" s="16">
        <v>18</v>
      </c>
    </row>
    <row r="507" spans="1:7" ht="15" thickBot="1" x14ac:dyDescent="0.35">
      <c r="A507" s="2">
        <v>506</v>
      </c>
      <c r="B507" s="2">
        <v>6.0600000000000001E-2</v>
      </c>
      <c r="C507" s="2">
        <v>0.62</v>
      </c>
      <c r="D507" s="2">
        <v>0.1343</v>
      </c>
      <c r="E507" s="2">
        <v>1</v>
      </c>
      <c r="F507" s="2">
        <v>4</v>
      </c>
      <c r="G507" s="16">
        <v>5</v>
      </c>
    </row>
    <row r="508" spans="1:7" ht="15" thickBot="1" x14ac:dyDescent="0.35">
      <c r="A508" s="2">
        <v>507</v>
      </c>
      <c r="B508" s="2">
        <v>7.5800000000000006E-2</v>
      </c>
      <c r="C508" s="2">
        <v>0.56999999999999995</v>
      </c>
      <c r="D508" s="2">
        <v>0.1045</v>
      </c>
      <c r="E508" s="2">
        <v>0</v>
      </c>
      <c r="F508" s="2">
        <v>3</v>
      </c>
      <c r="G508" s="16">
        <v>3</v>
      </c>
    </row>
    <row r="509" spans="1:7" ht="15" thickBot="1" x14ac:dyDescent="0.35">
      <c r="A509" s="2">
        <v>508</v>
      </c>
      <c r="B509" s="2">
        <v>7.5800000000000006E-2</v>
      </c>
      <c r="C509" s="2">
        <v>0.56999999999999995</v>
      </c>
      <c r="D509" s="2">
        <v>0.1045</v>
      </c>
      <c r="E509" s="2">
        <v>0</v>
      </c>
      <c r="F509" s="2">
        <v>1</v>
      </c>
      <c r="G509" s="16">
        <v>1</v>
      </c>
    </row>
    <row r="510" spans="1:7" ht="15" thickBot="1" x14ac:dyDescent="0.35">
      <c r="A510" s="2">
        <v>509</v>
      </c>
      <c r="B510" s="2">
        <v>0.1061</v>
      </c>
      <c r="C510" s="2">
        <v>0.57999999999999996</v>
      </c>
      <c r="D510" s="2">
        <v>0.16420000000000001</v>
      </c>
      <c r="E510" s="2">
        <v>1</v>
      </c>
      <c r="F510" s="2">
        <v>1</v>
      </c>
      <c r="G510" s="16">
        <v>2</v>
      </c>
    </row>
    <row r="511" spans="1:7" ht="15" thickBot="1" x14ac:dyDescent="0.35">
      <c r="A511" s="2">
        <v>510</v>
      </c>
      <c r="B511" s="2">
        <v>7.5800000000000006E-2</v>
      </c>
      <c r="C511" s="2">
        <v>0.62</v>
      </c>
      <c r="D511" s="2">
        <v>0.16420000000000001</v>
      </c>
      <c r="E511" s="2">
        <v>2</v>
      </c>
      <c r="F511" s="2">
        <v>17</v>
      </c>
      <c r="G511" s="16">
        <v>19</v>
      </c>
    </row>
    <row r="512" spans="1:7" ht="15" thickBot="1" x14ac:dyDescent="0.35">
      <c r="A512" s="2">
        <v>511</v>
      </c>
      <c r="B512" s="2">
        <v>7.5800000000000006E-2</v>
      </c>
      <c r="C512" s="2">
        <v>0.54</v>
      </c>
      <c r="D512" s="2">
        <v>0.35820000000000002</v>
      </c>
      <c r="E512" s="2">
        <v>3</v>
      </c>
      <c r="F512" s="2">
        <v>25</v>
      </c>
      <c r="G512" s="16">
        <v>28</v>
      </c>
    </row>
    <row r="513" spans="1:7" ht="15" thickBot="1" x14ac:dyDescent="0.35">
      <c r="A513" s="2">
        <v>512</v>
      </c>
      <c r="B513" s="2">
        <v>0.1061</v>
      </c>
      <c r="C513" s="2">
        <v>0.46</v>
      </c>
      <c r="D513" s="2">
        <v>0.3881</v>
      </c>
      <c r="E513" s="2">
        <v>7</v>
      </c>
      <c r="F513" s="2">
        <v>51</v>
      </c>
      <c r="G513" s="16">
        <v>58</v>
      </c>
    </row>
    <row r="514" spans="1:7" ht="15" thickBot="1" x14ac:dyDescent="0.35">
      <c r="A514" s="2">
        <v>513</v>
      </c>
      <c r="B514" s="2">
        <v>0.13639999999999999</v>
      </c>
      <c r="C514" s="2">
        <v>0.43</v>
      </c>
      <c r="D514" s="2">
        <v>0.22389999999999999</v>
      </c>
      <c r="E514" s="2">
        <v>22</v>
      </c>
      <c r="F514" s="2">
        <v>77</v>
      </c>
      <c r="G514" s="16">
        <v>99</v>
      </c>
    </row>
    <row r="515" spans="1:7" ht="15" thickBot="1" x14ac:dyDescent="0.35">
      <c r="A515" s="2">
        <v>514</v>
      </c>
      <c r="B515" s="2">
        <v>0.1212</v>
      </c>
      <c r="C515" s="2">
        <v>0.37</v>
      </c>
      <c r="D515" s="2">
        <v>0.4627</v>
      </c>
      <c r="E515" s="2">
        <v>24</v>
      </c>
      <c r="F515" s="2">
        <v>92</v>
      </c>
      <c r="G515" s="16">
        <v>116</v>
      </c>
    </row>
    <row r="516" spans="1:7" ht="15" thickBot="1" x14ac:dyDescent="0.35">
      <c r="A516" s="2">
        <v>515</v>
      </c>
      <c r="B516" s="2">
        <v>0.1061</v>
      </c>
      <c r="C516" s="2">
        <v>0.33</v>
      </c>
      <c r="D516" s="2">
        <v>0.3881</v>
      </c>
      <c r="E516" s="2">
        <v>12</v>
      </c>
      <c r="F516" s="2">
        <v>75</v>
      </c>
      <c r="G516" s="16">
        <v>87</v>
      </c>
    </row>
    <row r="517" spans="1:7" ht="15" thickBot="1" x14ac:dyDescent="0.35">
      <c r="A517" s="2">
        <v>516</v>
      </c>
      <c r="B517" s="2">
        <v>0.13639999999999999</v>
      </c>
      <c r="C517" s="2">
        <v>0.28000000000000003</v>
      </c>
      <c r="D517" s="2">
        <v>0.35820000000000002</v>
      </c>
      <c r="E517" s="2">
        <v>17</v>
      </c>
      <c r="F517" s="2">
        <v>93</v>
      </c>
      <c r="G517" s="16">
        <v>110</v>
      </c>
    </row>
    <row r="518" spans="1:7" ht="15" thickBot="1" x14ac:dyDescent="0.35">
      <c r="A518" s="2">
        <v>517</v>
      </c>
      <c r="B518" s="2">
        <v>0.13639999999999999</v>
      </c>
      <c r="C518" s="2">
        <v>0.28000000000000003</v>
      </c>
      <c r="D518" s="2">
        <v>0.35820000000000002</v>
      </c>
      <c r="E518" s="2">
        <v>13</v>
      </c>
      <c r="F518" s="2">
        <v>64</v>
      </c>
      <c r="G518" s="16">
        <v>77</v>
      </c>
    </row>
    <row r="519" spans="1:7" ht="15" thickBot="1" x14ac:dyDescent="0.35">
      <c r="A519" s="2">
        <v>518</v>
      </c>
      <c r="B519" s="2">
        <v>0.13639999999999999</v>
      </c>
      <c r="C519" s="2">
        <v>0.26</v>
      </c>
      <c r="D519" s="2">
        <v>0.32840000000000003</v>
      </c>
      <c r="E519" s="2">
        <v>9</v>
      </c>
      <c r="F519" s="2">
        <v>56</v>
      </c>
      <c r="G519" s="16">
        <v>65</v>
      </c>
    </row>
    <row r="520" spans="1:7" ht="15" thickBot="1" x14ac:dyDescent="0.35">
      <c r="A520" s="2">
        <v>519</v>
      </c>
      <c r="B520" s="2">
        <v>0.1061</v>
      </c>
      <c r="C520" s="2">
        <v>0.26</v>
      </c>
      <c r="D520" s="2">
        <v>0.3881</v>
      </c>
      <c r="E520" s="2">
        <v>5</v>
      </c>
      <c r="F520" s="2">
        <v>50</v>
      </c>
      <c r="G520" s="16">
        <v>55</v>
      </c>
    </row>
    <row r="521" spans="1:7" ht="15" thickBot="1" x14ac:dyDescent="0.35">
      <c r="A521" s="2">
        <v>520</v>
      </c>
      <c r="B521" s="2">
        <v>0.1212</v>
      </c>
      <c r="C521" s="2">
        <v>0.3</v>
      </c>
      <c r="D521" s="2">
        <v>0.25369999999999998</v>
      </c>
      <c r="E521" s="2">
        <v>5</v>
      </c>
      <c r="F521" s="2">
        <v>44</v>
      </c>
      <c r="G521" s="16">
        <v>49</v>
      </c>
    </row>
    <row r="522" spans="1:7" ht="15" thickBot="1" x14ac:dyDescent="0.35">
      <c r="A522" s="2">
        <v>521</v>
      </c>
      <c r="B522" s="2">
        <v>0.1212</v>
      </c>
      <c r="C522" s="2">
        <v>0.3</v>
      </c>
      <c r="D522" s="2">
        <v>0.28360000000000002</v>
      </c>
      <c r="E522" s="2">
        <v>5</v>
      </c>
      <c r="F522" s="2">
        <v>45</v>
      </c>
      <c r="G522" s="16">
        <v>50</v>
      </c>
    </row>
    <row r="523" spans="1:7" ht="15" thickBot="1" x14ac:dyDescent="0.35">
      <c r="A523" s="2">
        <v>522</v>
      </c>
      <c r="B523" s="2">
        <v>0.1061</v>
      </c>
      <c r="C523" s="2">
        <v>0.36</v>
      </c>
      <c r="D523" s="2">
        <v>0.25369999999999998</v>
      </c>
      <c r="E523" s="2">
        <v>4</v>
      </c>
      <c r="F523" s="2">
        <v>31</v>
      </c>
      <c r="G523" s="16">
        <v>35</v>
      </c>
    </row>
    <row r="524" spans="1:7" ht="15" thickBot="1" x14ac:dyDescent="0.35">
      <c r="A524" s="2">
        <v>523</v>
      </c>
      <c r="B524" s="2">
        <v>0.1061</v>
      </c>
      <c r="C524" s="2">
        <v>0.36</v>
      </c>
      <c r="D524" s="2">
        <v>0.19400000000000001</v>
      </c>
      <c r="E524" s="2">
        <v>5</v>
      </c>
      <c r="F524" s="2">
        <v>20</v>
      </c>
      <c r="G524" s="16">
        <v>25</v>
      </c>
    </row>
    <row r="525" spans="1:7" ht="15" thickBot="1" x14ac:dyDescent="0.35">
      <c r="A525" s="2">
        <v>524</v>
      </c>
      <c r="B525" s="2">
        <v>9.0899999999999995E-2</v>
      </c>
      <c r="C525" s="2">
        <v>0.38</v>
      </c>
      <c r="D525" s="2">
        <v>0.19400000000000001</v>
      </c>
      <c r="E525" s="2">
        <v>5</v>
      </c>
      <c r="F525" s="2">
        <v>23</v>
      </c>
      <c r="G525" s="16">
        <v>28</v>
      </c>
    </row>
    <row r="526" spans="1:7" ht="15" thickBot="1" x14ac:dyDescent="0.35">
      <c r="A526" s="2">
        <v>525</v>
      </c>
      <c r="B526" s="2">
        <v>6.0600000000000001E-2</v>
      </c>
      <c r="C526" s="2">
        <v>0.41</v>
      </c>
      <c r="D526" s="2">
        <v>0.22389999999999999</v>
      </c>
      <c r="E526" s="2">
        <v>4</v>
      </c>
      <c r="F526" s="2">
        <v>17</v>
      </c>
      <c r="G526" s="16">
        <v>21</v>
      </c>
    </row>
    <row r="527" spans="1:7" ht="15" thickBot="1" x14ac:dyDescent="0.35">
      <c r="A527" s="2">
        <v>526</v>
      </c>
      <c r="B527" s="2">
        <v>6.0600000000000001E-2</v>
      </c>
      <c r="C527" s="2">
        <v>0.41</v>
      </c>
      <c r="D527" s="2">
        <v>0.19400000000000001</v>
      </c>
      <c r="E527" s="2">
        <v>0</v>
      </c>
      <c r="F527" s="2">
        <v>7</v>
      </c>
      <c r="G527" s="16">
        <v>7</v>
      </c>
    </row>
    <row r="528" spans="1:7" ht="15" thickBot="1" x14ac:dyDescent="0.35">
      <c r="A528" s="2">
        <v>527</v>
      </c>
      <c r="B528" s="2">
        <v>4.5499999999999999E-2</v>
      </c>
      <c r="C528" s="2">
        <v>0.45</v>
      </c>
      <c r="D528" s="2">
        <v>0.19400000000000001</v>
      </c>
      <c r="E528" s="2">
        <v>0</v>
      </c>
      <c r="F528" s="2">
        <v>1</v>
      </c>
      <c r="G528" s="16">
        <v>1</v>
      </c>
    </row>
    <row r="529" spans="1:7" ht="15" thickBot="1" x14ac:dyDescent="0.35">
      <c r="A529" s="2">
        <v>528</v>
      </c>
      <c r="B529" s="2">
        <v>3.0300000000000001E-2</v>
      </c>
      <c r="C529" s="2">
        <v>0.45</v>
      </c>
      <c r="D529" s="2">
        <v>0.25369999999999998</v>
      </c>
      <c r="E529" s="2">
        <v>0</v>
      </c>
      <c r="F529" s="2">
        <v>1</v>
      </c>
      <c r="G529" s="16">
        <v>1</v>
      </c>
    </row>
    <row r="530" spans="1:7" ht="15" thickBot="1" x14ac:dyDescent="0.35">
      <c r="A530" s="2">
        <v>529</v>
      </c>
      <c r="B530" s="2">
        <v>6.0600000000000001E-2</v>
      </c>
      <c r="C530" s="2">
        <v>0.48</v>
      </c>
      <c r="D530" s="2">
        <v>0.1343</v>
      </c>
      <c r="E530" s="2">
        <v>0</v>
      </c>
      <c r="F530" s="2">
        <v>1</v>
      </c>
      <c r="G530" s="16">
        <v>1</v>
      </c>
    </row>
    <row r="531" spans="1:7" ht="15" thickBot="1" x14ac:dyDescent="0.35">
      <c r="A531" s="2">
        <v>530</v>
      </c>
      <c r="B531" s="2">
        <v>6.0600000000000001E-2</v>
      </c>
      <c r="C531" s="2">
        <v>0.48</v>
      </c>
      <c r="D531" s="2">
        <v>0.1343</v>
      </c>
      <c r="E531" s="2">
        <v>0</v>
      </c>
      <c r="F531" s="2">
        <v>5</v>
      </c>
      <c r="G531" s="16">
        <v>5</v>
      </c>
    </row>
    <row r="532" spans="1:7" ht="15" thickBot="1" x14ac:dyDescent="0.35">
      <c r="A532" s="2">
        <v>531</v>
      </c>
      <c r="B532" s="2">
        <v>7.5800000000000006E-2</v>
      </c>
      <c r="C532" s="2">
        <v>0.48</v>
      </c>
      <c r="D532" s="2">
        <v>8.9599999999999999E-2</v>
      </c>
      <c r="E532" s="2">
        <v>0</v>
      </c>
      <c r="F532" s="2">
        <v>15</v>
      </c>
      <c r="G532" s="16">
        <v>15</v>
      </c>
    </row>
    <row r="533" spans="1:7" ht="15" thickBot="1" x14ac:dyDescent="0.35">
      <c r="A533" s="2">
        <v>532</v>
      </c>
      <c r="B533" s="2">
        <v>0.1212</v>
      </c>
      <c r="C533" s="2">
        <v>0.48</v>
      </c>
      <c r="D533" s="2">
        <v>0</v>
      </c>
      <c r="E533" s="2">
        <v>5</v>
      </c>
      <c r="F533" s="2">
        <v>79</v>
      </c>
      <c r="G533" s="16">
        <v>84</v>
      </c>
    </row>
    <row r="534" spans="1:7" ht="15" thickBot="1" x14ac:dyDescent="0.35">
      <c r="A534" s="2">
        <v>533</v>
      </c>
      <c r="B534" s="2">
        <v>0.13639999999999999</v>
      </c>
      <c r="C534" s="2">
        <v>0.49</v>
      </c>
      <c r="D534" s="2">
        <v>0</v>
      </c>
      <c r="E534" s="2">
        <v>6</v>
      </c>
      <c r="F534" s="2">
        <v>171</v>
      </c>
      <c r="G534" s="16">
        <v>177</v>
      </c>
    </row>
    <row r="535" spans="1:7" ht="15" thickBot="1" x14ac:dyDescent="0.35">
      <c r="A535" s="2">
        <v>534</v>
      </c>
      <c r="B535" s="2">
        <v>0.1515</v>
      </c>
      <c r="C535" s="2">
        <v>0.41</v>
      </c>
      <c r="D535" s="2">
        <v>0</v>
      </c>
      <c r="E535" s="2">
        <v>4</v>
      </c>
      <c r="F535" s="2">
        <v>98</v>
      </c>
      <c r="G535" s="16">
        <v>102</v>
      </c>
    </row>
    <row r="536" spans="1:7" ht="15" thickBot="1" x14ac:dyDescent="0.35">
      <c r="A536" s="2">
        <v>535</v>
      </c>
      <c r="B536" s="2">
        <v>0.13639999999999999</v>
      </c>
      <c r="C536" s="2">
        <v>0.42</v>
      </c>
      <c r="D536" s="2">
        <v>0</v>
      </c>
      <c r="E536" s="2">
        <v>6</v>
      </c>
      <c r="F536" s="2">
        <v>34</v>
      </c>
      <c r="G536" s="16">
        <v>40</v>
      </c>
    </row>
    <row r="537" spans="1:7" ht="15" thickBot="1" x14ac:dyDescent="0.35">
      <c r="A537" s="2">
        <v>536</v>
      </c>
      <c r="B537" s="2">
        <v>0.1212</v>
      </c>
      <c r="C537" s="2">
        <v>0.46</v>
      </c>
      <c r="D537" s="2">
        <v>0.1343</v>
      </c>
      <c r="E537" s="2">
        <v>3</v>
      </c>
      <c r="F537" s="2">
        <v>43</v>
      </c>
      <c r="G537" s="16">
        <v>46</v>
      </c>
    </row>
    <row r="538" spans="1:7" ht="15" thickBot="1" x14ac:dyDescent="0.35">
      <c r="A538" s="2">
        <v>537</v>
      </c>
      <c r="B538" s="2">
        <v>0.13639999999999999</v>
      </c>
      <c r="C538" s="2">
        <v>0.42</v>
      </c>
      <c r="D538" s="2">
        <v>0.19400000000000001</v>
      </c>
      <c r="E538" s="2">
        <v>11</v>
      </c>
      <c r="F538" s="2">
        <v>52</v>
      </c>
      <c r="G538" s="16">
        <v>63</v>
      </c>
    </row>
    <row r="539" spans="1:7" ht="15" thickBot="1" x14ac:dyDescent="0.35">
      <c r="A539" s="2">
        <v>538</v>
      </c>
      <c r="B539" s="2">
        <v>0.13639999999999999</v>
      </c>
      <c r="C539" s="2">
        <v>0.43</v>
      </c>
      <c r="D539" s="2">
        <v>0.22389999999999999</v>
      </c>
      <c r="E539" s="2">
        <v>6</v>
      </c>
      <c r="F539" s="2">
        <v>54</v>
      </c>
      <c r="G539" s="16">
        <v>60</v>
      </c>
    </row>
    <row r="540" spans="1:7" ht="15" thickBot="1" x14ac:dyDescent="0.35">
      <c r="A540" s="2">
        <v>539</v>
      </c>
      <c r="B540" s="2">
        <v>0.13639999999999999</v>
      </c>
      <c r="C540" s="2">
        <v>0.46</v>
      </c>
      <c r="D540" s="2">
        <v>0.22389999999999999</v>
      </c>
      <c r="E540" s="2">
        <v>2</v>
      </c>
      <c r="F540" s="2">
        <v>43</v>
      </c>
      <c r="G540" s="16">
        <v>45</v>
      </c>
    </row>
    <row r="541" spans="1:7" ht="15" thickBot="1" x14ac:dyDescent="0.35">
      <c r="A541" s="2">
        <v>540</v>
      </c>
      <c r="B541" s="2">
        <v>0.16669999999999999</v>
      </c>
      <c r="C541" s="2">
        <v>0.4</v>
      </c>
      <c r="D541" s="2">
        <v>0.16420000000000001</v>
      </c>
      <c r="E541" s="2">
        <v>7</v>
      </c>
      <c r="F541" s="2">
        <v>50</v>
      </c>
      <c r="G541" s="16">
        <v>57</v>
      </c>
    </row>
    <row r="542" spans="1:7" ht="15" thickBot="1" x14ac:dyDescent="0.35">
      <c r="A542" s="2">
        <v>541</v>
      </c>
      <c r="B542" s="2">
        <v>0.1515</v>
      </c>
      <c r="C542" s="2">
        <v>0.47</v>
      </c>
      <c r="D542" s="2">
        <v>0.25369999999999998</v>
      </c>
      <c r="E542" s="2">
        <v>4</v>
      </c>
      <c r="F542" s="2">
        <v>66</v>
      </c>
      <c r="G542" s="16">
        <v>70</v>
      </c>
    </row>
    <row r="543" spans="1:7" ht="15" thickBot="1" x14ac:dyDescent="0.35">
      <c r="A543" s="2">
        <v>542</v>
      </c>
      <c r="B543" s="2">
        <v>0.1212</v>
      </c>
      <c r="C543" s="2">
        <v>0.5</v>
      </c>
      <c r="D543" s="2">
        <v>0.25369999999999998</v>
      </c>
      <c r="E543" s="2">
        <v>6</v>
      </c>
      <c r="F543" s="2">
        <v>178</v>
      </c>
      <c r="G543" s="16">
        <v>184</v>
      </c>
    </row>
    <row r="544" spans="1:7" ht="15" thickBot="1" x14ac:dyDescent="0.35">
      <c r="A544" s="2">
        <v>543</v>
      </c>
      <c r="B544" s="2">
        <v>0.13639999999999999</v>
      </c>
      <c r="C544" s="2">
        <v>0.59</v>
      </c>
      <c r="D544" s="2">
        <v>0.19400000000000001</v>
      </c>
      <c r="E544" s="2">
        <v>8</v>
      </c>
      <c r="F544" s="2">
        <v>145</v>
      </c>
      <c r="G544" s="16">
        <v>153</v>
      </c>
    </row>
    <row r="545" spans="1:7" ht="15" thickBot="1" x14ac:dyDescent="0.35">
      <c r="A545" s="2">
        <v>544</v>
      </c>
      <c r="B545" s="2">
        <v>0.1515</v>
      </c>
      <c r="C545" s="2">
        <v>0.54</v>
      </c>
      <c r="D545" s="2">
        <v>0.16420000000000001</v>
      </c>
      <c r="E545" s="2">
        <v>5</v>
      </c>
      <c r="F545" s="2">
        <v>101</v>
      </c>
      <c r="G545" s="16">
        <v>106</v>
      </c>
    </row>
    <row r="546" spans="1:7" ht="15" thickBot="1" x14ac:dyDescent="0.35">
      <c r="A546" s="2">
        <v>545</v>
      </c>
      <c r="B546" s="2">
        <v>0.13639999999999999</v>
      </c>
      <c r="C546" s="2">
        <v>0.59</v>
      </c>
      <c r="D546" s="2">
        <v>0.19400000000000001</v>
      </c>
      <c r="E546" s="2">
        <v>1</v>
      </c>
      <c r="F546" s="2">
        <v>80</v>
      </c>
      <c r="G546" s="16">
        <v>81</v>
      </c>
    </row>
    <row r="547" spans="1:7" ht="15" thickBot="1" x14ac:dyDescent="0.35">
      <c r="A547" s="2">
        <v>546</v>
      </c>
      <c r="B547" s="2">
        <v>0.1515</v>
      </c>
      <c r="C547" s="2">
        <v>0.63</v>
      </c>
      <c r="D547" s="2">
        <v>0.16420000000000001</v>
      </c>
      <c r="E547" s="2">
        <v>6</v>
      </c>
      <c r="F547" s="2">
        <v>53</v>
      </c>
      <c r="G547" s="16">
        <v>59</v>
      </c>
    </row>
    <row r="548" spans="1:7" ht="15" thickBot="1" x14ac:dyDescent="0.35">
      <c r="A548" s="2">
        <v>547</v>
      </c>
      <c r="B548" s="2">
        <v>0.13639999999999999</v>
      </c>
      <c r="C548" s="2">
        <v>0.63</v>
      </c>
      <c r="D548" s="2">
        <v>0.22389999999999999</v>
      </c>
      <c r="E548" s="2">
        <v>3</v>
      </c>
      <c r="F548" s="2">
        <v>32</v>
      </c>
      <c r="G548" s="16">
        <v>35</v>
      </c>
    </row>
    <row r="549" spans="1:7" ht="15" thickBot="1" x14ac:dyDescent="0.35">
      <c r="A549" s="2">
        <v>548</v>
      </c>
      <c r="B549" s="2">
        <v>0.1515</v>
      </c>
      <c r="C549" s="2">
        <v>0.64</v>
      </c>
      <c r="D549" s="2">
        <v>0.25369999999999998</v>
      </c>
      <c r="E549" s="2">
        <v>3</v>
      </c>
      <c r="F549" s="2">
        <v>21</v>
      </c>
      <c r="G549" s="16">
        <v>24</v>
      </c>
    </row>
    <row r="550" spans="1:7" ht="15" thickBot="1" x14ac:dyDescent="0.35">
      <c r="A550" s="2">
        <v>549</v>
      </c>
      <c r="B550" s="2">
        <v>0.13639999999999999</v>
      </c>
      <c r="C550" s="2">
        <v>0.69</v>
      </c>
      <c r="D550" s="2">
        <v>0.28360000000000002</v>
      </c>
      <c r="E550" s="2">
        <v>3</v>
      </c>
      <c r="F550" s="2">
        <v>6</v>
      </c>
      <c r="G550" s="16">
        <v>9</v>
      </c>
    </row>
    <row r="551" spans="1:7" ht="15" thickBot="1" x14ac:dyDescent="0.35">
      <c r="A551" s="2">
        <v>550</v>
      </c>
      <c r="B551" s="2">
        <v>0.16669999999999999</v>
      </c>
      <c r="C551" s="2">
        <v>0.69</v>
      </c>
      <c r="D551" s="2">
        <v>0.16420000000000001</v>
      </c>
      <c r="E551" s="2">
        <v>0</v>
      </c>
      <c r="F551" s="2">
        <v>5</v>
      </c>
      <c r="G551" s="16">
        <v>5</v>
      </c>
    </row>
    <row r="552" spans="1:7" ht="15" thickBot="1" x14ac:dyDescent="0.35">
      <c r="A552" s="2">
        <v>551</v>
      </c>
      <c r="B552" s="2">
        <v>0.1515</v>
      </c>
      <c r="C552" s="2">
        <v>0.69</v>
      </c>
      <c r="D552" s="2">
        <v>0.22389999999999999</v>
      </c>
      <c r="E552" s="2">
        <v>0</v>
      </c>
      <c r="F552" s="2">
        <v>2</v>
      </c>
      <c r="G552" s="16">
        <v>2</v>
      </c>
    </row>
    <row r="553" spans="1:7" ht="15" thickBot="1" x14ac:dyDescent="0.35">
      <c r="A553" s="2">
        <v>552</v>
      </c>
      <c r="B553" s="2">
        <v>0.16669999999999999</v>
      </c>
      <c r="C553" s="2">
        <v>0.74</v>
      </c>
      <c r="D553" s="2">
        <v>0.1045</v>
      </c>
      <c r="E553" s="2">
        <v>0</v>
      </c>
      <c r="F553" s="2">
        <v>1</v>
      </c>
      <c r="G553" s="16">
        <v>1</v>
      </c>
    </row>
    <row r="554" spans="1:7" ht="15" thickBot="1" x14ac:dyDescent="0.35">
      <c r="A554" s="2">
        <v>553</v>
      </c>
      <c r="B554" s="2">
        <v>0.13639999999999999</v>
      </c>
      <c r="C554" s="2">
        <v>0.74</v>
      </c>
      <c r="D554" s="2">
        <v>0.22389999999999999</v>
      </c>
      <c r="E554" s="2">
        <v>0</v>
      </c>
      <c r="F554" s="2">
        <v>9</v>
      </c>
      <c r="G554" s="16">
        <v>9</v>
      </c>
    </row>
    <row r="555" spans="1:7" ht="15" thickBot="1" x14ac:dyDescent="0.35">
      <c r="A555" s="2">
        <v>554</v>
      </c>
      <c r="B555" s="2">
        <v>0.18179999999999999</v>
      </c>
      <c r="C555" s="2">
        <v>0.74</v>
      </c>
      <c r="D555" s="2">
        <v>0.1045</v>
      </c>
      <c r="E555" s="2">
        <v>1</v>
      </c>
      <c r="F555" s="2">
        <v>35</v>
      </c>
      <c r="G555" s="16">
        <v>36</v>
      </c>
    </row>
    <row r="556" spans="1:7" ht="15" thickBot="1" x14ac:dyDescent="0.35">
      <c r="A556" s="2">
        <v>555</v>
      </c>
      <c r="B556" s="2">
        <v>0.1515</v>
      </c>
      <c r="C556" s="2">
        <v>0.74</v>
      </c>
      <c r="D556" s="2">
        <v>0.22389999999999999</v>
      </c>
      <c r="E556" s="2">
        <v>5</v>
      </c>
      <c r="F556" s="2">
        <v>103</v>
      </c>
      <c r="G556" s="16">
        <v>108</v>
      </c>
    </row>
    <row r="557" spans="1:7" ht="15" thickBot="1" x14ac:dyDescent="0.35">
      <c r="A557" s="2">
        <v>556</v>
      </c>
      <c r="B557" s="2">
        <v>0.18179999999999999</v>
      </c>
      <c r="C557" s="2">
        <v>0.74</v>
      </c>
      <c r="D557" s="2">
        <v>0.1343</v>
      </c>
      <c r="E557" s="2">
        <v>5</v>
      </c>
      <c r="F557" s="2">
        <v>233</v>
      </c>
      <c r="G557" s="16">
        <v>238</v>
      </c>
    </row>
    <row r="558" spans="1:7" ht="15" thickBot="1" x14ac:dyDescent="0.35">
      <c r="A558" s="2">
        <v>557</v>
      </c>
      <c r="B558" s="2">
        <v>0.2273</v>
      </c>
      <c r="C558" s="2">
        <v>0.64</v>
      </c>
      <c r="D558" s="2">
        <v>8.9599999999999999E-2</v>
      </c>
      <c r="E558" s="2">
        <v>10</v>
      </c>
      <c r="F558" s="2">
        <v>134</v>
      </c>
      <c r="G558" s="16">
        <v>144</v>
      </c>
    </row>
    <row r="559" spans="1:7" ht="15" thickBot="1" x14ac:dyDescent="0.35">
      <c r="A559" s="2">
        <v>558</v>
      </c>
      <c r="B559" s="2">
        <v>0.2424</v>
      </c>
      <c r="C559" s="2">
        <v>0.6</v>
      </c>
      <c r="D559" s="2">
        <v>0.1045</v>
      </c>
      <c r="E559" s="2">
        <v>6</v>
      </c>
      <c r="F559" s="2">
        <v>49</v>
      </c>
      <c r="G559" s="16">
        <v>55</v>
      </c>
    </row>
    <row r="560" spans="1:7" ht="15" thickBot="1" x14ac:dyDescent="0.35">
      <c r="A560" s="2">
        <v>559</v>
      </c>
      <c r="B560" s="2">
        <v>0.2424</v>
      </c>
      <c r="C560" s="2">
        <v>0.6</v>
      </c>
      <c r="D560" s="2">
        <v>0.1343</v>
      </c>
      <c r="E560" s="2">
        <v>6</v>
      </c>
      <c r="F560" s="2">
        <v>55</v>
      </c>
      <c r="G560" s="16">
        <v>61</v>
      </c>
    </row>
    <row r="561" spans="1:7" ht="15" thickBot="1" x14ac:dyDescent="0.35">
      <c r="A561" s="2">
        <v>560</v>
      </c>
      <c r="B561" s="2">
        <v>0.28789999999999999</v>
      </c>
      <c r="C561" s="2">
        <v>0.56000000000000005</v>
      </c>
      <c r="D561" s="2">
        <v>8.9599999999999999E-2</v>
      </c>
      <c r="E561" s="2">
        <v>21</v>
      </c>
      <c r="F561" s="2">
        <v>85</v>
      </c>
      <c r="G561" s="16">
        <v>106</v>
      </c>
    </row>
    <row r="562" spans="1:7" ht="15" thickBot="1" x14ac:dyDescent="0.35">
      <c r="A562" s="2">
        <v>561</v>
      </c>
      <c r="B562" s="2">
        <v>0.2727</v>
      </c>
      <c r="C562" s="2">
        <v>0.56000000000000005</v>
      </c>
      <c r="D562" s="2">
        <v>0.1343</v>
      </c>
      <c r="E562" s="2">
        <v>21</v>
      </c>
      <c r="F562" s="2">
        <v>72</v>
      </c>
      <c r="G562" s="16">
        <v>93</v>
      </c>
    </row>
    <row r="563" spans="1:7" ht="15" thickBot="1" x14ac:dyDescent="0.35">
      <c r="A563" s="2">
        <v>562</v>
      </c>
      <c r="B563" s="2">
        <v>0.33329999999999999</v>
      </c>
      <c r="C563" s="2">
        <v>0.45</v>
      </c>
      <c r="D563" s="2">
        <v>0</v>
      </c>
      <c r="E563" s="2">
        <v>11</v>
      </c>
      <c r="F563" s="2">
        <v>57</v>
      </c>
      <c r="G563" s="16">
        <v>68</v>
      </c>
    </row>
    <row r="564" spans="1:7" ht="15" thickBot="1" x14ac:dyDescent="0.35">
      <c r="A564" s="2">
        <v>563</v>
      </c>
      <c r="B564" s="2">
        <v>0.34849999999999998</v>
      </c>
      <c r="C564" s="2">
        <v>0.42</v>
      </c>
      <c r="D564" s="2">
        <v>0</v>
      </c>
      <c r="E564" s="2">
        <v>21</v>
      </c>
      <c r="F564" s="2">
        <v>63</v>
      </c>
      <c r="G564" s="16">
        <v>84</v>
      </c>
    </row>
    <row r="565" spans="1:7" ht="15" thickBot="1" x14ac:dyDescent="0.35">
      <c r="A565" s="2">
        <v>564</v>
      </c>
      <c r="B565" s="2">
        <v>0.34849999999999998</v>
      </c>
      <c r="C565" s="2">
        <v>0.42</v>
      </c>
      <c r="D565" s="2">
        <v>0</v>
      </c>
      <c r="E565" s="2">
        <v>14</v>
      </c>
      <c r="F565" s="2">
        <v>102</v>
      </c>
      <c r="G565" s="16">
        <v>116</v>
      </c>
    </row>
    <row r="566" spans="1:7" ht="15" thickBot="1" x14ac:dyDescent="0.35">
      <c r="A566" s="2">
        <v>565</v>
      </c>
      <c r="B566" s="2">
        <v>0.33329999999999999</v>
      </c>
      <c r="C566" s="2">
        <v>0.45</v>
      </c>
      <c r="D566" s="2">
        <v>0</v>
      </c>
      <c r="E566" s="2">
        <v>14</v>
      </c>
      <c r="F566" s="2">
        <v>208</v>
      </c>
      <c r="G566" s="16">
        <v>222</v>
      </c>
    </row>
    <row r="567" spans="1:7" ht="15" thickBot="1" x14ac:dyDescent="0.35">
      <c r="A567" s="2">
        <v>566</v>
      </c>
      <c r="B567" s="2">
        <v>0.31819999999999998</v>
      </c>
      <c r="C567" s="2">
        <v>0.49</v>
      </c>
      <c r="D567" s="2">
        <v>8.9599999999999999E-2</v>
      </c>
      <c r="E567" s="2">
        <v>7</v>
      </c>
      <c r="F567" s="2">
        <v>218</v>
      </c>
      <c r="G567" s="16">
        <v>225</v>
      </c>
    </row>
    <row r="568" spans="1:7" ht="15" thickBot="1" x14ac:dyDescent="0.35">
      <c r="A568" s="2">
        <v>567</v>
      </c>
      <c r="B568" s="2">
        <v>0.2576</v>
      </c>
      <c r="C568" s="2">
        <v>0.65</v>
      </c>
      <c r="D568" s="2">
        <v>0.16420000000000001</v>
      </c>
      <c r="E568" s="2">
        <v>13</v>
      </c>
      <c r="F568" s="2">
        <v>133</v>
      </c>
      <c r="G568" s="16">
        <v>146</v>
      </c>
    </row>
    <row r="569" spans="1:7" ht="15" thickBot="1" x14ac:dyDescent="0.35">
      <c r="A569" s="2">
        <v>568</v>
      </c>
      <c r="B569" s="2">
        <v>0.2273</v>
      </c>
      <c r="C569" s="2">
        <v>0.65</v>
      </c>
      <c r="D569" s="2">
        <v>0.19400000000000001</v>
      </c>
      <c r="E569" s="2">
        <v>16</v>
      </c>
      <c r="F569" s="2">
        <v>103</v>
      </c>
      <c r="G569" s="16">
        <v>119</v>
      </c>
    </row>
    <row r="570" spans="1:7" ht="15" thickBot="1" x14ac:dyDescent="0.35">
      <c r="A570" s="2">
        <v>569</v>
      </c>
      <c r="B570" s="2">
        <v>0.2273</v>
      </c>
      <c r="C570" s="2">
        <v>0.65</v>
      </c>
      <c r="D570" s="2">
        <v>0.19400000000000001</v>
      </c>
      <c r="E570" s="2">
        <v>5</v>
      </c>
      <c r="F570" s="2">
        <v>40</v>
      </c>
      <c r="G570" s="16">
        <v>45</v>
      </c>
    </row>
    <row r="571" spans="1:7" ht="15" thickBot="1" x14ac:dyDescent="0.35">
      <c r="A571" s="2">
        <v>570</v>
      </c>
      <c r="B571" s="2">
        <v>0.2273</v>
      </c>
      <c r="C571" s="2">
        <v>0.64</v>
      </c>
      <c r="D571" s="2">
        <v>0.16420000000000001</v>
      </c>
      <c r="E571" s="2">
        <v>4</v>
      </c>
      <c r="F571" s="2">
        <v>49</v>
      </c>
      <c r="G571" s="16">
        <v>53</v>
      </c>
    </row>
    <row r="572" spans="1:7" ht="15" thickBot="1" x14ac:dyDescent="0.35">
      <c r="A572" s="2">
        <v>571</v>
      </c>
      <c r="B572" s="2">
        <v>0.2273</v>
      </c>
      <c r="C572" s="2">
        <v>0.64</v>
      </c>
      <c r="D572" s="2">
        <v>0.16420000000000001</v>
      </c>
      <c r="E572" s="2">
        <v>3</v>
      </c>
      <c r="F572" s="2">
        <v>37</v>
      </c>
      <c r="G572" s="16">
        <v>40</v>
      </c>
    </row>
    <row r="573" spans="1:7" ht="15" thickBot="1" x14ac:dyDescent="0.35">
      <c r="A573" s="2">
        <v>572</v>
      </c>
      <c r="B573" s="2">
        <v>0.2273</v>
      </c>
      <c r="C573" s="2">
        <v>0.69</v>
      </c>
      <c r="D573" s="2">
        <v>0.1343</v>
      </c>
      <c r="E573" s="2">
        <v>3</v>
      </c>
      <c r="F573" s="2">
        <v>14</v>
      </c>
      <c r="G573" s="16">
        <v>17</v>
      </c>
    </row>
    <row r="574" spans="1:7" ht="15" thickBot="1" x14ac:dyDescent="0.35">
      <c r="A574" s="2">
        <v>573</v>
      </c>
      <c r="B574" s="2">
        <v>0.2424</v>
      </c>
      <c r="C574" s="2">
        <v>0.65</v>
      </c>
      <c r="D574" s="2">
        <v>0.1343</v>
      </c>
      <c r="E574" s="2">
        <v>0</v>
      </c>
      <c r="F574" s="2">
        <v>5</v>
      </c>
      <c r="G574" s="16">
        <v>5</v>
      </c>
    </row>
    <row r="575" spans="1:7" ht="15" thickBot="1" x14ac:dyDescent="0.35">
      <c r="A575" s="2">
        <v>574</v>
      </c>
      <c r="B575" s="2">
        <v>0.2273</v>
      </c>
      <c r="C575" s="2">
        <v>0.69</v>
      </c>
      <c r="D575" s="2">
        <v>0.19400000000000001</v>
      </c>
      <c r="E575" s="2">
        <v>3</v>
      </c>
      <c r="F575" s="2">
        <v>7</v>
      </c>
      <c r="G575" s="16">
        <v>10</v>
      </c>
    </row>
    <row r="576" spans="1:7" ht="15" thickBot="1" x14ac:dyDescent="0.35">
      <c r="A576" s="2">
        <v>575</v>
      </c>
      <c r="B576" s="2">
        <v>0.18179999999999999</v>
      </c>
      <c r="C576" s="2">
        <v>0.86</v>
      </c>
      <c r="D576" s="2">
        <v>0.28360000000000002</v>
      </c>
      <c r="E576" s="2">
        <v>0</v>
      </c>
      <c r="F576" s="2">
        <v>1</v>
      </c>
      <c r="G576" s="16">
        <v>1</v>
      </c>
    </row>
    <row r="577" spans="1:7" ht="15" thickBot="1" x14ac:dyDescent="0.35">
      <c r="A577" s="2">
        <v>576</v>
      </c>
      <c r="B577" s="2">
        <v>0.18179999999999999</v>
      </c>
      <c r="C577" s="2">
        <v>0.86</v>
      </c>
      <c r="D577" s="2">
        <v>0.28360000000000002</v>
      </c>
      <c r="E577" s="2">
        <v>0</v>
      </c>
      <c r="F577" s="2">
        <v>8</v>
      </c>
      <c r="G577" s="16">
        <v>8</v>
      </c>
    </row>
    <row r="578" spans="1:7" ht="15" thickBot="1" x14ac:dyDescent="0.35">
      <c r="A578" s="2">
        <v>577</v>
      </c>
      <c r="B578" s="2">
        <v>0.21210000000000001</v>
      </c>
      <c r="C578" s="2">
        <v>0.87</v>
      </c>
      <c r="D578" s="2">
        <v>0.29849999999999999</v>
      </c>
      <c r="E578" s="2">
        <v>1</v>
      </c>
      <c r="F578" s="2">
        <v>29</v>
      </c>
      <c r="G578" s="16">
        <v>30</v>
      </c>
    </row>
    <row r="579" spans="1:7" ht="15" thickBot="1" x14ac:dyDescent="0.35">
      <c r="A579" s="2">
        <v>578</v>
      </c>
      <c r="B579" s="2">
        <v>0.21210000000000001</v>
      </c>
      <c r="C579" s="2">
        <v>0.87</v>
      </c>
      <c r="D579" s="2">
        <v>0.29849999999999999</v>
      </c>
      <c r="E579" s="2">
        <v>3</v>
      </c>
      <c r="F579" s="2">
        <v>69</v>
      </c>
      <c r="G579" s="16">
        <v>72</v>
      </c>
    </row>
    <row r="580" spans="1:7" ht="15" thickBot="1" x14ac:dyDescent="0.35">
      <c r="A580" s="2">
        <v>579</v>
      </c>
      <c r="B580" s="2">
        <v>0.21210000000000001</v>
      </c>
      <c r="C580" s="2">
        <v>0.87</v>
      </c>
      <c r="D580" s="2">
        <v>0.29849999999999999</v>
      </c>
      <c r="E580" s="2">
        <v>3</v>
      </c>
      <c r="F580" s="2">
        <v>55</v>
      </c>
      <c r="G580" s="16">
        <v>58</v>
      </c>
    </row>
    <row r="581" spans="1:7" ht="15" thickBot="1" x14ac:dyDescent="0.35">
      <c r="A581" s="2">
        <v>580</v>
      </c>
      <c r="B581" s="2">
        <v>0.21210000000000001</v>
      </c>
      <c r="C581" s="2">
        <v>0.93</v>
      </c>
      <c r="D581" s="2">
        <v>0.28360000000000002</v>
      </c>
      <c r="E581" s="2">
        <v>2</v>
      </c>
      <c r="F581" s="2">
        <v>26</v>
      </c>
      <c r="G581" s="16">
        <v>28</v>
      </c>
    </row>
    <row r="582" spans="1:7" ht="15" thickBot="1" x14ac:dyDescent="0.35">
      <c r="A582" s="2">
        <v>581</v>
      </c>
      <c r="B582" s="2">
        <v>0.19700000000000001</v>
      </c>
      <c r="C582" s="2">
        <v>0.93</v>
      </c>
      <c r="D582" s="2">
        <v>0.32840000000000003</v>
      </c>
      <c r="E582" s="2">
        <v>6</v>
      </c>
      <c r="F582" s="2">
        <v>35</v>
      </c>
      <c r="G582" s="16">
        <v>41</v>
      </c>
    </row>
    <row r="583" spans="1:7" ht="15" thickBot="1" x14ac:dyDescent="0.35">
      <c r="A583" s="2">
        <v>582</v>
      </c>
      <c r="B583" s="2">
        <v>0.19700000000000001</v>
      </c>
      <c r="C583" s="2">
        <v>0.93</v>
      </c>
      <c r="D583" s="2">
        <v>0.32840000000000003</v>
      </c>
      <c r="E583" s="2">
        <v>7</v>
      </c>
      <c r="F583" s="2">
        <v>41</v>
      </c>
      <c r="G583" s="16">
        <v>48</v>
      </c>
    </row>
    <row r="584" spans="1:7" ht="15" thickBot="1" x14ac:dyDescent="0.35">
      <c r="A584" s="2">
        <v>583</v>
      </c>
      <c r="B584" s="2">
        <v>0.19700000000000001</v>
      </c>
      <c r="C584" s="2">
        <v>0.93</v>
      </c>
      <c r="D584" s="2">
        <v>0.32840000000000003</v>
      </c>
      <c r="E584" s="2">
        <v>4</v>
      </c>
      <c r="F584" s="2">
        <v>43</v>
      </c>
      <c r="G584" s="16">
        <v>47</v>
      </c>
    </row>
    <row r="585" spans="1:7" ht="15" thickBot="1" x14ac:dyDescent="0.35">
      <c r="A585" s="2">
        <v>584</v>
      </c>
      <c r="B585" s="2">
        <v>0.19700000000000001</v>
      </c>
      <c r="C585" s="2">
        <v>0.93</v>
      </c>
      <c r="D585" s="2">
        <v>0.35820000000000002</v>
      </c>
      <c r="E585" s="2">
        <v>0</v>
      </c>
      <c r="F585" s="2">
        <v>36</v>
      </c>
      <c r="G585" s="16">
        <v>36</v>
      </c>
    </row>
    <row r="586" spans="1:7" ht="15" thickBot="1" x14ac:dyDescent="0.35">
      <c r="A586" s="2">
        <v>585</v>
      </c>
      <c r="B586" s="2">
        <v>0.18179999999999999</v>
      </c>
      <c r="C586" s="2">
        <v>0.93</v>
      </c>
      <c r="D586" s="2">
        <v>0.4627</v>
      </c>
      <c r="E586" s="2">
        <v>1</v>
      </c>
      <c r="F586" s="2">
        <v>42</v>
      </c>
      <c r="G586" s="16">
        <v>43</v>
      </c>
    </row>
    <row r="587" spans="1:7" ht="15" thickBot="1" x14ac:dyDescent="0.35">
      <c r="A587" s="2">
        <v>586</v>
      </c>
      <c r="B587" s="2">
        <v>0.19700000000000001</v>
      </c>
      <c r="C587" s="2">
        <v>0.93</v>
      </c>
      <c r="D587" s="2">
        <v>0.32840000000000003</v>
      </c>
      <c r="E587" s="2">
        <v>1</v>
      </c>
      <c r="F587" s="2">
        <v>35</v>
      </c>
      <c r="G587" s="16">
        <v>36</v>
      </c>
    </row>
    <row r="588" spans="1:7" ht="15" thickBot="1" x14ac:dyDescent="0.35">
      <c r="A588" s="2">
        <v>587</v>
      </c>
      <c r="B588" s="2">
        <v>0.18179999999999999</v>
      </c>
      <c r="C588" s="2">
        <v>0.93</v>
      </c>
      <c r="D588" s="2">
        <v>0.35820000000000002</v>
      </c>
      <c r="E588" s="2">
        <v>0</v>
      </c>
      <c r="F588" s="2">
        <v>26</v>
      </c>
      <c r="G588" s="16">
        <v>26</v>
      </c>
    </row>
    <row r="589" spans="1:7" ht="15" thickBot="1" x14ac:dyDescent="0.35">
      <c r="A589" s="2">
        <v>588</v>
      </c>
      <c r="B589" s="2">
        <v>0.2273</v>
      </c>
      <c r="C589" s="2">
        <v>0.55000000000000004</v>
      </c>
      <c r="D589" s="2">
        <v>0.19400000000000001</v>
      </c>
      <c r="E589" s="2">
        <v>1</v>
      </c>
      <c r="F589" s="2">
        <v>23</v>
      </c>
      <c r="G589" s="16">
        <v>24</v>
      </c>
    </row>
    <row r="590" spans="1:7" ht="15" thickBot="1" x14ac:dyDescent="0.35">
      <c r="A590" s="2">
        <v>589</v>
      </c>
      <c r="B590" s="2">
        <v>0.2424</v>
      </c>
      <c r="C590" s="2">
        <v>0.55000000000000004</v>
      </c>
      <c r="D590" s="2">
        <v>0.1045</v>
      </c>
      <c r="E590" s="2">
        <v>2</v>
      </c>
      <c r="F590" s="2">
        <v>82</v>
      </c>
      <c r="G590" s="16">
        <v>84</v>
      </c>
    </row>
    <row r="591" spans="1:7" ht="15" thickBot="1" x14ac:dyDescent="0.35">
      <c r="A591" s="2">
        <v>590</v>
      </c>
      <c r="B591" s="2">
        <v>0.2273</v>
      </c>
      <c r="C591" s="2">
        <v>0.69</v>
      </c>
      <c r="D591" s="2">
        <v>8.9599999999999999E-2</v>
      </c>
      <c r="E591" s="2">
        <v>3</v>
      </c>
      <c r="F591" s="2">
        <v>101</v>
      </c>
      <c r="G591" s="16">
        <v>104</v>
      </c>
    </row>
    <row r="592" spans="1:7" ht="15" thickBot="1" x14ac:dyDescent="0.35">
      <c r="A592" s="2">
        <v>591</v>
      </c>
      <c r="B592" s="2">
        <v>0.2273</v>
      </c>
      <c r="C592" s="2">
        <v>0.69</v>
      </c>
      <c r="D592" s="2">
        <v>8.9599999999999999E-2</v>
      </c>
      <c r="E592" s="2">
        <v>3</v>
      </c>
      <c r="F592" s="2">
        <v>76</v>
      </c>
      <c r="G592" s="16">
        <v>79</v>
      </c>
    </row>
    <row r="593" spans="1:7" ht="15" thickBot="1" x14ac:dyDescent="0.35">
      <c r="A593" s="2">
        <v>592</v>
      </c>
      <c r="B593" s="2">
        <v>0.21210000000000001</v>
      </c>
      <c r="C593" s="2">
        <v>0.74</v>
      </c>
      <c r="D593" s="2">
        <v>8.9599999999999999E-2</v>
      </c>
      <c r="E593" s="2">
        <v>4</v>
      </c>
      <c r="F593" s="2">
        <v>55</v>
      </c>
      <c r="G593" s="16">
        <v>59</v>
      </c>
    </row>
    <row r="594" spans="1:7" ht="15" thickBot="1" x14ac:dyDescent="0.35">
      <c r="A594" s="2">
        <v>593</v>
      </c>
      <c r="B594" s="2">
        <v>0.21210000000000001</v>
      </c>
      <c r="C594" s="2">
        <v>0.74</v>
      </c>
      <c r="D594" s="2">
        <v>8.9599999999999999E-2</v>
      </c>
      <c r="E594" s="2">
        <v>2</v>
      </c>
      <c r="F594" s="2">
        <v>36</v>
      </c>
      <c r="G594" s="16">
        <v>38</v>
      </c>
    </row>
    <row r="595" spans="1:7" ht="15" thickBot="1" x14ac:dyDescent="0.35">
      <c r="A595" s="2">
        <v>594</v>
      </c>
      <c r="B595" s="2">
        <v>0.21210000000000001</v>
      </c>
      <c r="C595" s="2">
        <v>0.74</v>
      </c>
      <c r="D595" s="2">
        <v>8.9599999999999999E-2</v>
      </c>
      <c r="E595" s="2">
        <v>0</v>
      </c>
      <c r="F595" s="2">
        <v>27</v>
      </c>
      <c r="G595" s="16">
        <v>27</v>
      </c>
    </row>
    <row r="596" spans="1:7" ht="15" thickBot="1" x14ac:dyDescent="0.35">
      <c r="A596" s="2">
        <v>595</v>
      </c>
      <c r="B596" s="2">
        <v>0.19700000000000001</v>
      </c>
      <c r="C596" s="2">
        <v>0.8</v>
      </c>
      <c r="D596" s="2">
        <v>0.16420000000000001</v>
      </c>
      <c r="E596" s="2">
        <v>0</v>
      </c>
      <c r="F596" s="2">
        <v>16</v>
      </c>
      <c r="G596" s="16">
        <v>16</v>
      </c>
    </row>
    <row r="597" spans="1:7" ht="15" thickBot="1" x14ac:dyDescent="0.35">
      <c r="A597" s="2">
        <v>596</v>
      </c>
      <c r="B597" s="2">
        <v>0.21210000000000001</v>
      </c>
      <c r="C597" s="2">
        <v>0.75</v>
      </c>
      <c r="D597" s="2">
        <v>0.1343</v>
      </c>
      <c r="E597" s="2">
        <v>0</v>
      </c>
      <c r="F597" s="2">
        <v>9</v>
      </c>
      <c r="G597" s="16">
        <v>9</v>
      </c>
    </row>
    <row r="598" spans="1:7" ht="15" thickBot="1" x14ac:dyDescent="0.35">
      <c r="A598" s="2">
        <v>597</v>
      </c>
      <c r="B598" s="2">
        <v>0.21210000000000001</v>
      </c>
      <c r="C598" s="2">
        <v>0.75</v>
      </c>
      <c r="D598" s="2">
        <v>0.1343</v>
      </c>
      <c r="E598" s="2">
        <v>1</v>
      </c>
      <c r="F598" s="2">
        <v>2</v>
      </c>
      <c r="G598" s="16">
        <v>3</v>
      </c>
    </row>
    <row r="599" spans="1:7" ht="15" thickBot="1" x14ac:dyDescent="0.35">
      <c r="A599" s="2">
        <v>598</v>
      </c>
      <c r="B599" s="2">
        <v>0.21210000000000001</v>
      </c>
      <c r="C599" s="2">
        <v>0.75</v>
      </c>
      <c r="D599" s="2">
        <v>0.16420000000000001</v>
      </c>
      <c r="E599" s="2">
        <v>0</v>
      </c>
      <c r="F599" s="2">
        <v>2</v>
      </c>
      <c r="G599" s="16">
        <v>2</v>
      </c>
    </row>
    <row r="600" spans="1:7" ht="15" thickBot="1" x14ac:dyDescent="0.35">
      <c r="A600" s="2">
        <v>599</v>
      </c>
      <c r="B600" s="2">
        <v>0.2273</v>
      </c>
      <c r="C600" s="2">
        <v>0.75</v>
      </c>
      <c r="D600" s="2">
        <v>0.1045</v>
      </c>
      <c r="E600" s="2">
        <v>1</v>
      </c>
      <c r="F600" s="2">
        <v>0</v>
      </c>
      <c r="G600" s="16">
        <v>1</v>
      </c>
    </row>
    <row r="601" spans="1:7" ht="15" thickBot="1" x14ac:dyDescent="0.35">
      <c r="A601" s="2">
        <v>600</v>
      </c>
      <c r="B601" s="2">
        <v>0.21210000000000001</v>
      </c>
      <c r="C601" s="2">
        <v>0.8</v>
      </c>
      <c r="D601" s="2">
        <v>0.1045</v>
      </c>
      <c r="E601" s="2">
        <v>0</v>
      </c>
      <c r="F601" s="2">
        <v>4</v>
      </c>
      <c r="G601" s="16">
        <v>4</v>
      </c>
    </row>
    <row r="602" spans="1:7" ht="15" thickBot="1" x14ac:dyDescent="0.35">
      <c r="A602" s="2">
        <v>601</v>
      </c>
      <c r="B602" s="2">
        <v>0.19700000000000001</v>
      </c>
      <c r="C602" s="2">
        <v>0.8</v>
      </c>
      <c r="D602" s="2">
        <v>0.1343</v>
      </c>
      <c r="E602" s="2">
        <v>0</v>
      </c>
      <c r="F602" s="2">
        <v>16</v>
      </c>
      <c r="G602" s="16">
        <v>16</v>
      </c>
    </row>
    <row r="603" spans="1:7" ht="15" thickBot="1" x14ac:dyDescent="0.35">
      <c r="A603" s="2">
        <v>602</v>
      </c>
      <c r="B603" s="2">
        <v>0.19700000000000001</v>
      </c>
      <c r="C603" s="2">
        <v>0.86</v>
      </c>
      <c r="D603" s="2">
        <v>8.9599999999999999E-2</v>
      </c>
      <c r="E603" s="2">
        <v>2</v>
      </c>
      <c r="F603" s="2">
        <v>58</v>
      </c>
      <c r="G603" s="16">
        <v>60</v>
      </c>
    </row>
    <row r="604" spans="1:7" ht="15" thickBot="1" x14ac:dyDescent="0.35">
      <c r="A604" s="2">
        <v>603</v>
      </c>
      <c r="B604" s="2">
        <v>0.19700000000000001</v>
      </c>
      <c r="C604" s="2">
        <v>0.86</v>
      </c>
      <c r="D604" s="2">
        <v>8.9599999999999999E-2</v>
      </c>
      <c r="E604" s="2">
        <v>2</v>
      </c>
      <c r="F604" s="2">
        <v>155</v>
      </c>
      <c r="G604" s="16">
        <v>157</v>
      </c>
    </row>
    <row r="605" spans="1:7" ht="15" thickBot="1" x14ac:dyDescent="0.35">
      <c r="A605" s="2">
        <v>604</v>
      </c>
      <c r="B605" s="2">
        <v>0.21210000000000001</v>
      </c>
      <c r="C605" s="2">
        <v>0.86</v>
      </c>
      <c r="D605" s="2">
        <v>8.9599999999999999E-2</v>
      </c>
      <c r="E605" s="2">
        <v>6</v>
      </c>
      <c r="F605" s="2">
        <v>95</v>
      </c>
      <c r="G605" s="16">
        <v>101</v>
      </c>
    </row>
    <row r="606" spans="1:7" ht="15" thickBot="1" x14ac:dyDescent="0.35">
      <c r="A606" s="2">
        <v>605</v>
      </c>
      <c r="B606" s="2">
        <v>0.21210000000000001</v>
      </c>
      <c r="C606" s="2">
        <v>0.86</v>
      </c>
      <c r="D606" s="2">
        <v>0.1045</v>
      </c>
      <c r="E606" s="2">
        <v>0</v>
      </c>
      <c r="F606" s="2">
        <v>49</v>
      </c>
      <c r="G606" s="16">
        <v>49</v>
      </c>
    </row>
    <row r="607" spans="1:7" ht="15" thickBot="1" x14ac:dyDescent="0.35">
      <c r="A607" s="2">
        <v>606</v>
      </c>
      <c r="B607" s="2">
        <v>0.21210000000000001</v>
      </c>
      <c r="C607" s="2">
        <v>0.93</v>
      </c>
      <c r="D607" s="2">
        <v>0.1045</v>
      </c>
      <c r="E607" s="2">
        <v>0</v>
      </c>
      <c r="F607" s="2">
        <v>30</v>
      </c>
      <c r="G607" s="16">
        <v>30</v>
      </c>
    </row>
    <row r="608" spans="1:7" ht="15" thickBot="1" x14ac:dyDescent="0.35">
      <c r="A608" s="2">
        <v>607</v>
      </c>
      <c r="B608" s="2">
        <v>0.21210000000000001</v>
      </c>
      <c r="C608" s="2">
        <v>0.93</v>
      </c>
      <c r="D608" s="2">
        <v>0.1045</v>
      </c>
      <c r="E608" s="2">
        <v>1</v>
      </c>
      <c r="F608" s="2">
        <v>28</v>
      </c>
      <c r="G608" s="16">
        <v>29</v>
      </c>
    </row>
    <row r="609" spans="1:7" ht="15" thickBot="1" x14ac:dyDescent="0.35">
      <c r="A609" s="2">
        <v>608</v>
      </c>
      <c r="B609" s="2">
        <v>0.21210000000000001</v>
      </c>
      <c r="C609" s="2">
        <v>0.93</v>
      </c>
      <c r="D609" s="2">
        <v>0.1045</v>
      </c>
      <c r="E609" s="2">
        <v>0</v>
      </c>
      <c r="F609" s="2">
        <v>31</v>
      </c>
      <c r="G609" s="16">
        <v>31</v>
      </c>
    </row>
    <row r="610" spans="1:7" ht="15" thickBot="1" x14ac:dyDescent="0.35">
      <c r="A610" s="2">
        <v>609</v>
      </c>
      <c r="B610" s="2">
        <v>0.2727</v>
      </c>
      <c r="C610" s="2">
        <v>0.8</v>
      </c>
      <c r="D610" s="2">
        <v>0</v>
      </c>
      <c r="E610" s="2">
        <v>2</v>
      </c>
      <c r="F610" s="2">
        <v>36</v>
      </c>
      <c r="G610" s="16">
        <v>38</v>
      </c>
    </row>
    <row r="611" spans="1:7" x14ac:dyDescent="0.3">
      <c r="A611" s="19">
        <v>610</v>
      </c>
      <c r="B611" s="19">
        <v>0.2576</v>
      </c>
      <c r="C611" s="19">
        <v>0.86</v>
      </c>
      <c r="D611" s="19">
        <v>0</v>
      </c>
      <c r="E611" s="19">
        <v>1</v>
      </c>
      <c r="F611" s="19">
        <v>40</v>
      </c>
      <c r="G611" s="20">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9ECC1-1142-4D02-A740-4F926DAAEAEB}">
  <dimension ref="A1:P611"/>
  <sheetViews>
    <sheetView workbookViewId="0">
      <selection activeCell="A2" sqref="A2:P611"/>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21.5546875" bestFit="1" customWidth="1"/>
    <col min="18" max="18" width="21.21875" bestFit="1" customWidth="1"/>
    <col min="19" max="19" width="19.6640625" bestFit="1" customWidth="1"/>
    <col min="20" max="20" width="25" bestFit="1" customWidth="1"/>
    <col min="21" max="21" width="21" bestFit="1" customWidth="1"/>
    <col min="22" max="22" width="24.21875" bestFit="1" customWidth="1"/>
    <col min="23" max="23" width="18.332031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s="21">
        <v>40544</v>
      </c>
      <c r="C2">
        <v>1</v>
      </c>
      <c r="D2">
        <v>0</v>
      </c>
      <c r="E2">
        <v>1</v>
      </c>
      <c r="F2">
        <v>0</v>
      </c>
      <c r="G2" t="b">
        <v>0</v>
      </c>
      <c r="H2">
        <v>6</v>
      </c>
      <c r="I2">
        <v>1</v>
      </c>
      <c r="J2">
        <v>0.24</v>
      </c>
      <c r="K2">
        <v>0.28789999999999999</v>
      </c>
      <c r="L2">
        <v>0.81</v>
      </c>
      <c r="M2">
        <v>0</v>
      </c>
      <c r="N2">
        <v>3</v>
      </c>
      <c r="O2">
        <v>13</v>
      </c>
      <c r="P2">
        <v>16</v>
      </c>
    </row>
    <row r="3" spans="1:16" x14ac:dyDescent="0.3">
      <c r="A3">
        <v>2</v>
      </c>
      <c r="B3" s="21">
        <v>40544</v>
      </c>
      <c r="C3">
        <v>1</v>
      </c>
      <c r="D3">
        <v>0</v>
      </c>
      <c r="E3">
        <v>1</v>
      </c>
      <c r="F3">
        <v>1</v>
      </c>
      <c r="G3" t="b">
        <v>0</v>
      </c>
      <c r="H3">
        <v>6</v>
      </c>
      <c r="I3">
        <v>1</v>
      </c>
      <c r="J3">
        <v>0.22</v>
      </c>
      <c r="K3">
        <v>0.2727</v>
      </c>
      <c r="L3">
        <v>0.8</v>
      </c>
      <c r="M3">
        <v>0</v>
      </c>
      <c r="N3">
        <v>8</v>
      </c>
      <c r="O3">
        <v>32</v>
      </c>
      <c r="P3">
        <v>40</v>
      </c>
    </row>
    <row r="4" spans="1:16" x14ac:dyDescent="0.3">
      <c r="A4">
        <v>3</v>
      </c>
      <c r="B4" s="21">
        <v>40544</v>
      </c>
      <c r="C4">
        <v>1</v>
      </c>
      <c r="D4">
        <v>0</v>
      </c>
      <c r="E4">
        <v>1</v>
      </c>
      <c r="F4">
        <v>2</v>
      </c>
      <c r="G4" t="b">
        <v>0</v>
      </c>
      <c r="H4">
        <v>6</v>
      </c>
      <c r="I4">
        <v>1</v>
      </c>
      <c r="J4">
        <v>0.22</v>
      </c>
      <c r="K4">
        <v>0.2727</v>
      </c>
      <c r="L4">
        <v>0.8</v>
      </c>
      <c r="M4">
        <v>0</v>
      </c>
      <c r="N4">
        <v>5</v>
      </c>
      <c r="O4">
        <v>27</v>
      </c>
      <c r="P4">
        <v>32</v>
      </c>
    </row>
    <row r="5" spans="1:16" x14ac:dyDescent="0.3">
      <c r="A5">
        <v>4</v>
      </c>
      <c r="B5" s="21">
        <v>40544</v>
      </c>
      <c r="C5">
        <v>1</v>
      </c>
      <c r="D5">
        <v>0</v>
      </c>
      <c r="E5">
        <v>1</v>
      </c>
      <c r="F5">
        <v>3</v>
      </c>
      <c r="G5" t="b">
        <v>0</v>
      </c>
      <c r="H5">
        <v>6</v>
      </c>
      <c r="I5">
        <v>1</v>
      </c>
      <c r="J5">
        <v>0.24</v>
      </c>
      <c r="K5">
        <v>0.28789999999999999</v>
      </c>
      <c r="L5">
        <v>0.75</v>
      </c>
      <c r="M5">
        <v>0</v>
      </c>
      <c r="N5">
        <v>3</v>
      </c>
      <c r="O5">
        <v>10</v>
      </c>
      <c r="P5">
        <v>13</v>
      </c>
    </row>
    <row r="6" spans="1:16" x14ac:dyDescent="0.3">
      <c r="A6">
        <v>5</v>
      </c>
      <c r="B6" s="21">
        <v>40544</v>
      </c>
      <c r="C6">
        <v>1</v>
      </c>
      <c r="D6">
        <v>0</v>
      </c>
      <c r="E6">
        <v>1</v>
      </c>
      <c r="F6">
        <v>4</v>
      </c>
      <c r="G6" t="b">
        <v>0</v>
      </c>
      <c r="H6">
        <v>6</v>
      </c>
      <c r="I6">
        <v>1</v>
      </c>
      <c r="J6">
        <v>0.24</v>
      </c>
      <c r="K6">
        <v>0.28789999999999999</v>
      </c>
      <c r="L6">
        <v>0.75</v>
      </c>
      <c r="M6">
        <v>0</v>
      </c>
      <c r="N6">
        <v>0</v>
      </c>
      <c r="O6">
        <v>1</v>
      </c>
      <c r="P6">
        <v>1</v>
      </c>
    </row>
    <row r="7" spans="1:16" x14ac:dyDescent="0.3">
      <c r="A7">
        <v>6</v>
      </c>
      <c r="B7" s="21">
        <v>40544</v>
      </c>
      <c r="C7">
        <v>1</v>
      </c>
      <c r="D7">
        <v>0</v>
      </c>
      <c r="E7">
        <v>1</v>
      </c>
      <c r="F7">
        <v>5</v>
      </c>
      <c r="G7" t="b">
        <v>0</v>
      </c>
      <c r="H7">
        <v>6</v>
      </c>
      <c r="I7">
        <v>2</v>
      </c>
      <c r="J7">
        <v>0.24</v>
      </c>
      <c r="K7">
        <v>0.2576</v>
      </c>
      <c r="L7">
        <v>0.75</v>
      </c>
      <c r="M7">
        <v>8.9599999999999999E-2</v>
      </c>
      <c r="N7">
        <v>0</v>
      </c>
      <c r="O7">
        <v>1</v>
      </c>
      <c r="P7">
        <v>1</v>
      </c>
    </row>
    <row r="8" spans="1:16" x14ac:dyDescent="0.3">
      <c r="A8">
        <v>7</v>
      </c>
      <c r="B8" s="21">
        <v>40544</v>
      </c>
      <c r="C8">
        <v>1</v>
      </c>
      <c r="D8">
        <v>0</v>
      </c>
      <c r="E8">
        <v>1</v>
      </c>
      <c r="F8">
        <v>6</v>
      </c>
      <c r="G8" t="b">
        <v>0</v>
      </c>
      <c r="H8">
        <v>6</v>
      </c>
      <c r="I8">
        <v>1</v>
      </c>
      <c r="J8">
        <v>0.22</v>
      </c>
      <c r="K8">
        <v>0.2727</v>
      </c>
      <c r="L8">
        <v>0.8</v>
      </c>
      <c r="M8">
        <v>0</v>
      </c>
      <c r="N8">
        <v>2</v>
      </c>
      <c r="O8">
        <v>0</v>
      </c>
      <c r="P8">
        <v>2</v>
      </c>
    </row>
    <row r="9" spans="1:16" x14ac:dyDescent="0.3">
      <c r="A9">
        <v>8</v>
      </c>
      <c r="B9" s="21">
        <v>40544</v>
      </c>
      <c r="C9">
        <v>1</v>
      </c>
      <c r="D9">
        <v>0</v>
      </c>
      <c r="E9">
        <v>1</v>
      </c>
      <c r="F9">
        <v>7</v>
      </c>
      <c r="G9" t="b">
        <v>0</v>
      </c>
      <c r="H9">
        <v>6</v>
      </c>
      <c r="I9">
        <v>1</v>
      </c>
      <c r="J9">
        <v>0.2</v>
      </c>
      <c r="K9">
        <v>0.2576</v>
      </c>
      <c r="L9">
        <v>0.86</v>
      </c>
      <c r="M9">
        <v>0</v>
      </c>
      <c r="N9">
        <v>1</v>
      </c>
      <c r="O9">
        <v>2</v>
      </c>
      <c r="P9">
        <v>3</v>
      </c>
    </row>
    <row r="10" spans="1:16" x14ac:dyDescent="0.3">
      <c r="A10">
        <v>9</v>
      </c>
      <c r="B10" s="21">
        <v>40544</v>
      </c>
      <c r="C10">
        <v>1</v>
      </c>
      <c r="D10">
        <v>0</v>
      </c>
      <c r="E10">
        <v>1</v>
      </c>
      <c r="F10">
        <v>8</v>
      </c>
      <c r="G10" t="b">
        <v>0</v>
      </c>
      <c r="H10">
        <v>6</v>
      </c>
      <c r="I10">
        <v>1</v>
      </c>
      <c r="J10">
        <v>0.24</v>
      </c>
      <c r="L10">
        <v>0.75</v>
      </c>
      <c r="M10">
        <v>0</v>
      </c>
      <c r="N10">
        <v>1</v>
      </c>
      <c r="O10">
        <v>7</v>
      </c>
      <c r="P10">
        <v>8</v>
      </c>
    </row>
    <row r="11" spans="1:16" x14ac:dyDescent="0.3">
      <c r="A11">
        <v>10</v>
      </c>
      <c r="B11" s="21">
        <v>40544</v>
      </c>
      <c r="C11">
        <v>1</v>
      </c>
      <c r="D11">
        <v>0</v>
      </c>
      <c r="E11">
        <v>1</v>
      </c>
      <c r="F11">
        <v>9</v>
      </c>
      <c r="G11" t="b">
        <v>0</v>
      </c>
      <c r="H11">
        <v>6</v>
      </c>
      <c r="I11">
        <v>1</v>
      </c>
      <c r="J11">
        <v>0.32</v>
      </c>
      <c r="K11">
        <v>0.34849999999999998</v>
      </c>
      <c r="L11">
        <v>0.76</v>
      </c>
      <c r="M11">
        <v>0</v>
      </c>
      <c r="N11">
        <v>8</v>
      </c>
      <c r="O11">
        <v>6</v>
      </c>
      <c r="P11">
        <v>14</v>
      </c>
    </row>
    <row r="12" spans="1:16" x14ac:dyDescent="0.3">
      <c r="A12">
        <v>11</v>
      </c>
      <c r="B12" s="21">
        <v>40544</v>
      </c>
      <c r="C12">
        <v>1</v>
      </c>
      <c r="D12">
        <v>0</v>
      </c>
      <c r="E12">
        <v>1</v>
      </c>
      <c r="F12">
        <v>10</v>
      </c>
      <c r="G12" t="b">
        <v>0</v>
      </c>
      <c r="H12">
        <v>6</v>
      </c>
      <c r="I12">
        <v>1</v>
      </c>
      <c r="J12">
        <v>0.38</v>
      </c>
      <c r="K12">
        <v>0.39389999999999997</v>
      </c>
      <c r="L12">
        <v>0.76</v>
      </c>
      <c r="M12">
        <v>0.25369999999999998</v>
      </c>
      <c r="N12">
        <v>12</v>
      </c>
      <c r="O12">
        <v>24</v>
      </c>
      <c r="P12">
        <v>36</v>
      </c>
    </row>
    <row r="13" spans="1:16" x14ac:dyDescent="0.3">
      <c r="A13">
        <v>12</v>
      </c>
      <c r="B13" s="21">
        <v>40544</v>
      </c>
      <c r="C13">
        <v>1</v>
      </c>
      <c r="D13">
        <v>0</v>
      </c>
      <c r="E13">
        <v>1</v>
      </c>
      <c r="F13">
        <v>11</v>
      </c>
      <c r="G13" t="b">
        <v>0</v>
      </c>
      <c r="H13">
        <v>6</v>
      </c>
      <c r="I13">
        <v>1</v>
      </c>
      <c r="J13">
        <v>0.36</v>
      </c>
      <c r="K13">
        <v>0.33329999999999999</v>
      </c>
      <c r="L13">
        <v>0.81</v>
      </c>
      <c r="M13">
        <v>0.28360000000000002</v>
      </c>
      <c r="N13">
        <v>26</v>
      </c>
      <c r="O13">
        <v>30</v>
      </c>
      <c r="P13">
        <v>56</v>
      </c>
    </row>
    <row r="14" spans="1:16" x14ac:dyDescent="0.3">
      <c r="A14">
        <v>13</v>
      </c>
      <c r="B14" s="21">
        <v>40544</v>
      </c>
      <c r="C14">
        <v>1</v>
      </c>
      <c r="D14">
        <v>0</v>
      </c>
      <c r="E14">
        <v>1</v>
      </c>
      <c r="F14">
        <v>12</v>
      </c>
      <c r="G14" t="b">
        <v>0</v>
      </c>
      <c r="H14">
        <v>6</v>
      </c>
      <c r="I14">
        <v>1</v>
      </c>
      <c r="J14">
        <v>0.42</v>
      </c>
      <c r="K14">
        <v>0.42420000000000002</v>
      </c>
      <c r="L14">
        <v>0.77</v>
      </c>
      <c r="M14">
        <v>0.28360000000000002</v>
      </c>
      <c r="N14">
        <v>29</v>
      </c>
      <c r="O14">
        <v>55</v>
      </c>
      <c r="P14">
        <v>84</v>
      </c>
    </row>
    <row r="15" spans="1:16" x14ac:dyDescent="0.3">
      <c r="A15">
        <v>14</v>
      </c>
      <c r="B15" s="21">
        <v>40544</v>
      </c>
      <c r="C15">
        <v>1</v>
      </c>
      <c r="D15">
        <v>0</v>
      </c>
      <c r="E15">
        <v>1</v>
      </c>
      <c r="F15">
        <v>13</v>
      </c>
      <c r="G15" t="b">
        <v>0</v>
      </c>
      <c r="H15">
        <v>6</v>
      </c>
      <c r="I15">
        <v>2</v>
      </c>
      <c r="J15">
        <v>0.46</v>
      </c>
      <c r="K15">
        <v>0.45450000000000002</v>
      </c>
      <c r="L15">
        <v>0.72</v>
      </c>
      <c r="M15">
        <v>0.29849999999999999</v>
      </c>
      <c r="N15">
        <v>47</v>
      </c>
      <c r="O15">
        <v>47</v>
      </c>
      <c r="P15">
        <v>94</v>
      </c>
    </row>
    <row r="16" spans="1:16" x14ac:dyDescent="0.3">
      <c r="A16">
        <v>15</v>
      </c>
      <c r="B16" s="21">
        <v>40544</v>
      </c>
      <c r="C16">
        <v>1</v>
      </c>
      <c r="D16">
        <v>0</v>
      </c>
      <c r="E16">
        <v>1</v>
      </c>
      <c r="F16">
        <v>14</v>
      </c>
      <c r="G16" t="b">
        <v>0</v>
      </c>
      <c r="H16">
        <v>6</v>
      </c>
      <c r="I16">
        <v>2</v>
      </c>
      <c r="J16">
        <v>0.46</v>
      </c>
      <c r="K16">
        <v>0.45450000000000002</v>
      </c>
      <c r="L16">
        <v>0.72</v>
      </c>
      <c r="M16">
        <v>0.28360000000000002</v>
      </c>
      <c r="N16">
        <v>35</v>
      </c>
      <c r="O16">
        <v>71</v>
      </c>
      <c r="P16">
        <v>106</v>
      </c>
    </row>
    <row r="17" spans="1:16" x14ac:dyDescent="0.3">
      <c r="A17">
        <v>16</v>
      </c>
      <c r="B17" s="21">
        <v>40544</v>
      </c>
      <c r="C17">
        <v>1</v>
      </c>
      <c r="D17">
        <v>0</v>
      </c>
      <c r="E17">
        <v>1</v>
      </c>
      <c r="F17">
        <v>15</v>
      </c>
      <c r="G17" t="b">
        <v>0</v>
      </c>
      <c r="H17">
        <v>6</v>
      </c>
      <c r="I17">
        <v>2</v>
      </c>
      <c r="J17">
        <v>0.44</v>
      </c>
      <c r="K17">
        <v>0.43940000000000001</v>
      </c>
      <c r="L17">
        <v>0.77</v>
      </c>
      <c r="M17">
        <v>0.29849999999999999</v>
      </c>
      <c r="N17">
        <v>40</v>
      </c>
      <c r="O17">
        <v>70</v>
      </c>
      <c r="P17">
        <v>110</v>
      </c>
    </row>
    <row r="18" spans="1:16" x14ac:dyDescent="0.3">
      <c r="A18">
        <v>17</v>
      </c>
      <c r="B18" s="21">
        <v>40544</v>
      </c>
      <c r="C18">
        <v>1</v>
      </c>
      <c r="D18">
        <v>0</v>
      </c>
      <c r="E18">
        <v>1</v>
      </c>
      <c r="F18">
        <v>16</v>
      </c>
      <c r="G18" t="b">
        <v>0</v>
      </c>
      <c r="H18">
        <v>6</v>
      </c>
      <c r="I18">
        <v>2</v>
      </c>
      <c r="J18">
        <v>0.42</v>
      </c>
      <c r="K18">
        <v>0.42420000000000002</v>
      </c>
      <c r="L18">
        <v>0.82</v>
      </c>
      <c r="M18">
        <v>0.29849999999999999</v>
      </c>
      <c r="N18">
        <v>41</v>
      </c>
      <c r="O18">
        <v>52</v>
      </c>
      <c r="P18">
        <v>93</v>
      </c>
    </row>
    <row r="19" spans="1:16" x14ac:dyDescent="0.3">
      <c r="A19">
        <v>18</v>
      </c>
      <c r="B19" s="21">
        <v>40544</v>
      </c>
      <c r="C19">
        <v>1</v>
      </c>
      <c r="D19">
        <v>0</v>
      </c>
      <c r="E19">
        <v>1</v>
      </c>
      <c r="F19">
        <v>17</v>
      </c>
      <c r="G19" t="b">
        <v>0</v>
      </c>
      <c r="H19">
        <v>6</v>
      </c>
      <c r="I19">
        <v>2</v>
      </c>
      <c r="J19">
        <v>0.44</v>
      </c>
      <c r="L19">
        <v>0.82</v>
      </c>
      <c r="M19">
        <v>0.28360000000000002</v>
      </c>
      <c r="N19">
        <v>15</v>
      </c>
      <c r="O19">
        <v>52</v>
      </c>
      <c r="P19">
        <v>67</v>
      </c>
    </row>
    <row r="20" spans="1:16" x14ac:dyDescent="0.3">
      <c r="A20">
        <v>19</v>
      </c>
      <c r="B20" s="21">
        <v>40544</v>
      </c>
      <c r="C20">
        <v>1</v>
      </c>
      <c r="D20">
        <v>0</v>
      </c>
      <c r="E20">
        <v>1</v>
      </c>
      <c r="F20">
        <v>18</v>
      </c>
      <c r="G20" t="b">
        <v>0</v>
      </c>
      <c r="H20">
        <v>6</v>
      </c>
      <c r="I20">
        <v>3</v>
      </c>
      <c r="J20">
        <v>0.42</v>
      </c>
      <c r="K20">
        <v>0.42420000000000002</v>
      </c>
      <c r="L20">
        <v>0.88</v>
      </c>
      <c r="M20">
        <v>0.25369999999999998</v>
      </c>
      <c r="N20">
        <v>9</v>
      </c>
      <c r="O20">
        <v>26</v>
      </c>
      <c r="P20">
        <v>35</v>
      </c>
    </row>
    <row r="21" spans="1:16" x14ac:dyDescent="0.3">
      <c r="A21">
        <v>20</v>
      </c>
      <c r="B21" s="21">
        <v>40544</v>
      </c>
      <c r="C21">
        <v>1</v>
      </c>
      <c r="D21">
        <v>0</v>
      </c>
      <c r="E21">
        <v>1</v>
      </c>
      <c r="F21">
        <v>19</v>
      </c>
      <c r="G21" t="b">
        <v>0</v>
      </c>
      <c r="H21">
        <v>6</v>
      </c>
      <c r="I21">
        <v>3</v>
      </c>
      <c r="J21">
        <v>0.42</v>
      </c>
      <c r="K21">
        <v>0.42420000000000002</v>
      </c>
      <c r="L21">
        <v>0.88</v>
      </c>
      <c r="M21">
        <v>0.25369999999999998</v>
      </c>
      <c r="N21">
        <v>6</v>
      </c>
      <c r="O21">
        <v>31</v>
      </c>
      <c r="P21">
        <v>37</v>
      </c>
    </row>
    <row r="22" spans="1:16" x14ac:dyDescent="0.3">
      <c r="A22">
        <v>21</v>
      </c>
      <c r="B22" s="21">
        <v>40544</v>
      </c>
      <c r="C22">
        <v>1</v>
      </c>
      <c r="D22">
        <v>0</v>
      </c>
      <c r="E22">
        <v>1</v>
      </c>
      <c r="F22">
        <v>20</v>
      </c>
      <c r="G22" t="b">
        <v>0</v>
      </c>
      <c r="H22">
        <v>6</v>
      </c>
      <c r="I22">
        <v>2</v>
      </c>
      <c r="J22">
        <v>0.4</v>
      </c>
      <c r="K22">
        <v>0.40910000000000002</v>
      </c>
      <c r="L22">
        <v>0.87</v>
      </c>
      <c r="M22">
        <v>0.25369999999999998</v>
      </c>
      <c r="N22">
        <v>11</v>
      </c>
      <c r="O22">
        <v>25</v>
      </c>
      <c r="P22">
        <v>36</v>
      </c>
    </row>
    <row r="23" spans="1:16" x14ac:dyDescent="0.3">
      <c r="A23">
        <v>22</v>
      </c>
      <c r="B23" s="21">
        <v>40544</v>
      </c>
      <c r="C23">
        <v>1</v>
      </c>
      <c r="D23">
        <v>0</v>
      </c>
      <c r="E23">
        <v>1</v>
      </c>
      <c r="F23">
        <v>21</v>
      </c>
      <c r="G23" t="b">
        <v>0</v>
      </c>
      <c r="H23">
        <v>6</v>
      </c>
      <c r="I23">
        <v>2</v>
      </c>
      <c r="J23">
        <v>0.4</v>
      </c>
      <c r="K23">
        <v>0.40910000000000002</v>
      </c>
      <c r="L23">
        <v>0.87</v>
      </c>
      <c r="M23">
        <v>0.19400000000000001</v>
      </c>
      <c r="N23">
        <v>3</v>
      </c>
      <c r="O23">
        <v>31</v>
      </c>
      <c r="P23">
        <v>34</v>
      </c>
    </row>
    <row r="24" spans="1:16" x14ac:dyDescent="0.3">
      <c r="A24">
        <v>23</v>
      </c>
      <c r="B24" s="21">
        <v>40544</v>
      </c>
      <c r="C24">
        <v>1</v>
      </c>
      <c r="D24">
        <v>0</v>
      </c>
      <c r="E24">
        <v>1</v>
      </c>
      <c r="F24">
        <v>22</v>
      </c>
      <c r="G24" t="b">
        <v>0</v>
      </c>
      <c r="H24">
        <v>6</v>
      </c>
      <c r="I24">
        <v>2</v>
      </c>
      <c r="J24">
        <v>0.4</v>
      </c>
      <c r="K24">
        <v>0.40910000000000002</v>
      </c>
      <c r="L24">
        <v>0.94</v>
      </c>
      <c r="M24">
        <v>0.22389999999999999</v>
      </c>
      <c r="N24">
        <v>11</v>
      </c>
      <c r="O24">
        <v>17</v>
      </c>
      <c r="P24">
        <v>28</v>
      </c>
    </row>
    <row r="25" spans="1:16" x14ac:dyDescent="0.3">
      <c r="A25">
        <v>24</v>
      </c>
      <c r="B25" s="21">
        <v>40544</v>
      </c>
      <c r="C25">
        <v>1</v>
      </c>
      <c r="D25">
        <v>0</v>
      </c>
      <c r="E25">
        <v>1</v>
      </c>
      <c r="F25">
        <v>23</v>
      </c>
      <c r="G25" t="b">
        <v>0</v>
      </c>
      <c r="H25">
        <v>6</v>
      </c>
      <c r="I25">
        <v>2</v>
      </c>
      <c r="J25">
        <v>0.46</v>
      </c>
      <c r="L25">
        <v>0.88</v>
      </c>
      <c r="M25">
        <v>0.29849999999999999</v>
      </c>
      <c r="N25">
        <v>15</v>
      </c>
      <c r="O25">
        <v>24</v>
      </c>
      <c r="P25">
        <v>39</v>
      </c>
    </row>
    <row r="26" spans="1:16" x14ac:dyDescent="0.3">
      <c r="A26">
        <v>25</v>
      </c>
      <c r="B26" s="21">
        <v>40545</v>
      </c>
      <c r="C26">
        <v>1</v>
      </c>
      <c r="D26">
        <v>0</v>
      </c>
      <c r="E26">
        <v>1</v>
      </c>
      <c r="F26">
        <v>0</v>
      </c>
      <c r="G26" t="b">
        <v>0</v>
      </c>
      <c r="H26">
        <v>0</v>
      </c>
      <c r="I26">
        <v>2</v>
      </c>
      <c r="J26">
        <v>0.46</v>
      </c>
      <c r="K26">
        <v>0.45450000000000002</v>
      </c>
      <c r="L26">
        <v>0.88</v>
      </c>
      <c r="M26">
        <v>0.29849999999999999</v>
      </c>
      <c r="N26">
        <v>4</v>
      </c>
      <c r="O26">
        <v>13</v>
      </c>
      <c r="P26">
        <v>17</v>
      </c>
    </row>
    <row r="27" spans="1:16" x14ac:dyDescent="0.3">
      <c r="A27">
        <v>26</v>
      </c>
      <c r="B27" s="21">
        <v>40545</v>
      </c>
      <c r="C27">
        <v>1</v>
      </c>
      <c r="D27">
        <v>0</v>
      </c>
      <c r="E27">
        <v>1</v>
      </c>
      <c r="F27">
        <v>1</v>
      </c>
      <c r="G27" t="b">
        <v>0</v>
      </c>
      <c r="H27">
        <v>0</v>
      </c>
      <c r="I27">
        <v>2</v>
      </c>
      <c r="J27">
        <v>0.44</v>
      </c>
      <c r="K27">
        <v>0.43940000000000001</v>
      </c>
      <c r="L27">
        <v>0.94</v>
      </c>
      <c r="M27">
        <v>0.25369999999999998</v>
      </c>
      <c r="N27">
        <v>1</v>
      </c>
      <c r="O27">
        <v>16</v>
      </c>
      <c r="P27">
        <v>17</v>
      </c>
    </row>
    <row r="28" spans="1:16" x14ac:dyDescent="0.3">
      <c r="A28">
        <v>27</v>
      </c>
      <c r="B28" s="21">
        <v>40545</v>
      </c>
      <c r="C28">
        <v>1</v>
      </c>
      <c r="D28">
        <v>0</v>
      </c>
      <c r="E28">
        <v>1</v>
      </c>
      <c r="F28">
        <v>2</v>
      </c>
      <c r="G28" t="b">
        <v>0</v>
      </c>
      <c r="H28">
        <v>0</v>
      </c>
      <c r="I28">
        <v>2</v>
      </c>
      <c r="J28">
        <v>0.42</v>
      </c>
      <c r="K28">
        <v>0.42420000000000002</v>
      </c>
      <c r="L28">
        <v>1</v>
      </c>
      <c r="M28">
        <v>0.28360000000000002</v>
      </c>
      <c r="N28">
        <v>1</v>
      </c>
      <c r="O28">
        <v>8</v>
      </c>
      <c r="P28">
        <v>9</v>
      </c>
    </row>
    <row r="29" spans="1:16" x14ac:dyDescent="0.3">
      <c r="A29">
        <v>28</v>
      </c>
      <c r="B29" s="21">
        <v>40545</v>
      </c>
      <c r="C29">
        <v>1</v>
      </c>
      <c r="D29">
        <v>0</v>
      </c>
      <c r="E29">
        <v>1</v>
      </c>
      <c r="F29">
        <v>3</v>
      </c>
      <c r="G29" t="b">
        <v>0</v>
      </c>
      <c r="H29">
        <v>0</v>
      </c>
      <c r="I29">
        <v>2</v>
      </c>
      <c r="J29">
        <v>0.46</v>
      </c>
      <c r="K29">
        <v>0.45450000000000002</v>
      </c>
      <c r="L29">
        <v>0.94</v>
      </c>
      <c r="M29">
        <v>0.19400000000000001</v>
      </c>
      <c r="N29">
        <v>2</v>
      </c>
      <c r="O29">
        <v>4</v>
      </c>
      <c r="P29">
        <v>6</v>
      </c>
    </row>
    <row r="30" spans="1:16" x14ac:dyDescent="0.3">
      <c r="A30">
        <v>29</v>
      </c>
      <c r="B30" s="21">
        <v>40545</v>
      </c>
      <c r="C30">
        <v>1</v>
      </c>
      <c r="D30">
        <v>0</v>
      </c>
      <c r="E30">
        <v>1</v>
      </c>
      <c r="F30">
        <v>4</v>
      </c>
      <c r="G30" t="b">
        <v>0</v>
      </c>
      <c r="H30">
        <v>0</v>
      </c>
      <c r="I30">
        <v>2</v>
      </c>
      <c r="J30">
        <v>0.46</v>
      </c>
      <c r="L30">
        <v>0.94</v>
      </c>
      <c r="M30">
        <v>0.19400000000000001</v>
      </c>
      <c r="N30">
        <v>2</v>
      </c>
      <c r="O30">
        <v>1</v>
      </c>
      <c r="P30">
        <v>3</v>
      </c>
    </row>
    <row r="31" spans="1:16" x14ac:dyDescent="0.3">
      <c r="A31">
        <v>30</v>
      </c>
      <c r="B31" s="21">
        <v>40545</v>
      </c>
      <c r="C31">
        <v>1</v>
      </c>
      <c r="D31">
        <v>0</v>
      </c>
      <c r="E31">
        <v>1</v>
      </c>
      <c r="F31">
        <v>6</v>
      </c>
      <c r="G31" t="b">
        <v>0</v>
      </c>
      <c r="H31">
        <v>0</v>
      </c>
      <c r="I31">
        <v>3</v>
      </c>
      <c r="J31">
        <v>0.42</v>
      </c>
      <c r="K31">
        <v>0.42420000000000002</v>
      </c>
      <c r="L31">
        <v>0.77</v>
      </c>
      <c r="M31">
        <v>0.29849999999999999</v>
      </c>
      <c r="N31">
        <v>0</v>
      </c>
      <c r="O31">
        <v>2</v>
      </c>
      <c r="P31">
        <v>2</v>
      </c>
    </row>
    <row r="32" spans="1:16" x14ac:dyDescent="0.3">
      <c r="A32">
        <v>31</v>
      </c>
      <c r="B32" s="21">
        <v>40545</v>
      </c>
      <c r="C32">
        <v>1</v>
      </c>
      <c r="D32">
        <v>0</v>
      </c>
      <c r="E32">
        <v>1</v>
      </c>
      <c r="F32">
        <v>7</v>
      </c>
      <c r="G32" t="b">
        <v>0</v>
      </c>
      <c r="H32">
        <v>0</v>
      </c>
      <c r="I32">
        <v>2</v>
      </c>
      <c r="J32">
        <v>0.4</v>
      </c>
      <c r="K32">
        <v>0.40910000000000002</v>
      </c>
      <c r="L32">
        <v>0.76</v>
      </c>
      <c r="M32">
        <v>0.19400000000000001</v>
      </c>
      <c r="N32">
        <v>0</v>
      </c>
      <c r="O32">
        <v>1</v>
      </c>
      <c r="P32">
        <v>1</v>
      </c>
    </row>
    <row r="33" spans="1:16" x14ac:dyDescent="0.3">
      <c r="A33">
        <v>32</v>
      </c>
      <c r="B33" s="21">
        <v>40545</v>
      </c>
      <c r="C33">
        <v>1</v>
      </c>
      <c r="D33">
        <v>0</v>
      </c>
      <c r="E33">
        <v>1</v>
      </c>
      <c r="F33">
        <v>8</v>
      </c>
      <c r="G33" t="b">
        <v>0</v>
      </c>
      <c r="H33">
        <v>0</v>
      </c>
      <c r="I33">
        <v>3</v>
      </c>
      <c r="J33">
        <v>0.4</v>
      </c>
      <c r="K33">
        <v>0.40910000000000002</v>
      </c>
      <c r="L33">
        <v>0.71</v>
      </c>
      <c r="M33">
        <v>0.22389999999999999</v>
      </c>
      <c r="N33">
        <v>0</v>
      </c>
      <c r="O33">
        <v>8</v>
      </c>
      <c r="P33">
        <v>8</v>
      </c>
    </row>
    <row r="34" spans="1:16" x14ac:dyDescent="0.3">
      <c r="A34">
        <v>33</v>
      </c>
      <c r="B34" s="21">
        <v>40545</v>
      </c>
      <c r="C34">
        <v>1</v>
      </c>
      <c r="D34">
        <v>0</v>
      </c>
      <c r="E34">
        <v>1</v>
      </c>
      <c r="F34">
        <v>9</v>
      </c>
      <c r="G34" t="b">
        <v>0</v>
      </c>
      <c r="H34">
        <v>0</v>
      </c>
      <c r="I34">
        <v>2</v>
      </c>
      <c r="J34">
        <v>0.38</v>
      </c>
      <c r="L34">
        <v>0.76</v>
      </c>
      <c r="M34">
        <v>0.22389999999999999</v>
      </c>
      <c r="N34">
        <v>1</v>
      </c>
      <c r="O34">
        <v>19</v>
      </c>
      <c r="P34">
        <v>20</v>
      </c>
    </row>
    <row r="35" spans="1:16" x14ac:dyDescent="0.3">
      <c r="A35">
        <v>34</v>
      </c>
      <c r="B35" s="21">
        <v>40545</v>
      </c>
      <c r="C35">
        <v>1</v>
      </c>
      <c r="D35">
        <v>0</v>
      </c>
      <c r="E35">
        <v>1</v>
      </c>
      <c r="F35">
        <v>10</v>
      </c>
      <c r="G35" t="b">
        <v>0</v>
      </c>
      <c r="H35">
        <v>0</v>
      </c>
      <c r="I35">
        <v>2</v>
      </c>
      <c r="J35">
        <v>0.36</v>
      </c>
      <c r="K35">
        <v>0.34849999999999998</v>
      </c>
      <c r="L35">
        <v>0.81</v>
      </c>
      <c r="M35">
        <v>0.22389999999999999</v>
      </c>
      <c r="N35">
        <v>7</v>
      </c>
      <c r="O35">
        <v>46</v>
      </c>
      <c r="P35">
        <v>53</v>
      </c>
    </row>
    <row r="36" spans="1:16" x14ac:dyDescent="0.3">
      <c r="A36">
        <v>35</v>
      </c>
      <c r="B36" s="21">
        <v>40545</v>
      </c>
      <c r="C36">
        <v>1</v>
      </c>
      <c r="D36">
        <v>0</v>
      </c>
      <c r="E36">
        <v>1</v>
      </c>
      <c r="F36">
        <v>11</v>
      </c>
      <c r="G36" t="b">
        <v>0</v>
      </c>
      <c r="H36">
        <v>0</v>
      </c>
      <c r="I36">
        <v>2</v>
      </c>
      <c r="J36">
        <v>0.36</v>
      </c>
      <c r="K36">
        <v>0.33329999999999999</v>
      </c>
      <c r="L36">
        <v>0.71</v>
      </c>
      <c r="M36">
        <v>0.25369999999999998</v>
      </c>
      <c r="N36">
        <v>16</v>
      </c>
      <c r="O36">
        <v>54</v>
      </c>
      <c r="P36">
        <v>70</v>
      </c>
    </row>
    <row r="37" spans="1:16" x14ac:dyDescent="0.3">
      <c r="A37">
        <v>36</v>
      </c>
      <c r="B37" s="21">
        <v>40545</v>
      </c>
      <c r="C37">
        <v>1</v>
      </c>
      <c r="D37">
        <v>0</v>
      </c>
      <c r="E37">
        <v>1</v>
      </c>
      <c r="F37">
        <v>12</v>
      </c>
      <c r="G37" t="b">
        <v>0</v>
      </c>
      <c r="H37">
        <v>0</v>
      </c>
      <c r="I37">
        <v>2</v>
      </c>
      <c r="J37">
        <v>0.36</v>
      </c>
      <c r="K37">
        <v>0.33329999999999999</v>
      </c>
      <c r="L37">
        <v>0.66</v>
      </c>
      <c r="M37">
        <v>0.29849999999999999</v>
      </c>
      <c r="N37">
        <v>20</v>
      </c>
      <c r="O37">
        <v>73</v>
      </c>
      <c r="P37">
        <v>93</v>
      </c>
    </row>
    <row r="38" spans="1:16" x14ac:dyDescent="0.3">
      <c r="A38">
        <v>37</v>
      </c>
      <c r="B38" s="21">
        <v>40545</v>
      </c>
      <c r="C38">
        <v>1</v>
      </c>
      <c r="D38">
        <v>0</v>
      </c>
      <c r="E38">
        <v>1</v>
      </c>
      <c r="F38">
        <v>13</v>
      </c>
      <c r="G38" t="b">
        <v>0</v>
      </c>
      <c r="H38">
        <v>0</v>
      </c>
      <c r="I38">
        <v>2</v>
      </c>
      <c r="J38">
        <v>0.36</v>
      </c>
      <c r="K38">
        <v>0.34849999999999998</v>
      </c>
      <c r="L38">
        <v>0.66</v>
      </c>
      <c r="M38">
        <v>0.1343</v>
      </c>
      <c r="N38">
        <v>11</v>
      </c>
      <c r="O38">
        <v>64</v>
      </c>
      <c r="P38">
        <v>75</v>
      </c>
    </row>
    <row r="39" spans="1:16" x14ac:dyDescent="0.3">
      <c r="A39">
        <v>38</v>
      </c>
      <c r="B39" s="21">
        <v>40545</v>
      </c>
      <c r="C39">
        <v>1</v>
      </c>
      <c r="D39">
        <v>0</v>
      </c>
      <c r="E39">
        <v>1</v>
      </c>
      <c r="F39">
        <v>14</v>
      </c>
      <c r="G39" t="b">
        <v>0</v>
      </c>
      <c r="H39">
        <v>0</v>
      </c>
      <c r="I39">
        <v>3</v>
      </c>
      <c r="J39">
        <v>0.36</v>
      </c>
      <c r="L39">
        <v>0.76</v>
      </c>
      <c r="M39">
        <v>0.19400000000000001</v>
      </c>
      <c r="N39">
        <v>4</v>
      </c>
      <c r="O39">
        <v>55</v>
      </c>
      <c r="P39">
        <v>59</v>
      </c>
    </row>
    <row r="40" spans="1:16" x14ac:dyDescent="0.3">
      <c r="A40">
        <v>39</v>
      </c>
      <c r="B40" s="21">
        <v>40545</v>
      </c>
      <c r="C40">
        <v>1</v>
      </c>
      <c r="D40">
        <v>0</v>
      </c>
      <c r="E40">
        <v>1</v>
      </c>
      <c r="F40">
        <v>15</v>
      </c>
      <c r="G40" t="b">
        <v>0</v>
      </c>
      <c r="H40">
        <v>0</v>
      </c>
      <c r="I40">
        <v>3</v>
      </c>
      <c r="J40">
        <v>0.34</v>
      </c>
      <c r="K40">
        <v>0.33329999999999999</v>
      </c>
      <c r="L40">
        <v>0.81</v>
      </c>
      <c r="M40">
        <v>0.16420000000000001</v>
      </c>
      <c r="N40">
        <v>19</v>
      </c>
      <c r="O40">
        <v>55</v>
      </c>
      <c r="P40">
        <v>74</v>
      </c>
    </row>
    <row r="41" spans="1:16" x14ac:dyDescent="0.3">
      <c r="A41">
        <v>40</v>
      </c>
      <c r="B41" s="21">
        <v>40545</v>
      </c>
      <c r="C41">
        <v>1</v>
      </c>
      <c r="D41">
        <v>0</v>
      </c>
      <c r="E41">
        <v>1</v>
      </c>
      <c r="F41">
        <v>16</v>
      </c>
      <c r="G41" t="b">
        <v>0</v>
      </c>
      <c r="H41">
        <v>0</v>
      </c>
      <c r="I41">
        <v>3</v>
      </c>
      <c r="J41">
        <v>0.34</v>
      </c>
      <c r="K41">
        <v>0.33329999999999999</v>
      </c>
      <c r="L41">
        <v>0.71</v>
      </c>
      <c r="M41">
        <v>0.16420000000000001</v>
      </c>
      <c r="N41">
        <v>9</v>
      </c>
      <c r="O41">
        <v>67</v>
      </c>
      <c r="P41">
        <v>76</v>
      </c>
    </row>
    <row r="42" spans="1:16" x14ac:dyDescent="0.3">
      <c r="A42">
        <v>41</v>
      </c>
      <c r="B42" s="21">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
      <c r="A43">
        <v>42</v>
      </c>
      <c r="B43" s="21">
        <v>40545</v>
      </c>
      <c r="C43">
        <v>1</v>
      </c>
      <c r="D43">
        <v>0</v>
      </c>
      <c r="E43">
        <v>1</v>
      </c>
      <c r="F43">
        <v>18</v>
      </c>
      <c r="G43" t="b">
        <v>0</v>
      </c>
      <c r="H43">
        <v>0</v>
      </c>
      <c r="I43">
        <v>2</v>
      </c>
      <c r="J43">
        <v>0.36</v>
      </c>
      <c r="K43">
        <v>0.33329999999999999</v>
      </c>
      <c r="L43">
        <v>0.46</v>
      </c>
      <c r="M43">
        <v>0.32840000000000003</v>
      </c>
      <c r="N43">
        <v>10</v>
      </c>
      <c r="O43">
        <v>43</v>
      </c>
      <c r="P43">
        <v>53</v>
      </c>
    </row>
    <row r="44" spans="1:16" x14ac:dyDescent="0.3">
      <c r="A44">
        <v>43</v>
      </c>
      <c r="B44" s="21">
        <v>40545</v>
      </c>
      <c r="C44">
        <v>1</v>
      </c>
      <c r="D44">
        <v>0</v>
      </c>
      <c r="E44">
        <v>1</v>
      </c>
      <c r="F44">
        <v>19</v>
      </c>
      <c r="G44" t="b">
        <v>0</v>
      </c>
      <c r="H44">
        <v>0</v>
      </c>
      <c r="I44">
        <v>1</v>
      </c>
      <c r="J44">
        <v>0.32</v>
      </c>
      <c r="K44">
        <v>0.28789999999999999</v>
      </c>
      <c r="L44">
        <v>0.42</v>
      </c>
      <c r="M44">
        <v>0.44779999999999998</v>
      </c>
      <c r="N44">
        <v>1</v>
      </c>
      <c r="O44">
        <v>29</v>
      </c>
      <c r="P44">
        <v>30</v>
      </c>
    </row>
    <row r="45" spans="1:16" x14ac:dyDescent="0.3">
      <c r="A45">
        <v>44</v>
      </c>
      <c r="B45" s="21">
        <v>40545</v>
      </c>
      <c r="C45">
        <v>1</v>
      </c>
      <c r="D45">
        <v>0</v>
      </c>
      <c r="E45">
        <v>1</v>
      </c>
      <c r="F45">
        <v>20</v>
      </c>
      <c r="G45" t="b">
        <v>0</v>
      </c>
      <c r="H45">
        <v>0</v>
      </c>
      <c r="I45">
        <v>1</v>
      </c>
      <c r="J45">
        <v>0.3</v>
      </c>
      <c r="L45">
        <v>0.39</v>
      </c>
      <c r="M45">
        <v>0.35820000000000002</v>
      </c>
      <c r="N45">
        <v>5</v>
      </c>
      <c r="O45">
        <v>17</v>
      </c>
      <c r="P45">
        <v>22</v>
      </c>
    </row>
    <row r="46" spans="1:16" x14ac:dyDescent="0.3">
      <c r="A46">
        <v>45</v>
      </c>
      <c r="B46" s="21">
        <v>40545</v>
      </c>
      <c r="C46">
        <v>1</v>
      </c>
      <c r="D46">
        <v>0</v>
      </c>
      <c r="E46">
        <v>1</v>
      </c>
      <c r="F46">
        <v>21</v>
      </c>
      <c r="G46" t="b">
        <v>0</v>
      </c>
      <c r="H46">
        <v>0</v>
      </c>
      <c r="I46">
        <v>1</v>
      </c>
      <c r="J46">
        <v>0.26</v>
      </c>
      <c r="K46">
        <v>0.2273</v>
      </c>
      <c r="L46">
        <v>0.44</v>
      </c>
      <c r="M46">
        <v>0.32840000000000003</v>
      </c>
      <c r="N46">
        <v>11</v>
      </c>
      <c r="O46">
        <v>20</v>
      </c>
      <c r="P46">
        <v>31</v>
      </c>
    </row>
    <row r="47" spans="1:16" x14ac:dyDescent="0.3">
      <c r="A47">
        <v>46</v>
      </c>
      <c r="B47" s="21">
        <v>40545</v>
      </c>
      <c r="C47">
        <v>1</v>
      </c>
      <c r="D47">
        <v>0</v>
      </c>
      <c r="E47">
        <v>1</v>
      </c>
      <c r="F47">
        <v>22</v>
      </c>
      <c r="G47" t="b">
        <v>0</v>
      </c>
      <c r="H47">
        <v>0</v>
      </c>
      <c r="I47">
        <v>1</v>
      </c>
      <c r="J47">
        <v>0.24</v>
      </c>
      <c r="K47">
        <v>0.21210000000000001</v>
      </c>
      <c r="L47">
        <v>0.44</v>
      </c>
      <c r="M47">
        <v>0.29849999999999999</v>
      </c>
      <c r="N47">
        <v>0</v>
      </c>
      <c r="O47">
        <v>9</v>
      </c>
      <c r="P47">
        <v>9</v>
      </c>
    </row>
    <row r="48" spans="1:16" x14ac:dyDescent="0.3">
      <c r="A48">
        <v>47</v>
      </c>
      <c r="B48" s="21">
        <v>40545</v>
      </c>
      <c r="C48">
        <v>1</v>
      </c>
      <c r="D48">
        <v>0</v>
      </c>
      <c r="E48">
        <v>1</v>
      </c>
      <c r="F48">
        <v>23</v>
      </c>
      <c r="G48" t="b">
        <v>0</v>
      </c>
      <c r="H48">
        <v>0</v>
      </c>
      <c r="I48">
        <v>1</v>
      </c>
      <c r="J48">
        <v>0.22</v>
      </c>
      <c r="K48">
        <v>0.2273</v>
      </c>
      <c r="L48">
        <v>0.47</v>
      </c>
      <c r="M48">
        <v>0.16420000000000001</v>
      </c>
      <c r="N48">
        <v>0</v>
      </c>
      <c r="O48">
        <v>8</v>
      </c>
      <c r="P48">
        <v>8</v>
      </c>
    </row>
    <row r="49" spans="1:16" x14ac:dyDescent="0.3">
      <c r="A49">
        <v>48</v>
      </c>
      <c r="B49" s="21">
        <v>40546</v>
      </c>
      <c r="C49">
        <v>1</v>
      </c>
      <c r="D49">
        <v>0</v>
      </c>
      <c r="E49">
        <v>1</v>
      </c>
      <c r="F49">
        <v>0</v>
      </c>
      <c r="G49" t="b">
        <v>0</v>
      </c>
      <c r="H49">
        <v>1</v>
      </c>
      <c r="I49">
        <v>1</v>
      </c>
      <c r="J49">
        <v>0.22</v>
      </c>
      <c r="K49">
        <v>0.19700000000000001</v>
      </c>
      <c r="L49">
        <v>0.44</v>
      </c>
      <c r="M49">
        <v>0.35820000000000002</v>
      </c>
      <c r="N49">
        <v>0</v>
      </c>
      <c r="O49">
        <v>5</v>
      </c>
      <c r="P49">
        <v>5</v>
      </c>
    </row>
    <row r="50" spans="1:16" x14ac:dyDescent="0.3">
      <c r="A50">
        <v>49</v>
      </c>
      <c r="B50" s="21">
        <v>40546</v>
      </c>
      <c r="C50">
        <v>1</v>
      </c>
      <c r="D50">
        <v>0</v>
      </c>
      <c r="E50">
        <v>1</v>
      </c>
      <c r="F50">
        <v>1</v>
      </c>
      <c r="G50" t="b">
        <v>0</v>
      </c>
      <c r="H50">
        <v>1</v>
      </c>
      <c r="I50">
        <v>1</v>
      </c>
      <c r="J50">
        <v>0.2</v>
      </c>
      <c r="L50">
        <v>0.44</v>
      </c>
      <c r="M50">
        <v>0.41789999999999999</v>
      </c>
      <c r="N50">
        <v>0</v>
      </c>
      <c r="O50">
        <v>2</v>
      </c>
      <c r="P50">
        <v>2</v>
      </c>
    </row>
    <row r="51" spans="1:16" x14ac:dyDescent="0.3">
      <c r="A51">
        <v>50</v>
      </c>
      <c r="B51" s="21">
        <v>40546</v>
      </c>
      <c r="C51">
        <v>1</v>
      </c>
      <c r="D51">
        <v>0</v>
      </c>
      <c r="E51">
        <v>1</v>
      </c>
      <c r="F51">
        <v>4</v>
      </c>
      <c r="G51" t="b">
        <v>0</v>
      </c>
      <c r="H51">
        <v>1</v>
      </c>
      <c r="I51">
        <v>1</v>
      </c>
      <c r="J51">
        <v>0.16</v>
      </c>
      <c r="K51">
        <v>0.13639999999999999</v>
      </c>
      <c r="L51">
        <v>0.47</v>
      </c>
      <c r="M51">
        <v>0.3881</v>
      </c>
      <c r="N51">
        <v>0</v>
      </c>
      <c r="O51">
        <v>1</v>
      </c>
      <c r="P51">
        <v>1</v>
      </c>
    </row>
    <row r="52" spans="1:16" x14ac:dyDescent="0.3">
      <c r="A52">
        <v>51</v>
      </c>
      <c r="B52" s="21">
        <v>40546</v>
      </c>
      <c r="C52">
        <v>1</v>
      </c>
      <c r="D52">
        <v>0</v>
      </c>
      <c r="E52">
        <v>1</v>
      </c>
      <c r="F52">
        <v>5</v>
      </c>
      <c r="G52" t="b">
        <v>0</v>
      </c>
      <c r="H52">
        <v>1</v>
      </c>
      <c r="I52">
        <v>1</v>
      </c>
      <c r="J52">
        <v>0.16</v>
      </c>
      <c r="K52">
        <v>0.13639999999999999</v>
      </c>
      <c r="L52">
        <v>0.47</v>
      </c>
      <c r="M52">
        <v>0.28360000000000002</v>
      </c>
      <c r="N52">
        <v>0</v>
      </c>
      <c r="O52">
        <v>3</v>
      </c>
      <c r="P52">
        <v>3</v>
      </c>
    </row>
    <row r="53" spans="1:16" x14ac:dyDescent="0.3">
      <c r="A53">
        <v>52</v>
      </c>
      <c r="B53" s="21">
        <v>40546</v>
      </c>
      <c r="C53">
        <v>1</v>
      </c>
      <c r="D53">
        <v>0</v>
      </c>
      <c r="E53">
        <v>1</v>
      </c>
      <c r="F53">
        <v>6</v>
      </c>
      <c r="G53" t="b">
        <v>0</v>
      </c>
      <c r="H53">
        <v>1</v>
      </c>
      <c r="I53">
        <v>1</v>
      </c>
      <c r="J53">
        <v>0.14000000000000001</v>
      </c>
      <c r="K53">
        <v>0.1061</v>
      </c>
      <c r="L53">
        <v>0.5</v>
      </c>
      <c r="M53">
        <v>0.3881</v>
      </c>
      <c r="N53">
        <v>0</v>
      </c>
      <c r="O53">
        <v>30</v>
      </c>
      <c r="P53">
        <v>30</v>
      </c>
    </row>
    <row r="54" spans="1:16" x14ac:dyDescent="0.3">
      <c r="A54">
        <v>53</v>
      </c>
      <c r="B54" s="21">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
      <c r="A55">
        <v>54</v>
      </c>
      <c r="B55" s="21">
        <v>40546</v>
      </c>
      <c r="C55">
        <v>1</v>
      </c>
      <c r="D55">
        <v>0</v>
      </c>
      <c r="E55">
        <v>1</v>
      </c>
      <c r="F55">
        <v>8</v>
      </c>
      <c r="G55" t="b">
        <v>0</v>
      </c>
      <c r="H55">
        <v>1</v>
      </c>
      <c r="I55">
        <v>1</v>
      </c>
      <c r="J55">
        <v>0.14000000000000001</v>
      </c>
      <c r="K55">
        <v>0.1212</v>
      </c>
      <c r="L55">
        <v>0.5</v>
      </c>
      <c r="M55">
        <v>0.28360000000000002</v>
      </c>
      <c r="N55">
        <v>1</v>
      </c>
      <c r="O55">
        <v>153</v>
      </c>
      <c r="P55">
        <v>154</v>
      </c>
    </row>
    <row r="56" spans="1:16" x14ac:dyDescent="0.3">
      <c r="A56">
        <v>55</v>
      </c>
      <c r="B56" s="21">
        <v>40546</v>
      </c>
      <c r="C56">
        <v>1</v>
      </c>
      <c r="D56">
        <v>0</v>
      </c>
      <c r="E56">
        <v>1</v>
      </c>
      <c r="F56">
        <v>9</v>
      </c>
      <c r="G56" t="b">
        <v>0</v>
      </c>
      <c r="H56">
        <v>1</v>
      </c>
      <c r="I56">
        <v>1</v>
      </c>
      <c r="J56">
        <v>0.16</v>
      </c>
      <c r="K56">
        <v>0.13639999999999999</v>
      </c>
      <c r="L56">
        <v>0.43</v>
      </c>
      <c r="M56">
        <v>0.3881</v>
      </c>
      <c r="N56">
        <v>7</v>
      </c>
      <c r="O56">
        <v>81</v>
      </c>
      <c r="P56">
        <v>88</v>
      </c>
    </row>
    <row r="57" spans="1:16" x14ac:dyDescent="0.3">
      <c r="A57">
        <v>56</v>
      </c>
      <c r="B57" s="21">
        <v>40546</v>
      </c>
      <c r="C57">
        <v>1</v>
      </c>
      <c r="D57">
        <v>0</v>
      </c>
      <c r="E57">
        <v>1</v>
      </c>
      <c r="F57">
        <v>10</v>
      </c>
      <c r="G57" t="b">
        <v>0</v>
      </c>
      <c r="H57">
        <v>1</v>
      </c>
      <c r="I57">
        <v>1</v>
      </c>
      <c r="J57">
        <v>0.18</v>
      </c>
      <c r="K57">
        <v>0.16669999999999999</v>
      </c>
      <c r="L57">
        <v>0.43</v>
      </c>
      <c r="M57">
        <v>0.25369999999999998</v>
      </c>
      <c r="N57">
        <v>11</v>
      </c>
      <c r="O57">
        <v>33</v>
      </c>
      <c r="P57">
        <v>44</v>
      </c>
    </row>
    <row r="58" spans="1:16" x14ac:dyDescent="0.3">
      <c r="A58">
        <v>57</v>
      </c>
      <c r="B58" s="21">
        <v>40546</v>
      </c>
      <c r="C58">
        <v>1</v>
      </c>
      <c r="D58">
        <v>0</v>
      </c>
      <c r="E58">
        <v>1</v>
      </c>
      <c r="F58">
        <v>11</v>
      </c>
      <c r="G58" t="b">
        <v>0</v>
      </c>
      <c r="H58">
        <v>1</v>
      </c>
      <c r="I58">
        <v>1</v>
      </c>
      <c r="J58">
        <v>0.2</v>
      </c>
      <c r="K58">
        <v>0.18179999999999999</v>
      </c>
      <c r="L58">
        <v>0.4</v>
      </c>
      <c r="M58">
        <v>0.32840000000000003</v>
      </c>
      <c r="N58">
        <v>10</v>
      </c>
      <c r="O58">
        <v>41</v>
      </c>
      <c r="P58">
        <v>51</v>
      </c>
    </row>
    <row r="59" spans="1:16" x14ac:dyDescent="0.3">
      <c r="A59">
        <v>58</v>
      </c>
      <c r="B59" s="21">
        <v>40546</v>
      </c>
      <c r="C59">
        <v>1</v>
      </c>
      <c r="D59">
        <v>0</v>
      </c>
      <c r="E59">
        <v>1</v>
      </c>
      <c r="F59">
        <v>12</v>
      </c>
      <c r="G59" t="b">
        <v>0</v>
      </c>
      <c r="H59">
        <v>1</v>
      </c>
      <c r="I59">
        <v>1</v>
      </c>
      <c r="J59">
        <v>0.22</v>
      </c>
      <c r="K59">
        <v>0.21210000000000001</v>
      </c>
      <c r="L59">
        <v>0.35</v>
      </c>
      <c r="M59">
        <v>0.29849999999999999</v>
      </c>
      <c r="N59">
        <v>13</v>
      </c>
      <c r="O59">
        <v>48</v>
      </c>
      <c r="P59">
        <v>61</v>
      </c>
    </row>
    <row r="60" spans="1:16" x14ac:dyDescent="0.3">
      <c r="A60">
        <v>59</v>
      </c>
      <c r="B60" s="21">
        <v>40546</v>
      </c>
      <c r="C60">
        <v>1</v>
      </c>
      <c r="D60">
        <v>0</v>
      </c>
      <c r="E60">
        <v>1</v>
      </c>
      <c r="F60">
        <v>13</v>
      </c>
      <c r="G60" t="b">
        <v>0</v>
      </c>
      <c r="H60">
        <v>1</v>
      </c>
      <c r="I60">
        <v>1</v>
      </c>
      <c r="J60">
        <v>0.24</v>
      </c>
      <c r="L60">
        <v>0.35</v>
      </c>
      <c r="M60">
        <v>0.28360000000000002</v>
      </c>
      <c r="N60">
        <v>8</v>
      </c>
      <c r="O60">
        <v>53</v>
      </c>
      <c r="P60">
        <v>61</v>
      </c>
    </row>
    <row r="61" spans="1:16" x14ac:dyDescent="0.3">
      <c r="A61">
        <v>60</v>
      </c>
      <c r="B61" s="21">
        <v>40546</v>
      </c>
      <c r="C61">
        <v>1</v>
      </c>
      <c r="D61">
        <v>0</v>
      </c>
      <c r="E61">
        <v>1</v>
      </c>
      <c r="F61">
        <v>14</v>
      </c>
      <c r="G61" t="b">
        <v>0</v>
      </c>
      <c r="H61">
        <v>1</v>
      </c>
      <c r="I61">
        <v>1</v>
      </c>
      <c r="J61">
        <v>0.26</v>
      </c>
      <c r="K61">
        <v>0.2424</v>
      </c>
      <c r="L61">
        <v>0.3</v>
      </c>
      <c r="M61">
        <v>0.28360000000000002</v>
      </c>
      <c r="N61">
        <v>11</v>
      </c>
      <c r="O61">
        <v>66</v>
      </c>
      <c r="P61">
        <v>77</v>
      </c>
    </row>
    <row r="62" spans="1:16" x14ac:dyDescent="0.3">
      <c r="A62">
        <v>61</v>
      </c>
      <c r="B62" s="21">
        <v>40546</v>
      </c>
      <c r="C62">
        <v>1</v>
      </c>
      <c r="D62">
        <v>0</v>
      </c>
      <c r="E62">
        <v>1</v>
      </c>
      <c r="F62">
        <v>15</v>
      </c>
      <c r="G62" t="b">
        <v>0</v>
      </c>
      <c r="H62">
        <v>1</v>
      </c>
      <c r="I62">
        <v>1</v>
      </c>
      <c r="J62">
        <v>0.26</v>
      </c>
      <c r="K62">
        <v>0.2424</v>
      </c>
      <c r="L62">
        <v>0.3</v>
      </c>
      <c r="M62">
        <v>0.25369999999999998</v>
      </c>
      <c r="N62">
        <v>14</v>
      </c>
      <c r="O62">
        <v>58</v>
      </c>
      <c r="P62">
        <v>72</v>
      </c>
    </row>
    <row r="63" spans="1:16" x14ac:dyDescent="0.3">
      <c r="A63">
        <v>62</v>
      </c>
      <c r="B63" s="21">
        <v>40546</v>
      </c>
      <c r="C63">
        <v>1</v>
      </c>
      <c r="D63">
        <v>0</v>
      </c>
      <c r="E63">
        <v>1</v>
      </c>
      <c r="F63">
        <v>16</v>
      </c>
      <c r="G63" t="b">
        <v>0</v>
      </c>
      <c r="H63">
        <v>1</v>
      </c>
      <c r="I63">
        <v>1</v>
      </c>
      <c r="J63">
        <v>0.26</v>
      </c>
      <c r="K63">
        <v>0.2424</v>
      </c>
      <c r="L63">
        <v>0.3</v>
      </c>
      <c r="M63">
        <v>0.25369999999999998</v>
      </c>
      <c r="N63">
        <v>9</v>
      </c>
      <c r="O63">
        <v>67</v>
      </c>
      <c r="P63">
        <v>76</v>
      </c>
    </row>
    <row r="64" spans="1:16" x14ac:dyDescent="0.3">
      <c r="A64">
        <v>63</v>
      </c>
      <c r="B64" s="21">
        <v>40546</v>
      </c>
      <c r="C64">
        <v>1</v>
      </c>
      <c r="D64">
        <v>0</v>
      </c>
      <c r="E64">
        <v>1</v>
      </c>
      <c r="F64">
        <v>17</v>
      </c>
      <c r="G64" t="b">
        <v>0</v>
      </c>
      <c r="H64">
        <v>1</v>
      </c>
      <c r="I64">
        <v>1</v>
      </c>
      <c r="J64">
        <v>0.24</v>
      </c>
      <c r="K64">
        <v>0.2273</v>
      </c>
      <c r="L64">
        <v>0.3</v>
      </c>
      <c r="M64">
        <v>0.22389999999999999</v>
      </c>
      <c r="N64">
        <v>11</v>
      </c>
      <c r="O64">
        <v>146</v>
      </c>
      <c r="P64">
        <v>157</v>
      </c>
    </row>
    <row r="65" spans="1:16" x14ac:dyDescent="0.3">
      <c r="A65">
        <v>64</v>
      </c>
      <c r="B65" s="21">
        <v>40546</v>
      </c>
      <c r="C65">
        <v>1</v>
      </c>
      <c r="D65">
        <v>0</v>
      </c>
      <c r="E65">
        <v>1</v>
      </c>
      <c r="F65">
        <v>18</v>
      </c>
      <c r="G65" t="b">
        <v>0</v>
      </c>
      <c r="H65">
        <v>1</v>
      </c>
      <c r="I65">
        <v>1</v>
      </c>
      <c r="J65">
        <v>0.24</v>
      </c>
      <c r="K65">
        <v>0.2576</v>
      </c>
      <c r="L65">
        <v>0.32</v>
      </c>
      <c r="M65">
        <v>0.1045</v>
      </c>
      <c r="N65">
        <v>9</v>
      </c>
      <c r="O65">
        <v>148</v>
      </c>
      <c r="P65">
        <v>157</v>
      </c>
    </row>
    <row r="66" spans="1:16" x14ac:dyDescent="0.3">
      <c r="A66">
        <v>65</v>
      </c>
      <c r="B66" s="21">
        <v>40546</v>
      </c>
      <c r="C66">
        <v>1</v>
      </c>
      <c r="D66">
        <v>0</v>
      </c>
      <c r="E66">
        <v>1</v>
      </c>
      <c r="F66">
        <v>19</v>
      </c>
      <c r="G66" t="b">
        <v>0</v>
      </c>
      <c r="H66">
        <v>1</v>
      </c>
      <c r="I66">
        <v>1</v>
      </c>
      <c r="J66">
        <v>0.2</v>
      </c>
      <c r="K66">
        <v>0.2576</v>
      </c>
      <c r="L66">
        <v>0.47</v>
      </c>
      <c r="M66">
        <v>0</v>
      </c>
      <c r="N66">
        <v>8</v>
      </c>
      <c r="O66">
        <v>102</v>
      </c>
      <c r="P66">
        <v>110</v>
      </c>
    </row>
    <row r="67" spans="1:16" x14ac:dyDescent="0.3">
      <c r="A67">
        <v>66</v>
      </c>
      <c r="B67" s="21">
        <v>40546</v>
      </c>
      <c r="C67">
        <v>1</v>
      </c>
      <c r="D67">
        <v>0</v>
      </c>
      <c r="E67">
        <v>1</v>
      </c>
      <c r="F67">
        <v>20</v>
      </c>
      <c r="G67" t="b">
        <v>0</v>
      </c>
      <c r="H67">
        <v>1</v>
      </c>
      <c r="I67">
        <v>1</v>
      </c>
      <c r="J67">
        <v>0.2</v>
      </c>
      <c r="L67">
        <v>0.47</v>
      </c>
      <c r="M67">
        <v>0.1045</v>
      </c>
      <c r="N67">
        <v>3</v>
      </c>
      <c r="O67">
        <v>49</v>
      </c>
      <c r="P67">
        <v>52</v>
      </c>
    </row>
    <row r="68" spans="1:16" x14ac:dyDescent="0.3">
      <c r="A68">
        <v>67</v>
      </c>
      <c r="B68" s="21">
        <v>40546</v>
      </c>
      <c r="C68">
        <v>1</v>
      </c>
      <c r="D68">
        <v>0</v>
      </c>
      <c r="E68">
        <v>1</v>
      </c>
      <c r="F68">
        <v>21</v>
      </c>
      <c r="G68" t="b">
        <v>0</v>
      </c>
      <c r="H68">
        <v>1</v>
      </c>
      <c r="I68">
        <v>1</v>
      </c>
      <c r="J68">
        <v>0.18</v>
      </c>
      <c r="K68">
        <v>0.19700000000000001</v>
      </c>
      <c r="L68">
        <v>0.64</v>
      </c>
      <c r="M68">
        <v>0.1343</v>
      </c>
      <c r="N68">
        <v>3</v>
      </c>
      <c r="O68">
        <v>49</v>
      </c>
      <c r="P68">
        <v>52</v>
      </c>
    </row>
    <row r="69" spans="1:16" x14ac:dyDescent="0.3">
      <c r="A69">
        <v>68</v>
      </c>
      <c r="B69" s="21">
        <v>40546</v>
      </c>
      <c r="C69">
        <v>1</v>
      </c>
      <c r="D69">
        <v>0</v>
      </c>
      <c r="E69">
        <v>1</v>
      </c>
      <c r="F69">
        <v>22</v>
      </c>
      <c r="G69" t="b">
        <v>0</v>
      </c>
      <c r="H69">
        <v>1</v>
      </c>
      <c r="I69">
        <v>1</v>
      </c>
      <c r="J69">
        <v>0.14000000000000001</v>
      </c>
      <c r="K69">
        <v>0.1515</v>
      </c>
      <c r="L69">
        <v>0.69</v>
      </c>
      <c r="M69">
        <v>0.1343</v>
      </c>
      <c r="N69">
        <v>0</v>
      </c>
      <c r="O69">
        <v>20</v>
      </c>
      <c r="P69">
        <v>20</v>
      </c>
    </row>
    <row r="70" spans="1:16" x14ac:dyDescent="0.3">
      <c r="A70">
        <v>69</v>
      </c>
      <c r="B70" s="21">
        <v>40546</v>
      </c>
      <c r="C70">
        <v>1</v>
      </c>
      <c r="D70">
        <v>0</v>
      </c>
      <c r="E70">
        <v>1</v>
      </c>
      <c r="F70">
        <v>23</v>
      </c>
      <c r="G70" t="b">
        <v>0</v>
      </c>
      <c r="H70">
        <v>1</v>
      </c>
      <c r="I70">
        <v>1</v>
      </c>
      <c r="J70">
        <v>0.18</v>
      </c>
      <c r="K70">
        <v>0.21210000000000001</v>
      </c>
      <c r="L70">
        <v>0.55000000000000004</v>
      </c>
      <c r="M70">
        <v>0.1045</v>
      </c>
      <c r="N70">
        <v>1</v>
      </c>
      <c r="O70">
        <v>11</v>
      </c>
      <c r="P70">
        <v>12</v>
      </c>
    </row>
    <row r="71" spans="1:16" x14ac:dyDescent="0.3">
      <c r="A71">
        <v>70</v>
      </c>
      <c r="B71" s="21">
        <v>40547</v>
      </c>
      <c r="C71">
        <v>1</v>
      </c>
      <c r="D71">
        <v>0</v>
      </c>
      <c r="E71">
        <v>1</v>
      </c>
      <c r="F71">
        <v>0</v>
      </c>
      <c r="G71" t="b">
        <v>0</v>
      </c>
      <c r="H71">
        <v>2</v>
      </c>
      <c r="I71">
        <v>1</v>
      </c>
      <c r="J71">
        <v>0.16</v>
      </c>
      <c r="L71">
        <v>0.55000000000000004</v>
      </c>
      <c r="M71">
        <v>0.1045</v>
      </c>
      <c r="N71">
        <v>0</v>
      </c>
      <c r="O71">
        <v>5</v>
      </c>
      <c r="P71">
        <v>5</v>
      </c>
    </row>
    <row r="72" spans="1:16" x14ac:dyDescent="0.3">
      <c r="A72">
        <v>71</v>
      </c>
      <c r="B72" s="21">
        <v>40547</v>
      </c>
      <c r="C72">
        <v>1</v>
      </c>
      <c r="D72">
        <v>0</v>
      </c>
      <c r="E72">
        <v>1</v>
      </c>
      <c r="F72">
        <v>1</v>
      </c>
      <c r="G72" t="b">
        <v>0</v>
      </c>
      <c r="H72">
        <v>2</v>
      </c>
      <c r="I72">
        <v>1</v>
      </c>
      <c r="J72">
        <v>0.16</v>
      </c>
      <c r="K72">
        <v>0.18179999999999999</v>
      </c>
      <c r="L72">
        <v>0.59</v>
      </c>
      <c r="M72">
        <v>0.1045</v>
      </c>
      <c r="N72">
        <v>0</v>
      </c>
      <c r="O72">
        <v>2</v>
      </c>
      <c r="P72">
        <v>2</v>
      </c>
    </row>
    <row r="73" spans="1:16" x14ac:dyDescent="0.3">
      <c r="A73">
        <v>72</v>
      </c>
      <c r="B73" s="21">
        <v>40547</v>
      </c>
      <c r="C73">
        <v>1</v>
      </c>
      <c r="D73">
        <v>0</v>
      </c>
      <c r="E73">
        <v>1</v>
      </c>
      <c r="F73">
        <v>2</v>
      </c>
      <c r="G73" t="b">
        <v>0</v>
      </c>
      <c r="H73">
        <v>2</v>
      </c>
      <c r="I73">
        <v>1</v>
      </c>
      <c r="J73">
        <v>0.14000000000000001</v>
      </c>
      <c r="K73">
        <v>0.1515</v>
      </c>
      <c r="L73">
        <v>0.63</v>
      </c>
      <c r="M73">
        <v>0.1343</v>
      </c>
      <c r="N73">
        <v>0</v>
      </c>
      <c r="O73">
        <v>1</v>
      </c>
      <c r="P73">
        <v>1</v>
      </c>
    </row>
    <row r="74" spans="1:16" x14ac:dyDescent="0.3">
      <c r="A74">
        <v>73</v>
      </c>
      <c r="B74" s="21">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
      <c r="A75">
        <v>74</v>
      </c>
      <c r="B75" s="21">
        <v>40547</v>
      </c>
      <c r="C75">
        <v>1</v>
      </c>
      <c r="D75">
        <v>0</v>
      </c>
      <c r="E75">
        <v>1</v>
      </c>
      <c r="F75">
        <v>5</v>
      </c>
      <c r="G75" t="b">
        <v>0</v>
      </c>
      <c r="H75">
        <v>2</v>
      </c>
      <c r="I75">
        <v>1</v>
      </c>
      <c r="J75">
        <v>0.12</v>
      </c>
      <c r="K75">
        <v>0.1515</v>
      </c>
      <c r="L75">
        <v>0.68</v>
      </c>
      <c r="M75">
        <v>0.1045</v>
      </c>
      <c r="N75">
        <v>0</v>
      </c>
      <c r="O75">
        <v>4</v>
      </c>
      <c r="P75">
        <v>4</v>
      </c>
    </row>
    <row r="76" spans="1:16" x14ac:dyDescent="0.3">
      <c r="A76">
        <v>75</v>
      </c>
      <c r="B76" s="21">
        <v>40547</v>
      </c>
      <c r="C76">
        <v>1</v>
      </c>
      <c r="D76">
        <v>0</v>
      </c>
      <c r="E76">
        <v>1</v>
      </c>
      <c r="F76">
        <v>6</v>
      </c>
      <c r="G76" t="b">
        <v>0</v>
      </c>
      <c r="H76">
        <v>2</v>
      </c>
      <c r="I76">
        <v>1</v>
      </c>
      <c r="J76">
        <v>0.12</v>
      </c>
      <c r="K76">
        <v>0.1515</v>
      </c>
      <c r="L76">
        <v>0.74</v>
      </c>
      <c r="M76">
        <v>0.1045</v>
      </c>
      <c r="N76">
        <v>0</v>
      </c>
      <c r="O76">
        <v>36</v>
      </c>
      <c r="P76">
        <v>36</v>
      </c>
    </row>
    <row r="77" spans="1:16" x14ac:dyDescent="0.3">
      <c r="A77">
        <v>76</v>
      </c>
      <c r="B77" s="21">
        <v>40547</v>
      </c>
      <c r="C77">
        <v>1</v>
      </c>
      <c r="D77">
        <v>0</v>
      </c>
      <c r="E77">
        <v>1</v>
      </c>
      <c r="F77">
        <v>7</v>
      </c>
      <c r="G77" t="b">
        <v>0</v>
      </c>
      <c r="H77">
        <v>2</v>
      </c>
      <c r="I77">
        <v>1</v>
      </c>
      <c r="J77">
        <v>0.12</v>
      </c>
      <c r="K77">
        <v>0.1515</v>
      </c>
      <c r="L77">
        <v>0.74</v>
      </c>
      <c r="M77">
        <v>0.1343</v>
      </c>
      <c r="N77">
        <v>2</v>
      </c>
      <c r="O77">
        <v>92</v>
      </c>
      <c r="P77">
        <v>94</v>
      </c>
    </row>
    <row r="78" spans="1:16" x14ac:dyDescent="0.3">
      <c r="A78">
        <v>77</v>
      </c>
      <c r="B78" s="21">
        <v>40547</v>
      </c>
      <c r="C78">
        <v>1</v>
      </c>
      <c r="D78">
        <v>0</v>
      </c>
      <c r="E78">
        <v>1</v>
      </c>
      <c r="F78">
        <v>8</v>
      </c>
      <c r="G78" t="b">
        <v>0</v>
      </c>
      <c r="H78">
        <v>2</v>
      </c>
      <c r="I78">
        <v>1</v>
      </c>
      <c r="J78">
        <v>0.14000000000000001</v>
      </c>
      <c r="K78">
        <v>0.1515</v>
      </c>
      <c r="L78">
        <v>0.69</v>
      </c>
      <c r="M78">
        <v>0.16420000000000001</v>
      </c>
      <c r="N78">
        <v>2</v>
      </c>
      <c r="O78">
        <v>177</v>
      </c>
      <c r="P78">
        <v>179</v>
      </c>
    </row>
    <row r="79" spans="1:16" x14ac:dyDescent="0.3">
      <c r="A79">
        <v>78</v>
      </c>
      <c r="B79" s="21">
        <v>40547</v>
      </c>
      <c r="C79">
        <v>1</v>
      </c>
      <c r="D79">
        <v>0</v>
      </c>
      <c r="E79">
        <v>1</v>
      </c>
      <c r="F79">
        <v>9</v>
      </c>
      <c r="G79" t="b">
        <v>0</v>
      </c>
      <c r="H79">
        <v>2</v>
      </c>
      <c r="I79">
        <v>1</v>
      </c>
      <c r="J79">
        <v>0.16</v>
      </c>
      <c r="K79">
        <v>0.1515</v>
      </c>
      <c r="L79">
        <v>0.64</v>
      </c>
      <c r="M79">
        <v>0.22389999999999999</v>
      </c>
      <c r="N79">
        <v>2</v>
      </c>
      <c r="O79">
        <v>98</v>
      </c>
      <c r="P79">
        <v>100</v>
      </c>
    </row>
    <row r="80" spans="1:16" x14ac:dyDescent="0.3">
      <c r="A80">
        <v>79</v>
      </c>
      <c r="B80" s="21">
        <v>40547</v>
      </c>
      <c r="C80">
        <v>1</v>
      </c>
      <c r="D80">
        <v>0</v>
      </c>
      <c r="E80">
        <v>1</v>
      </c>
      <c r="F80">
        <v>10</v>
      </c>
      <c r="G80" t="b">
        <v>0</v>
      </c>
      <c r="H80">
        <v>2</v>
      </c>
      <c r="I80">
        <v>2</v>
      </c>
      <c r="J80">
        <v>0.16</v>
      </c>
      <c r="K80">
        <v>0.13639999999999999</v>
      </c>
      <c r="L80">
        <v>0.69</v>
      </c>
      <c r="M80">
        <v>0.32840000000000003</v>
      </c>
      <c r="N80">
        <v>5</v>
      </c>
      <c r="O80">
        <v>37</v>
      </c>
      <c r="P80">
        <v>42</v>
      </c>
    </row>
    <row r="81" spans="1:16" x14ac:dyDescent="0.3">
      <c r="A81">
        <v>80</v>
      </c>
      <c r="B81" s="21">
        <v>40547</v>
      </c>
      <c r="C81">
        <v>1</v>
      </c>
      <c r="D81">
        <v>0</v>
      </c>
      <c r="E81">
        <v>1</v>
      </c>
      <c r="F81">
        <v>11</v>
      </c>
      <c r="G81" t="b">
        <v>0</v>
      </c>
      <c r="H81">
        <v>2</v>
      </c>
      <c r="I81">
        <v>1</v>
      </c>
      <c r="J81">
        <v>0.22</v>
      </c>
      <c r="K81">
        <v>0.21210000000000001</v>
      </c>
      <c r="L81">
        <v>0.51</v>
      </c>
      <c r="M81">
        <v>0.29849999999999999</v>
      </c>
      <c r="N81">
        <v>7</v>
      </c>
      <c r="O81">
        <v>50</v>
      </c>
      <c r="P81">
        <v>57</v>
      </c>
    </row>
    <row r="82" spans="1:16" x14ac:dyDescent="0.3">
      <c r="A82">
        <v>81</v>
      </c>
      <c r="B82" s="21">
        <v>40547</v>
      </c>
      <c r="C82">
        <v>1</v>
      </c>
      <c r="D82">
        <v>0</v>
      </c>
      <c r="E82">
        <v>1</v>
      </c>
      <c r="F82">
        <v>12</v>
      </c>
      <c r="G82" t="b">
        <v>0</v>
      </c>
      <c r="H82">
        <v>2</v>
      </c>
      <c r="I82">
        <v>1</v>
      </c>
      <c r="J82">
        <v>0.22</v>
      </c>
      <c r="K82">
        <v>0.2273</v>
      </c>
      <c r="L82">
        <v>0.51</v>
      </c>
      <c r="M82">
        <v>0.16420000000000001</v>
      </c>
      <c r="N82">
        <v>12</v>
      </c>
      <c r="O82">
        <v>66</v>
      </c>
      <c r="P82">
        <v>78</v>
      </c>
    </row>
    <row r="83" spans="1:16" x14ac:dyDescent="0.3">
      <c r="A83">
        <v>82</v>
      </c>
      <c r="B83" s="21">
        <v>40547</v>
      </c>
      <c r="C83">
        <v>1</v>
      </c>
      <c r="D83">
        <v>0</v>
      </c>
      <c r="E83">
        <v>1</v>
      </c>
      <c r="F83">
        <v>13</v>
      </c>
      <c r="G83" t="b">
        <v>0</v>
      </c>
      <c r="H83">
        <v>2</v>
      </c>
      <c r="I83">
        <v>1</v>
      </c>
      <c r="J83">
        <v>0.24</v>
      </c>
      <c r="K83">
        <v>0.2273</v>
      </c>
      <c r="L83">
        <v>0.56000000000000005</v>
      </c>
      <c r="M83">
        <v>0.19400000000000001</v>
      </c>
      <c r="N83">
        <v>18</v>
      </c>
      <c r="O83">
        <v>79</v>
      </c>
      <c r="P83">
        <v>97</v>
      </c>
    </row>
    <row r="84" spans="1:16" x14ac:dyDescent="0.3">
      <c r="A84">
        <v>83</v>
      </c>
      <c r="B84" s="21">
        <v>40547</v>
      </c>
      <c r="C84">
        <v>1</v>
      </c>
      <c r="D84">
        <v>0</v>
      </c>
      <c r="E84">
        <v>1</v>
      </c>
      <c r="F84">
        <v>14</v>
      </c>
      <c r="G84" t="b">
        <v>0</v>
      </c>
      <c r="H84">
        <v>2</v>
      </c>
      <c r="I84">
        <v>1</v>
      </c>
      <c r="J84">
        <v>0.26</v>
      </c>
      <c r="K84">
        <v>0.2576</v>
      </c>
      <c r="L84">
        <v>0.52</v>
      </c>
      <c r="M84">
        <v>0.22389999999999999</v>
      </c>
      <c r="N84">
        <v>9</v>
      </c>
      <c r="O84">
        <v>54</v>
      </c>
      <c r="P84">
        <v>63</v>
      </c>
    </row>
    <row r="85" spans="1:16" x14ac:dyDescent="0.3">
      <c r="A85">
        <v>84</v>
      </c>
      <c r="B85" s="21">
        <v>40547</v>
      </c>
      <c r="C85">
        <v>1</v>
      </c>
      <c r="D85">
        <v>0</v>
      </c>
      <c r="E85">
        <v>1</v>
      </c>
      <c r="F85">
        <v>15</v>
      </c>
      <c r="G85" t="b">
        <v>0</v>
      </c>
      <c r="H85">
        <v>2</v>
      </c>
      <c r="I85">
        <v>1</v>
      </c>
      <c r="J85">
        <v>0.28000000000000003</v>
      </c>
      <c r="K85">
        <v>0.2727</v>
      </c>
      <c r="L85">
        <v>0.52</v>
      </c>
      <c r="M85">
        <v>0.25369999999999998</v>
      </c>
      <c r="N85">
        <v>17</v>
      </c>
      <c r="O85">
        <v>48</v>
      </c>
      <c r="P85">
        <v>65</v>
      </c>
    </row>
    <row r="86" spans="1:16" x14ac:dyDescent="0.3">
      <c r="A86">
        <v>85</v>
      </c>
      <c r="B86" s="21">
        <v>40547</v>
      </c>
      <c r="C86">
        <v>1</v>
      </c>
      <c r="D86">
        <v>0</v>
      </c>
      <c r="E86">
        <v>1</v>
      </c>
      <c r="F86">
        <v>16</v>
      </c>
      <c r="G86" t="b">
        <v>0</v>
      </c>
      <c r="H86">
        <v>2</v>
      </c>
      <c r="I86">
        <v>1</v>
      </c>
      <c r="J86">
        <v>0.3</v>
      </c>
      <c r="K86">
        <v>0.28789999999999999</v>
      </c>
      <c r="L86">
        <v>0.49</v>
      </c>
      <c r="M86">
        <v>0.25369999999999998</v>
      </c>
      <c r="N86">
        <v>15</v>
      </c>
      <c r="O86">
        <v>68</v>
      </c>
      <c r="P86">
        <v>83</v>
      </c>
    </row>
    <row r="87" spans="1:16" x14ac:dyDescent="0.3">
      <c r="A87">
        <v>86</v>
      </c>
      <c r="B87" s="21">
        <v>40547</v>
      </c>
      <c r="C87">
        <v>1</v>
      </c>
      <c r="D87">
        <v>0</v>
      </c>
      <c r="E87">
        <v>1</v>
      </c>
      <c r="F87">
        <v>17</v>
      </c>
      <c r="G87" t="b">
        <v>0</v>
      </c>
      <c r="H87">
        <v>2</v>
      </c>
      <c r="I87">
        <v>1</v>
      </c>
      <c r="J87">
        <v>0.28000000000000003</v>
      </c>
      <c r="K87">
        <v>0.2727</v>
      </c>
      <c r="L87">
        <v>0.48</v>
      </c>
      <c r="M87">
        <v>0.22389999999999999</v>
      </c>
      <c r="N87">
        <v>10</v>
      </c>
      <c r="O87">
        <v>202</v>
      </c>
      <c r="P87">
        <v>212</v>
      </c>
    </row>
    <row r="88" spans="1:16" x14ac:dyDescent="0.3">
      <c r="A88">
        <v>87</v>
      </c>
      <c r="B88" s="21">
        <v>40547</v>
      </c>
      <c r="C88">
        <v>1</v>
      </c>
      <c r="D88">
        <v>0</v>
      </c>
      <c r="E88">
        <v>1</v>
      </c>
      <c r="F88">
        <v>18</v>
      </c>
      <c r="G88" t="b">
        <v>0</v>
      </c>
      <c r="H88">
        <v>2</v>
      </c>
      <c r="I88">
        <v>1</v>
      </c>
      <c r="J88">
        <v>0.26</v>
      </c>
      <c r="K88">
        <v>0.2576</v>
      </c>
      <c r="L88">
        <v>0.48</v>
      </c>
      <c r="M88">
        <v>0.19400000000000001</v>
      </c>
      <c r="N88">
        <v>3</v>
      </c>
      <c r="O88">
        <v>179</v>
      </c>
      <c r="P88">
        <v>182</v>
      </c>
    </row>
    <row r="89" spans="1:16" x14ac:dyDescent="0.3">
      <c r="A89">
        <v>88</v>
      </c>
      <c r="B89" s="21">
        <v>40547</v>
      </c>
      <c r="C89">
        <v>1</v>
      </c>
      <c r="D89">
        <v>0</v>
      </c>
      <c r="E89">
        <v>1</v>
      </c>
      <c r="F89">
        <v>19</v>
      </c>
      <c r="G89" t="b">
        <v>0</v>
      </c>
      <c r="H89">
        <v>2</v>
      </c>
      <c r="I89">
        <v>1</v>
      </c>
      <c r="J89">
        <v>0.24</v>
      </c>
      <c r="K89">
        <v>0.2576</v>
      </c>
      <c r="L89">
        <v>0.48</v>
      </c>
      <c r="M89">
        <v>0.1045</v>
      </c>
      <c r="N89">
        <v>2</v>
      </c>
      <c r="O89">
        <v>110</v>
      </c>
      <c r="P89">
        <v>112</v>
      </c>
    </row>
    <row r="90" spans="1:16" x14ac:dyDescent="0.3">
      <c r="A90">
        <v>89</v>
      </c>
      <c r="B90" s="21">
        <v>40547</v>
      </c>
      <c r="C90">
        <v>1</v>
      </c>
      <c r="D90">
        <v>0</v>
      </c>
      <c r="E90">
        <v>1</v>
      </c>
      <c r="F90">
        <v>20</v>
      </c>
      <c r="G90" t="b">
        <v>0</v>
      </c>
      <c r="H90">
        <v>2</v>
      </c>
      <c r="I90">
        <v>1</v>
      </c>
      <c r="J90">
        <v>0.24</v>
      </c>
      <c r="K90">
        <v>0.2576</v>
      </c>
      <c r="L90">
        <v>0.48</v>
      </c>
      <c r="M90">
        <v>0.1045</v>
      </c>
      <c r="N90">
        <v>1</v>
      </c>
      <c r="O90">
        <v>53</v>
      </c>
      <c r="P90">
        <v>54</v>
      </c>
    </row>
    <row r="91" spans="1:16" x14ac:dyDescent="0.3">
      <c r="A91">
        <v>90</v>
      </c>
      <c r="B91" s="21">
        <v>40547</v>
      </c>
      <c r="C91">
        <v>1</v>
      </c>
      <c r="D91">
        <v>0</v>
      </c>
      <c r="E91">
        <v>1</v>
      </c>
      <c r="F91">
        <v>21</v>
      </c>
      <c r="G91" t="b">
        <v>0</v>
      </c>
      <c r="H91">
        <v>2</v>
      </c>
      <c r="I91">
        <v>1</v>
      </c>
      <c r="J91">
        <v>0.22</v>
      </c>
      <c r="K91">
        <v>0.2727</v>
      </c>
      <c r="L91">
        <v>0.64</v>
      </c>
      <c r="M91">
        <v>0</v>
      </c>
      <c r="N91">
        <v>0</v>
      </c>
      <c r="O91">
        <v>48</v>
      </c>
      <c r="P91">
        <v>48</v>
      </c>
    </row>
    <row r="92" spans="1:16" x14ac:dyDescent="0.3">
      <c r="A92">
        <v>91</v>
      </c>
      <c r="B92" s="21">
        <v>40547</v>
      </c>
      <c r="C92">
        <v>1</v>
      </c>
      <c r="D92">
        <v>0</v>
      </c>
      <c r="E92">
        <v>1</v>
      </c>
      <c r="F92">
        <v>22</v>
      </c>
      <c r="G92" t="b">
        <v>0</v>
      </c>
      <c r="H92">
        <v>2</v>
      </c>
      <c r="I92">
        <v>1</v>
      </c>
      <c r="J92">
        <v>0.22</v>
      </c>
      <c r="K92">
        <v>0.2576</v>
      </c>
      <c r="L92">
        <v>0.64</v>
      </c>
      <c r="M92">
        <v>8.9599999999999999E-2</v>
      </c>
      <c r="N92">
        <v>1</v>
      </c>
      <c r="O92">
        <v>34</v>
      </c>
      <c r="P92">
        <v>35</v>
      </c>
    </row>
    <row r="93" spans="1:16" x14ac:dyDescent="0.3">
      <c r="A93">
        <v>92</v>
      </c>
      <c r="B93" s="21">
        <v>40547</v>
      </c>
      <c r="C93">
        <v>1</v>
      </c>
      <c r="D93">
        <v>0</v>
      </c>
      <c r="E93">
        <v>1</v>
      </c>
      <c r="F93">
        <v>23</v>
      </c>
      <c r="G93" t="b">
        <v>0</v>
      </c>
      <c r="H93">
        <v>2</v>
      </c>
      <c r="I93">
        <v>1</v>
      </c>
      <c r="J93">
        <v>0.2</v>
      </c>
      <c r="K93">
        <v>0.2273</v>
      </c>
      <c r="L93">
        <v>0.69</v>
      </c>
      <c r="M93">
        <v>8.9599999999999999E-2</v>
      </c>
      <c r="N93">
        <v>2</v>
      </c>
      <c r="O93">
        <v>9</v>
      </c>
      <c r="P93">
        <v>11</v>
      </c>
    </row>
    <row r="94" spans="1:16" x14ac:dyDescent="0.3">
      <c r="A94">
        <v>93</v>
      </c>
      <c r="B94" s="21">
        <v>40548</v>
      </c>
      <c r="C94">
        <v>1</v>
      </c>
      <c r="D94">
        <v>0</v>
      </c>
      <c r="E94">
        <v>1</v>
      </c>
      <c r="F94">
        <v>0</v>
      </c>
      <c r="G94" t="b">
        <v>0</v>
      </c>
      <c r="H94">
        <v>3</v>
      </c>
      <c r="I94">
        <v>1</v>
      </c>
      <c r="J94">
        <v>0.2</v>
      </c>
      <c r="K94">
        <v>0.2576</v>
      </c>
      <c r="L94">
        <v>0.64</v>
      </c>
      <c r="M94">
        <v>0</v>
      </c>
      <c r="N94">
        <v>0</v>
      </c>
      <c r="O94">
        <v>6</v>
      </c>
      <c r="P94">
        <v>6</v>
      </c>
    </row>
    <row r="95" spans="1:16" x14ac:dyDescent="0.3">
      <c r="A95">
        <v>94</v>
      </c>
      <c r="B95" s="21">
        <v>40548</v>
      </c>
      <c r="C95">
        <v>1</v>
      </c>
      <c r="D95">
        <v>0</v>
      </c>
      <c r="E95">
        <v>1</v>
      </c>
      <c r="F95">
        <v>1</v>
      </c>
      <c r="G95" t="b">
        <v>0</v>
      </c>
      <c r="H95">
        <v>3</v>
      </c>
      <c r="I95">
        <v>1</v>
      </c>
      <c r="J95">
        <v>0.16</v>
      </c>
      <c r="K95">
        <v>0.19700000000000001</v>
      </c>
      <c r="L95">
        <v>0.74</v>
      </c>
      <c r="M95">
        <v>8.9599999999999999E-2</v>
      </c>
      <c r="N95">
        <v>0</v>
      </c>
      <c r="O95">
        <v>6</v>
      </c>
      <c r="P95">
        <v>6</v>
      </c>
    </row>
    <row r="96" spans="1:16" x14ac:dyDescent="0.3">
      <c r="A96">
        <v>95</v>
      </c>
      <c r="B96" s="21">
        <v>40548</v>
      </c>
      <c r="C96">
        <v>1</v>
      </c>
      <c r="D96">
        <v>0</v>
      </c>
      <c r="E96">
        <v>1</v>
      </c>
      <c r="F96">
        <v>2</v>
      </c>
      <c r="G96" t="b">
        <v>0</v>
      </c>
      <c r="H96">
        <v>3</v>
      </c>
      <c r="I96">
        <v>1</v>
      </c>
      <c r="J96">
        <v>0.16</v>
      </c>
      <c r="K96">
        <v>0.19700000000000001</v>
      </c>
      <c r="L96">
        <v>0.74</v>
      </c>
      <c r="M96">
        <v>8.9599999999999999E-2</v>
      </c>
      <c r="N96">
        <v>0</v>
      </c>
      <c r="O96">
        <v>2</v>
      </c>
      <c r="P96">
        <v>2</v>
      </c>
    </row>
    <row r="97" spans="1:16" x14ac:dyDescent="0.3">
      <c r="A97">
        <v>96</v>
      </c>
      <c r="B97" s="21">
        <v>40548</v>
      </c>
      <c r="C97">
        <v>1</v>
      </c>
      <c r="D97">
        <v>0</v>
      </c>
      <c r="E97">
        <v>1</v>
      </c>
      <c r="F97">
        <v>4</v>
      </c>
      <c r="G97" t="b">
        <v>0</v>
      </c>
      <c r="H97">
        <v>3</v>
      </c>
      <c r="I97">
        <v>1</v>
      </c>
      <c r="J97">
        <v>0.24</v>
      </c>
      <c r="K97">
        <v>0.2273</v>
      </c>
      <c r="L97">
        <v>0.48</v>
      </c>
      <c r="M97">
        <v>0.22389999999999999</v>
      </c>
      <c r="N97">
        <v>0</v>
      </c>
      <c r="O97">
        <v>2</v>
      </c>
      <c r="P97">
        <v>2</v>
      </c>
    </row>
    <row r="98" spans="1:16" x14ac:dyDescent="0.3">
      <c r="A98">
        <v>97</v>
      </c>
      <c r="B98" s="21">
        <v>40548</v>
      </c>
      <c r="C98">
        <v>1</v>
      </c>
      <c r="D98">
        <v>0</v>
      </c>
      <c r="E98">
        <v>1</v>
      </c>
      <c r="F98">
        <v>5</v>
      </c>
      <c r="G98" t="b">
        <v>0</v>
      </c>
      <c r="H98">
        <v>3</v>
      </c>
      <c r="I98">
        <v>1</v>
      </c>
      <c r="J98">
        <v>0.22</v>
      </c>
      <c r="K98">
        <v>0.2273</v>
      </c>
      <c r="L98">
        <v>0.47</v>
      </c>
      <c r="M98">
        <v>0.16420000000000001</v>
      </c>
      <c r="N98">
        <v>0</v>
      </c>
      <c r="O98">
        <v>3</v>
      </c>
      <c r="P98">
        <v>3</v>
      </c>
    </row>
    <row r="99" spans="1:16" x14ac:dyDescent="0.3">
      <c r="A99">
        <v>98</v>
      </c>
      <c r="B99" s="21">
        <v>40548</v>
      </c>
      <c r="C99">
        <v>1</v>
      </c>
      <c r="D99">
        <v>0</v>
      </c>
      <c r="E99">
        <v>1</v>
      </c>
      <c r="F99">
        <v>6</v>
      </c>
      <c r="G99" t="b">
        <v>0</v>
      </c>
      <c r="H99">
        <v>3</v>
      </c>
      <c r="I99">
        <v>1</v>
      </c>
      <c r="J99">
        <v>0.2</v>
      </c>
      <c r="K99">
        <v>0.19700000000000001</v>
      </c>
      <c r="L99">
        <v>0.47</v>
      </c>
      <c r="M99">
        <v>0.22389999999999999</v>
      </c>
      <c r="N99">
        <v>0</v>
      </c>
      <c r="O99">
        <v>33</v>
      </c>
      <c r="P99">
        <v>33</v>
      </c>
    </row>
    <row r="100" spans="1:16" x14ac:dyDescent="0.3">
      <c r="A100">
        <v>99</v>
      </c>
      <c r="B100" s="21">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
      <c r="A101">
        <v>100</v>
      </c>
      <c r="B101" s="21">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
      <c r="A102">
        <v>101</v>
      </c>
      <c r="B102" s="21">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
      <c r="A103">
        <v>102</v>
      </c>
      <c r="B103" s="21">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
      <c r="A104">
        <v>103</v>
      </c>
      <c r="B104" s="21">
        <v>40548</v>
      </c>
      <c r="C104">
        <v>1</v>
      </c>
      <c r="D104">
        <v>0</v>
      </c>
      <c r="E104">
        <v>1</v>
      </c>
      <c r="F104">
        <v>11</v>
      </c>
      <c r="G104" t="b">
        <v>0</v>
      </c>
      <c r="H104">
        <v>3</v>
      </c>
      <c r="I104">
        <v>1</v>
      </c>
      <c r="J104">
        <v>0.26</v>
      </c>
      <c r="K104">
        <v>0.2273</v>
      </c>
      <c r="L104">
        <v>0.33</v>
      </c>
      <c r="M104">
        <v>0.32840000000000003</v>
      </c>
      <c r="N104">
        <v>12</v>
      </c>
      <c r="O104">
        <v>34</v>
      </c>
      <c r="P104">
        <v>46</v>
      </c>
    </row>
    <row r="105" spans="1:16" x14ac:dyDescent="0.3">
      <c r="A105">
        <v>104</v>
      </c>
      <c r="B105" s="21">
        <v>40548</v>
      </c>
      <c r="C105">
        <v>1</v>
      </c>
      <c r="D105">
        <v>0</v>
      </c>
      <c r="E105">
        <v>1</v>
      </c>
      <c r="F105">
        <v>12</v>
      </c>
      <c r="G105" t="b">
        <v>0</v>
      </c>
      <c r="H105">
        <v>3</v>
      </c>
      <c r="I105">
        <v>1</v>
      </c>
      <c r="J105">
        <v>0.26</v>
      </c>
      <c r="K105">
        <v>0.2273</v>
      </c>
      <c r="L105">
        <v>0.33</v>
      </c>
      <c r="M105">
        <v>0.32840000000000003</v>
      </c>
      <c r="N105">
        <v>5</v>
      </c>
      <c r="O105">
        <v>74</v>
      </c>
      <c r="P105">
        <v>79</v>
      </c>
    </row>
    <row r="106" spans="1:16" x14ac:dyDescent="0.3">
      <c r="A106">
        <v>105</v>
      </c>
      <c r="B106" s="21">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
      <c r="A107">
        <v>106</v>
      </c>
      <c r="B107" s="2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
      <c r="A108">
        <v>107</v>
      </c>
      <c r="B108" s="2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
      <c r="A109">
        <v>108</v>
      </c>
      <c r="B109" s="2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
      <c r="A110">
        <v>109</v>
      </c>
      <c r="B110" s="21">
        <v>40548</v>
      </c>
      <c r="C110">
        <v>1</v>
      </c>
      <c r="D110">
        <v>0</v>
      </c>
      <c r="E110">
        <v>1</v>
      </c>
      <c r="F110">
        <v>17</v>
      </c>
      <c r="G110" t="b">
        <v>0</v>
      </c>
      <c r="H110">
        <v>3</v>
      </c>
      <c r="I110">
        <v>1</v>
      </c>
      <c r="J110">
        <v>0.24</v>
      </c>
      <c r="K110">
        <v>0.2273</v>
      </c>
      <c r="L110">
        <v>0.38</v>
      </c>
      <c r="M110">
        <v>0.19400000000000001</v>
      </c>
      <c r="N110">
        <v>4</v>
      </c>
      <c r="O110">
        <v>186</v>
      </c>
      <c r="P110">
        <v>190</v>
      </c>
    </row>
    <row r="111" spans="1:16" x14ac:dyDescent="0.3">
      <c r="A111">
        <v>110</v>
      </c>
      <c r="B111" s="21">
        <v>40548</v>
      </c>
      <c r="C111">
        <v>1</v>
      </c>
      <c r="D111">
        <v>0</v>
      </c>
      <c r="E111">
        <v>1</v>
      </c>
      <c r="F111">
        <v>18</v>
      </c>
      <c r="G111" t="b">
        <v>0</v>
      </c>
      <c r="H111">
        <v>3</v>
      </c>
      <c r="I111">
        <v>1</v>
      </c>
      <c r="J111">
        <v>0.24</v>
      </c>
      <c r="K111">
        <v>0.2424</v>
      </c>
      <c r="L111">
        <v>0.38</v>
      </c>
      <c r="M111">
        <v>0.1343</v>
      </c>
      <c r="N111">
        <v>3</v>
      </c>
      <c r="O111">
        <v>166</v>
      </c>
      <c r="P111">
        <v>169</v>
      </c>
    </row>
    <row r="112" spans="1:16" x14ac:dyDescent="0.3">
      <c r="A112">
        <v>111</v>
      </c>
      <c r="B112" s="21">
        <v>40548</v>
      </c>
      <c r="C112">
        <v>1</v>
      </c>
      <c r="D112">
        <v>0</v>
      </c>
      <c r="E112">
        <v>1</v>
      </c>
      <c r="F112">
        <v>19</v>
      </c>
      <c r="G112" t="b">
        <v>0</v>
      </c>
      <c r="H112">
        <v>3</v>
      </c>
      <c r="I112">
        <v>1</v>
      </c>
      <c r="J112">
        <v>0.24</v>
      </c>
      <c r="K112">
        <v>0.2576</v>
      </c>
      <c r="L112">
        <v>0.38</v>
      </c>
      <c r="M112">
        <v>0.1045</v>
      </c>
      <c r="N112">
        <v>5</v>
      </c>
      <c r="O112">
        <v>127</v>
      </c>
      <c r="P112">
        <v>132</v>
      </c>
    </row>
    <row r="113" spans="1:16" x14ac:dyDescent="0.3">
      <c r="A113">
        <v>112</v>
      </c>
      <c r="B113" s="21">
        <v>40548</v>
      </c>
      <c r="C113">
        <v>1</v>
      </c>
      <c r="D113">
        <v>0</v>
      </c>
      <c r="E113">
        <v>1</v>
      </c>
      <c r="F113">
        <v>20</v>
      </c>
      <c r="G113" t="b">
        <v>0</v>
      </c>
      <c r="H113">
        <v>3</v>
      </c>
      <c r="I113">
        <v>1</v>
      </c>
      <c r="J113">
        <v>0.22</v>
      </c>
      <c r="K113">
        <v>0.2273</v>
      </c>
      <c r="L113">
        <v>0.47</v>
      </c>
      <c r="M113">
        <v>0.16420000000000001</v>
      </c>
      <c r="N113">
        <v>7</v>
      </c>
      <c r="O113">
        <v>82</v>
      </c>
      <c r="P113">
        <v>89</v>
      </c>
    </row>
    <row r="114" spans="1:16" x14ac:dyDescent="0.3">
      <c r="A114">
        <v>113</v>
      </c>
      <c r="B114" s="21">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
      <c r="A115">
        <v>114</v>
      </c>
      <c r="B115" s="21">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
      <c r="A116">
        <v>115</v>
      </c>
      <c r="B116" s="21">
        <v>40548</v>
      </c>
      <c r="C116">
        <v>1</v>
      </c>
      <c r="D116">
        <v>0</v>
      </c>
      <c r="E116">
        <v>1</v>
      </c>
      <c r="F116">
        <v>23</v>
      </c>
      <c r="G116" t="b">
        <v>0</v>
      </c>
      <c r="H116">
        <v>3</v>
      </c>
      <c r="I116">
        <v>1</v>
      </c>
      <c r="J116">
        <v>0.2</v>
      </c>
      <c r="K116">
        <v>0.2576</v>
      </c>
      <c r="L116">
        <v>0.47</v>
      </c>
      <c r="M116">
        <v>0</v>
      </c>
      <c r="N116">
        <v>1</v>
      </c>
      <c r="O116">
        <v>18</v>
      </c>
      <c r="P116">
        <v>19</v>
      </c>
    </row>
    <row r="117" spans="1:16" x14ac:dyDescent="0.3">
      <c r="A117">
        <v>116</v>
      </c>
      <c r="B117" s="21">
        <v>40549</v>
      </c>
      <c r="C117">
        <v>1</v>
      </c>
      <c r="D117">
        <v>0</v>
      </c>
      <c r="E117">
        <v>1</v>
      </c>
      <c r="F117">
        <v>0</v>
      </c>
      <c r="G117" t="b">
        <v>0</v>
      </c>
      <c r="H117">
        <v>4</v>
      </c>
      <c r="I117">
        <v>1</v>
      </c>
      <c r="J117">
        <v>0.18</v>
      </c>
      <c r="K117">
        <v>0.2424</v>
      </c>
      <c r="L117">
        <v>0.55000000000000004</v>
      </c>
      <c r="M117">
        <v>0</v>
      </c>
      <c r="N117">
        <v>0</v>
      </c>
      <c r="O117">
        <v>11</v>
      </c>
      <c r="P117">
        <v>11</v>
      </c>
    </row>
    <row r="118" spans="1:16" x14ac:dyDescent="0.3">
      <c r="A118">
        <v>117</v>
      </c>
      <c r="B118" s="21">
        <v>40549</v>
      </c>
      <c r="C118">
        <v>1</v>
      </c>
      <c r="D118">
        <v>0</v>
      </c>
      <c r="E118">
        <v>1</v>
      </c>
      <c r="F118">
        <v>1</v>
      </c>
      <c r="G118" t="b">
        <v>0</v>
      </c>
      <c r="H118">
        <v>4</v>
      </c>
      <c r="I118">
        <v>1</v>
      </c>
      <c r="J118">
        <v>0.16</v>
      </c>
      <c r="K118">
        <v>0.2273</v>
      </c>
      <c r="L118">
        <v>0.64</v>
      </c>
      <c r="M118">
        <v>0</v>
      </c>
      <c r="N118">
        <v>0</v>
      </c>
      <c r="O118">
        <v>4</v>
      </c>
      <c r="P118">
        <v>4</v>
      </c>
    </row>
    <row r="119" spans="1:16" x14ac:dyDescent="0.3">
      <c r="A119">
        <v>118</v>
      </c>
      <c r="B119" s="21">
        <v>40549</v>
      </c>
      <c r="C119">
        <v>1</v>
      </c>
      <c r="D119">
        <v>0</v>
      </c>
      <c r="E119">
        <v>1</v>
      </c>
      <c r="F119">
        <v>2</v>
      </c>
      <c r="G119" t="b">
        <v>0</v>
      </c>
      <c r="H119">
        <v>4</v>
      </c>
      <c r="I119">
        <v>1</v>
      </c>
      <c r="J119">
        <v>0.16</v>
      </c>
      <c r="K119">
        <v>0.2273</v>
      </c>
      <c r="L119">
        <v>0.64</v>
      </c>
      <c r="M119">
        <v>0</v>
      </c>
      <c r="N119">
        <v>0</v>
      </c>
      <c r="O119">
        <v>2</v>
      </c>
      <c r="P119">
        <v>2</v>
      </c>
    </row>
    <row r="120" spans="1:16" x14ac:dyDescent="0.3">
      <c r="A120">
        <v>119</v>
      </c>
      <c r="B120" s="21">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
      <c r="A121">
        <v>120</v>
      </c>
      <c r="B121" s="2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
      <c r="A122">
        <v>121</v>
      </c>
      <c r="B122" s="21">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
      <c r="A123">
        <v>122</v>
      </c>
      <c r="B123" s="21">
        <v>40549</v>
      </c>
      <c r="C123">
        <v>1</v>
      </c>
      <c r="D123">
        <v>0</v>
      </c>
      <c r="E123">
        <v>1</v>
      </c>
      <c r="F123">
        <v>7</v>
      </c>
      <c r="G123" t="b">
        <v>0</v>
      </c>
      <c r="H123">
        <v>4</v>
      </c>
      <c r="I123">
        <v>2</v>
      </c>
      <c r="J123">
        <v>0.16</v>
      </c>
      <c r="K123">
        <v>0.2273</v>
      </c>
      <c r="L123">
        <v>0.59</v>
      </c>
      <c r="M123">
        <v>0</v>
      </c>
      <c r="N123">
        <v>0</v>
      </c>
      <c r="O123">
        <v>95</v>
      </c>
      <c r="P123">
        <v>95</v>
      </c>
    </row>
    <row r="124" spans="1:16" x14ac:dyDescent="0.3">
      <c r="A124">
        <v>123</v>
      </c>
      <c r="B124" s="21">
        <v>40549</v>
      </c>
      <c r="C124">
        <v>1</v>
      </c>
      <c r="D124">
        <v>0</v>
      </c>
      <c r="E124">
        <v>1</v>
      </c>
      <c r="F124">
        <v>8</v>
      </c>
      <c r="G124" t="b">
        <v>0</v>
      </c>
      <c r="H124">
        <v>4</v>
      </c>
      <c r="I124">
        <v>1</v>
      </c>
      <c r="J124">
        <v>0.16</v>
      </c>
      <c r="K124">
        <v>0.2273</v>
      </c>
      <c r="L124">
        <v>0.59</v>
      </c>
      <c r="M124">
        <v>0</v>
      </c>
      <c r="N124">
        <v>3</v>
      </c>
      <c r="O124">
        <v>216</v>
      </c>
      <c r="P124">
        <v>219</v>
      </c>
    </row>
    <row r="125" spans="1:16" x14ac:dyDescent="0.3">
      <c r="A125">
        <v>124</v>
      </c>
      <c r="B125" s="21">
        <v>40549</v>
      </c>
      <c r="C125">
        <v>1</v>
      </c>
      <c r="D125">
        <v>0</v>
      </c>
      <c r="E125">
        <v>1</v>
      </c>
      <c r="F125">
        <v>9</v>
      </c>
      <c r="G125" t="b">
        <v>0</v>
      </c>
      <c r="H125">
        <v>4</v>
      </c>
      <c r="I125">
        <v>2</v>
      </c>
      <c r="J125">
        <v>0.18</v>
      </c>
      <c r="K125">
        <v>0.2424</v>
      </c>
      <c r="L125">
        <v>0.51</v>
      </c>
      <c r="M125">
        <v>0</v>
      </c>
      <c r="N125">
        <v>6</v>
      </c>
      <c r="O125">
        <v>116</v>
      </c>
      <c r="P125">
        <v>122</v>
      </c>
    </row>
    <row r="126" spans="1:16" x14ac:dyDescent="0.3">
      <c r="A126">
        <v>125</v>
      </c>
      <c r="B126" s="21">
        <v>40549</v>
      </c>
      <c r="C126">
        <v>1</v>
      </c>
      <c r="D126">
        <v>0</v>
      </c>
      <c r="E126">
        <v>1</v>
      </c>
      <c r="F126">
        <v>10</v>
      </c>
      <c r="G126" t="b">
        <v>0</v>
      </c>
      <c r="H126">
        <v>4</v>
      </c>
      <c r="I126">
        <v>1</v>
      </c>
      <c r="J126">
        <v>0.2</v>
      </c>
      <c r="K126">
        <v>0.2576</v>
      </c>
      <c r="L126">
        <v>0.47</v>
      </c>
      <c r="M126">
        <v>0</v>
      </c>
      <c r="N126">
        <v>3</v>
      </c>
      <c r="O126">
        <v>42</v>
      </c>
      <c r="P126">
        <v>45</v>
      </c>
    </row>
    <row r="127" spans="1:16" x14ac:dyDescent="0.3">
      <c r="A127">
        <v>126</v>
      </c>
      <c r="B127" s="21">
        <v>40549</v>
      </c>
      <c r="C127">
        <v>1</v>
      </c>
      <c r="D127">
        <v>0</v>
      </c>
      <c r="E127">
        <v>1</v>
      </c>
      <c r="F127">
        <v>11</v>
      </c>
      <c r="G127" t="b">
        <v>0</v>
      </c>
      <c r="H127">
        <v>4</v>
      </c>
      <c r="I127">
        <v>1</v>
      </c>
      <c r="J127">
        <v>0.22</v>
      </c>
      <c r="K127">
        <v>0.2576</v>
      </c>
      <c r="L127">
        <v>0.44</v>
      </c>
      <c r="M127">
        <v>8.9599999999999999E-2</v>
      </c>
      <c r="N127">
        <v>2</v>
      </c>
      <c r="O127">
        <v>57</v>
      </c>
      <c r="P127">
        <v>59</v>
      </c>
    </row>
    <row r="128" spans="1:16" x14ac:dyDescent="0.3">
      <c r="A128">
        <v>127</v>
      </c>
      <c r="B128" s="21">
        <v>40549</v>
      </c>
      <c r="C128">
        <v>1</v>
      </c>
      <c r="D128">
        <v>0</v>
      </c>
      <c r="E128">
        <v>1</v>
      </c>
      <c r="F128">
        <v>12</v>
      </c>
      <c r="G128" t="b">
        <v>0</v>
      </c>
      <c r="H128">
        <v>4</v>
      </c>
      <c r="I128">
        <v>1</v>
      </c>
      <c r="J128">
        <v>0.26</v>
      </c>
      <c r="K128">
        <v>0.28789999999999999</v>
      </c>
      <c r="L128">
        <v>0.35</v>
      </c>
      <c r="M128">
        <v>0</v>
      </c>
      <c r="N128">
        <v>6</v>
      </c>
      <c r="O128">
        <v>78</v>
      </c>
      <c r="P128">
        <v>84</v>
      </c>
    </row>
    <row r="129" spans="1:16" x14ac:dyDescent="0.3">
      <c r="A129">
        <v>128</v>
      </c>
      <c r="B129" s="21">
        <v>40549</v>
      </c>
      <c r="C129">
        <v>1</v>
      </c>
      <c r="D129">
        <v>0</v>
      </c>
      <c r="E129">
        <v>1</v>
      </c>
      <c r="F129">
        <v>13</v>
      </c>
      <c r="G129" t="b">
        <v>0</v>
      </c>
      <c r="H129">
        <v>4</v>
      </c>
      <c r="I129">
        <v>1</v>
      </c>
      <c r="J129">
        <v>0.26</v>
      </c>
      <c r="K129">
        <v>0.2727</v>
      </c>
      <c r="L129">
        <v>0.35</v>
      </c>
      <c r="M129">
        <v>0.1045</v>
      </c>
      <c r="N129">
        <v>12</v>
      </c>
      <c r="O129">
        <v>55</v>
      </c>
      <c r="P129">
        <v>67</v>
      </c>
    </row>
    <row r="130" spans="1:16" x14ac:dyDescent="0.3">
      <c r="A130">
        <v>129</v>
      </c>
      <c r="B130" s="21">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
      <c r="A131">
        <v>130</v>
      </c>
      <c r="B131" s="21">
        <v>40549</v>
      </c>
      <c r="C131">
        <v>1</v>
      </c>
      <c r="D131">
        <v>0</v>
      </c>
      <c r="E131">
        <v>1</v>
      </c>
      <c r="F131">
        <v>15</v>
      </c>
      <c r="G131" t="b">
        <v>0</v>
      </c>
      <c r="H131">
        <v>4</v>
      </c>
      <c r="I131">
        <v>1</v>
      </c>
      <c r="J131">
        <v>0.28000000000000003</v>
      </c>
      <c r="K131">
        <v>0.2727</v>
      </c>
      <c r="L131">
        <v>0.36</v>
      </c>
      <c r="M131">
        <v>0</v>
      </c>
      <c r="N131">
        <v>8</v>
      </c>
      <c r="O131">
        <v>54</v>
      </c>
      <c r="P131">
        <v>62</v>
      </c>
    </row>
    <row r="132" spans="1:16" x14ac:dyDescent="0.3">
      <c r="A132">
        <v>131</v>
      </c>
      <c r="B132" s="21">
        <v>40549</v>
      </c>
      <c r="C132">
        <v>1</v>
      </c>
      <c r="D132">
        <v>0</v>
      </c>
      <c r="E132">
        <v>1</v>
      </c>
      <c r="F132">
        <v>16</v>
      </c>
      <c r="G132" t="b">
        <v>0</v>
      </c>
      <c r="H132">
        <v>4</v>
      </c>
      <c r="I132">
        <v>1</v>
      </c>
      <c r="J132">
        <v>0.26</v>
      </c>
      <c r="K132">
        <v>0.2576</v>
      </c>
      <c r="L132">
        <v>0.38</v>
      </c>
      <c r="M132">
        <v>0.16420000000000001</v>
      </c>
      <c r="N132">
        <v>12</v>
      </c>
      <c r="O132">
        <v>74</v>
      </c>
      <c r="P132">
        <v>86</v>
      </c>
    </row>
    <row r="133" spans="1:16" x14ac:dyDescent="0.3">
      <c r="A133">
        <v>132</v>
      </c>
      <c r="B133" s="21">
        <v>40549</v>
      </c>
      <c r="C133">
        <v>1</v>
      </c>
      <c r="D133">
        <v>0</v>
      </c>
      <c r="E133">
        <v>1</v>
      </c>
      <c r="F133">
        <v>17</v>
      </c>
      <c r="G133" t="b">
        <v>0</v>
      </c>
      <c r="H133">
        <v>4</v>
      </c>
      <c r="I133">
        <v>1</v>
      </c>
      <c r="J133">
        <v>0.22</v>
      </c>
      <c r="K133">
        <v>0.2273</v>
      </c>
      <c r="L133">
        <v>0.51</v>
      </c>
      <c r="M133">
        <v>0.16420000000000001</v>
      </c>
      <c r="N133">
        <v>9</v>
      </c>
      <c r="O133">
        <v>163</v>
      </c>
      <c r="P133">
        <v>172</v>
      </c>
    </row>
    <row r="134" spans="1:16" x14ac:dyDescent="0.3">
      <c r="A134">
        <v>133</v>
      </c>
      <c r="B134" s="21">
        <v>40549</v>
      </c>
      <c r="C134">
        <v>1</v>
      </c>
      <c r="D134">
        <v>0</v>
      </c>
      <c r="E134">
        <v>1</v>
      </c>
      <c r="F134">
        <v>18</v>
      </c>
      <c r="G134" t="b">
        <v>0</v>
      </c>
      <c r="H134">
        <v>4</v>
      </c>
      <c r="I134">
        <v>1</v>
      </c>
      <c r="J134">
        <v>0.22</v>
      </c>
      <c r="K134">
        <v>0.2273</v>
      </c>
      <c r="L134">
        <v>0.51</v>
      </c>
      <c r="M134">
        <v>0.1343</v>
      </c>
      <c r="N134">
        <v>5</v>
      </c>
      <c r="O134">
        <v>158</v>
      </c>
      <c r="P134">
        <v>163</v>
      </c>
    </row>
    <row r="135" spans="1:16" x14ac:dyDescent="0.3">
      <c r="A135">
        <v>134</v>
      </c>
      <c r="B135" s="21">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
      <c r="A136">
        <v>135</v>
      </c>
      <c r="B136" s="21">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
      <c r="A137">
        <v>136</v>
      </c>
      <c r="B137" s="2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
      <c r="A138">
        <v>137</v>
      </c>
      <c r="B138" s="21">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
      <c r="A139">
        <v>138</v>
      </c>
      <c r="B139" s="21">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
      <c r="A140">
        <v>139</v>
      </c>
      <c r="B140" s="21">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
      <c r="A141">
        <v>140</v>
      </c>
      <c r="B141" s="21">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
      <c r="A142">
        <v>141</v>
      </c>
      <c r="B142" s="21">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
      <c r="A143">
        <v>142</v>
      </c>
      <c r="B143" s="21">
        <v>40550</v>
      </c>
      <c r="C143">
        <v>1</v>
      </c>
      <c r="D143">
        <v>0</v>
      </c>
      <c r="E143">
        <v>1</v>
      </c>
      <c r="F143">
        <v>4</v>
      </c>
      <c r="G143" t="b">
        <v>0</v>
      </c>
      <c r="H143">
        <v>5</v>
      </c>
      <c r="I143">
        <v>2</v>
      </c>
      <c r="J143">
        <v>0.2</v>
      </c>
      <c r="K143">
        <v>0.21210000000000001</v>
      </c>
      <c r="L143">
        <v>0.69</v>
      </c>
      <c r="M143">
        <v>0.1343</v>
      </c>
      <c r="N143">
        <v>0</v>
      </c>
      <c r="O143">
        <v>1</v>
      </c>
      <c r="P143">
        <v>1</v>
      </c>
    </row>
    <row r="144" spans="1:16" x14ac:dyDescent="0.3">
      <c r="A144">
        <v>143</v>
      </c>
      <c r="B144" s="21">
        <v>40550</v>
      </c>
      <c r="C144">
        <v>1</v>
      </c>
      <c r="D144">
        <v>0</v>
      </c>
      <c r="E144">
        <v>1</v>
      </c>
      <c r="F144">
        <v>5</v>
      </c>
      <c r="G144" t="b">
        <v>0</v>
      </c>
      <c r="H144">
        <v>5</v>
      </c>
      <c r="I144">
        <v>3</v>
      </c>
      <c r="J144">
        <v>0.22</v>
      </c>
      <c r="K144">
        <v>0.2727</v>
      </c>
      <c r="L144">
        <v>0.55000000000000004</v>
      </c>
      <c r="M144">
        <v>0</v>
      </c>
      <c r="N144">
        <v>0</v>
      </c>
      <c r="O144">
        <v>5</v>
      </c>
      <c r="P144">
        <v>5</v>
      </c>
    </row>
    <row r="145" spans="1:16" x14ac:dyDescent="0.3">
      <c r="A145">
        <v>144</v>
      </c>
      <c r="B145" s="21">
        <v>40550</v>
      </c>
      <c r="C145">
        <v>1</v>
      </c>
      <c r="D145">
        <v>0</v>
      </c>
      <c r="E145">
        <v>1</v>
      </c>
      <c r="F145">
        <v>6</v>
      </c>
      <c r="G145" t="b">
        <v>0</v>
      </c>
      <c r="H145">
        <v>5</v>
      </c>
      <c r="I145">
        <v>2</v>
      </c>
      <c r="J145">
        <v>0.2</v>
      </c>
      <c r="K145">
        <v>0.2576</v>
      </c>
      <c r="L145">
        <v>0.69</v>
      </c>
      <c r="M145">
        <v>0</v>
      </c>
      <c r="N145">
        <v>8</v>
      </c>
      <c r="O145">
        <v>26</v>
      </c>
      <c r="P145">
        <v>34</v>
      </c>
    </row>
    <row r="146" spans="1:16" x14ac:dyDescent="0.3">
      <c r="A146">
        <v>145</v>
      </c>
      <c r="B146" s="21">
        <v>40550</v>
      </c>
      <c r="C146">
        <v>1</v>
      </c>
      <c r="D146">
        <v>0</v>
      </c>
      <c r="E146">
        <v>1</v>
      </c>
      <c r="F146">
        <v>7</v>
      </c>
      <c r="G146" t="b">
        <v>0</v>
      </c>
      <c r="H146">
        <v>5</v>
      </c>
      <c r="I146">
        <v>1</v>
      </c>
      <c r="J146">
        <v>0.2</v>
      </c>
      <c r="K146">
        <v>0.21210000000000001</v>
      </c>
      <c r="L146">
        <v>0.69</v>
      </c>
      <c r="M146">
        <v>0.1343</v>
      </c>
      <c r="N146">
        <v>8</v>
      </c>
      <c r="O146">
        <v>76</v>
      </c>
      <c r="P146">
        <v>84</v>
      </c>
    </row>
    <row r="147" spans="1:16" x14ac:dyDescent="0.3">
      <c r="A147">
        <v>146</v>
      </c>
      <c r="B147" s="21">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
      <c r="A148">
        <v>147</v>
      </c>
      <c r="B148" s="21">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
      <c r="A149">
        <v>148</v>
      </c>
      <c r="B149" s="21">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
      <c r="A150">
        <v>149</v>
      </c>
      <c r="B150" s="21">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
      <c r="A151">
        <v>150</v>
      </c>
      <c r="B151" s="21">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
      <c r="A152">
        <v>151</v>
      </c>
      <c r="B152" s="21">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
      <c r="A153">
        <v>152</v>
      </c>
      <c r="B153" s="21">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
      <c r="A154">
        <v>153</v>
      </c>
      <c r="B154" s="21">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
      <c r="A155">
        <v>154</v>
      </c>
      <c r="B155" s="21">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
      <c r="A156">
        <v>155</v>
      </c>
      <c r="B156" s="21">
        <v>40550</v>
      </c>
      <c r="C156">
        <v>1</v>
      </c>
      <c r="D156">
        <v>0</v>
      </c>
      <c r="E156">
        <v>1</v>
      </c>
      <c r="F156">
        <v>17</v>
      </c>
      <c r="G156" t="b">
        <v>0</v>
      </c>
      <c r="H156">
        <v>5</v>
      </c>
      <c r="I156">
        <v>2</v>
      </c>
      <c r="J156">
        <v>0.2</v>
      </c>
      <c r="K156">
        <v>0.2576</v>
      </c>
      <c r="L156">
        <v>0.37</v>
      </c>
      <c r="M156">
        <v>0</v>
      </c>
      <c r="N156">
        <v>9</v>
      </c>
      <c r="O156">
        <v>178</v>
      </c>
      <c r="P156">
        <v>187</v>
      </c>
    </row>
    <row r="157" spans="1:16" x14ac:dyDescent="0.3">
      <c r="A157">
        <v>156</v>
      </c>
      <c r="B157" s="21">
        <v>40550</v>
      </c>
      <c r="C157">
        <v>1</v>
      </c>
      <c r="D157">
        <v>0</v>
      </c>
      <c r="E157">
        <v>1</v>
      </c>
      <c r="F157">
        <v>18</v>
      </c>
      <c r="G157" t="b">
        <v>0</v>
      </c>
      <c r="H157">
        <v>5</v>
      </c>
      <c r="I157">
        <v>1</v>
      </c>
      <c r="J157">
        <v>0.2</v>
      </c>
      <c r="K157">
        <v>0.2273</v>
      </c>
      <c r="L157">
        <v>0.4</v>
      </c>
      <c r="M157">
        <v>8.9599999999999999E-2</v>
      </c>
      <c r="N157">
        <v>7</v>
      </c>
      <c r="O157">
        <v>116</v>
      </c>
      <c r="P157">
        <v>123</v>
      </c>
    </row>
    <row r="158" spans="1:16" x14ac:dyDescent="0.3">
      <c r="A158">
        <v>157</v>
      </c>
      <c r="B158" s="2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
      <c r="A159">
        <v>158</v>
      </c>
      <c r="B159" s="21">
        <v>40550</v>
      </c>
      <c r="C159">
        <v>1</v>
      </c>
      <c r="D159">
        <v>0</v>
      </c>
      <c r="E159">
        <v>1</v>
      </c>
      <c r="F159">
        <v>20</v>
      </c>
      <c r="G159" t="b">
        <v>0</v>
      </c>
      <c r="H159">
        <v>5</v>
      </c>
      <c r="I159">
        <v>1</v>
      </c>
      <c r="J159">
        <v>0.18</v>
      </c>
      <c r="K159">
        <v>0.21210000000000001</v>
      </c>
      <c r="L159">
        <v>0.47</v>
      </c>
      <c r="M159">
        <v>0.1045</v>
      </c>
      <c r="N159">
        <v>1</v>
      </c>
      <c r="O159">
        <v>50</v>
      </c>
      <c r="P159">
        <v>51</v>
      </c>
    </row>
    <row r="160" spans="1:16" x14ac:dyDescent="0.3">
      <c r="A160">
        <v>159</v>
      </c>
      <c r="B160" s="21">
        <v>40550</v>
      </c>
      <c r="C160">
        <v>1</v>
      </c>
      <c r="D160">
        <v>0</v>
      </c>
      <c r="E160">
        <v>1</v>
      </c>
      <c r="F160">
        <v>21</v>
      </c>
      <c r="G160" t="b">
        <v>0</v>
      </c>
      <c r="H160">
        <v>5</v>
      </c>
      <c r="I160">
        <v>1</v>
      </c>
      <c r="J160">
        <v>0.18</v>
      </c>
      <c r="K160">
        <v>0.19700000000000001</v>
      </c>
      <c r="L160">
        <v>0.47</v>
      </c>
      <c r="M160">
        <v>0.1343</v>
      </c>
      <c r="N160">
        <v>0</v>
      </c>
      <c r="O160">
        <v>39</v>
      </c>
      <c r="P160">
        <v>39</v>
      </c>
    </row>
    <row r="161" spans="1:16" x14ac:dyDescent="0.3">
      <c r="A161">
        <v>160</v>
      </c>
      <c r="B161" s="21">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
      <c r="A162">
        <v>161</v>
      </c>
      <c r="B162" s="21">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
      <c r="A163">
        <v>162</v>
      </c>
      <c r="B163" s="21">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
      <c r="A164">
        <v>163</v>
      </c>
      <c r="B164" s="2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
      <c r="A165">
        <v>164</v>
      </c>
      <c r="B165" s="21">
        <v>40551</v>
      </c>
      <c r="C165">
        <v>1</v>
      </c>
      <c r="D165">
        <v>0</v>
      </c>
      <c r="E165">
        <v>1</v>
      </c>
      <c r="F165">
        <v>2</v>
      </c>
      <c r="G165" t="b">
        <v>0</v>
      </c>
      <c r="H165">
        <v>6</v>
      </c>
      <c r="I165">
        <v>2</v>
      </c>
      <c r="J165">
        <v>0.18</v>
      </c>
      <c r="K165">
        <v>0.2424</v>
      </c>
      <c r="L165">
        <v>0.55000000000000004</v>
      </c>
      <c r="M165">
        <v>0</v>
      </c>
      <c r="N165">
        <v>3</v>
      </c>
      <c r="O165">
        <v>13</v>
      </c>
      <c r="P165">
        <v>16</v>
      </c>
    </row>
    <row r="166" spans="1:16" x14ac:dyDescent="0.3">
      <c r="A166">
        <v>165</v>
      </c>
      <c r="B166" s="2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
      <c r="A167">
        <v>166</v>
      </c>
      <c r="B167" s="2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
      <c r="A168">
        <v>167</v>
      </c>
      <c r="B168" s="21">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
      <c r="A169">
        <v>168</v>
      </c>
      <c r="B169" s="21">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
      <c r="A170">
        <v>169</v>
      </c>
      <c r="B170" s="21">
        <v>40551</v>
      </c>
      <c r="C170">
        <v>1</v>
      </c>
      <c r="D170">
        <v>0</v>
      </c>
      <c r="E170">
        <v>1</v>
      </c>
      <c r="F170">
        <v>7</v>
      </c>
      <c r="G170" t="b">
        <v>0</v>
      </c>
      <c r="H170">
        <v>6</v>
      </c>
      <c r="I170">
        <v>2</v>
      </c>
      <c r="J170">
        <v>0.16</v>
      </c>
      <c r="K170">
        <v>0.18179999999999999</v>
      </c>
      <c r="L170">
        <v>0.74</v>
      </c>
      <c r="M170">
        <v>0.1045</v>
      </c>
      <c r="N170">
        <v>1</v>
      </c>
      <c r="O170">
        <v>8</v>
      </c>
      <c r="P170">
        <v>9</v>
      </c>
    </row>
    <row r="171" spans="1:16" x14ac:dyDescent="0.3">
      <c r="A171">
        <v>170</v>
      </c>
      <c r="B171" s="21">
        <v>40551</v>
      </c>
      <c r="C171">
        <v>1</v>
      </c>
      <c r="D171">
        <v>0</v>
      </c>
      <c r="E171">
        <v>1</v>
      </c>
      <c r="F171">
        <v>8</v>
      </c>
      <c r="G171" t="b">
        <v>0</v>
      </c>
      <c r="H171">
        <v>6</v>
      </c>
      <c r="I171">
        <v>3</v>
      </c>
      <c r="J171">
        <v>0.16</v>
      </c>
      <c r="K171">
        <v>0.18179999999999999</v>
      </c>
      <c r="L171">
        <v>0.93</v>
      </c>
      <c r="M171">
        <v>0.1045</v>
      </c>
      <c r="N171">
        <v>0</v>
      </c>
      <c r="O171">
        <v>15</v>
      </c>
      <c r="P171">
        <v>15</v>
      </c>
    </row>
    <row r="172" spans="1:16" x14ac:dyDescent="0.3">
      <c r="A172">
        <v>171</v>
      </c>
      <c r="B172" s="21">
        <v>40551</v>
      </c>
      <c r="C172">
        <v>1</v>
      </c>
      <c r="D172">
        <v>0</v>
      </c>
      <c r="E172">
        <v>1</v>
      </c>
      <c r="F172">
        <v>9</v>
      </c>
      <c r="G172" t="b">
        <v>0</v>
      </c>
      <c r="H172">
        <v>6</v>
      </c>
      <c r="I172">
        <v>3</v>
      </c>
      <c r="J172">
        <v>0.16</v>
      </c>
      <c r="K172">
        <v>0.18179999999999999</v>
      </c>
      <c r="L172">
        <v>0.93</v>
      </c>
      <c r="M172">
        <v>0.1045</v>
      </c>
      <c r="N172">
        <v>0</v>
      </c>
      <c r="O172">
        <v>20</v>
      </c>
      <c r="P172">
        <v>20</v>
      </c>
    </row>
    <row r="173" spans="1:16" x14ac:dyDescent="0.3">
      <c r="A173">
        <v>172</v>
      </c>
      <c r="B173" s="21">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
      <c r="A174">
        <v>173</v>
      </c>
      <c r="B174" s="21">
        <v>40551</v>
      </c>
      <c r="C174">
        <v>1</v>
      </c>
      <c r="D174">
        <v>0</v>
      </c>
      <c r="E174">
        <v>1</v>
      </c>
      <c r="F174">
        <v>11</v>
      </c>
      <c r="G174" t="b">
        <v>0</v>
      </c>
      <c r="H174">
        <v>6</v>
      </c>
      <c r="I174">
        <v>2</v>
      </c>
      <c r="J174">
        <v>0.2</v>
      </c>
      <c r="K174">
        <v>0.18179999999999999</v>
      </c>
      <c r="L174">
        <v>0.69</v>
      </c>
      <c r="M174">
        <v>0.3881</v>
      </c>
      <c r="N174">
        <v>2</v>
      </c>
      <c r="O174">
        <v>60</v>
      </c>
      <c r="P174">
        <v>62</v>
      </c>
    </row>
    <row r="175" spans="1:16" x14ac:dyDescent="0.3">
      <c r="A175">
        <v>174</v>
      </c>
      <c r="B175" s="21">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
      <c r="A176">
        <v>175</v>
      </c>
      <c r="B176" s="21">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
      <c r="A177">
        <v>176</v>
      </c>
      <c r="B177" s="21">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
      <c r="A178">
        <v>177</v>
      </c>
      <c r="B178" s="21">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
      <c r="A179">
        <v>178</v>
      </c>
      <c r="B179" s="2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
      <c r="A180">
        <v>179</v>
      </c>
      <c r="B180" s="21">
        <v>40551</v>
      </c>
      <c r="C180">
        <v>1</v>
      </c>
      <c r="D180">
        <v>0</v>
      </c>
      <c r="E180">
        <v>1</v>
      </c>
      <c r="F180">
        <v>17</v>
      </c>
      <c r="G180" t="b">
        <v>0</v>
      </c>
      <c r="H180">
        <v>6</v>
      </c>
      <c r="I180">
        <v>1</v>
      </c>
      <c r="J180">
        <v>0.16</v>
      </c>
      <c r="K180">
        <v>0.1212</v>
      </c>
      <c r="L180">
        <v>0.37</v>
      </c>
      <c r="M180">
        <v>0.55220000000000002</v>
      </c>
      <c r="N180">
        <v>5</v>
      </c>
      <c r="O180">
        <v>64</v>
      </c>
      <c r="P180">
        <v>69</v>
      </c>
    </row>
    <row r="181" spans="1:16" x14ac:dyDescent="0.3">
      <c r="A181">
        <v>180</v>
      </c>
      <c r="B181" s="21">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
      <c r="A182">
        <v>181</v>
      </c>
      <c r="B182" s="21">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
      <c r="A183">
        <v>182</v>
      </c>
      <c r="B183" s="21">
        <v>40551</v>
      </c>
      <c r="C183">
        <v>1</v>
      </c>
      <c r="D183">
        <v>0</v>
      </c>
      <c r="E183">
        <v>1</v>
      </c>
      <c r="F183">
        <v>20</v>
      </c>
      <c r="G183" t="b">
        <v>0</v>
      </c>
      <c r="H183">
        <v>6</v>
      </c>
      <c r="I183">
        <v>1</v>
      </c>
      <c r="J183">
        <v>0.12</v>
      </c>
      <c r="K183">
        <v>0.1212</v>
      </c>
      <c r="L183">
        <v>0.36</v>
      </c>
      <c r="M183">
        <v>0.25369999999999998</v>
      </c>
      <c r="N183">
        <v>0</v>
      </c>
      <c r="O183">
        <v>28</v>
      </c>
      <c r="P183">
        <v>28</v>
      </c>
    </row>
    <row r="184" spans="1:16" x14ac:dyDescent="0.3">
      <c r="A184">
        <v>183</v>
      </c>
      <c r="B184" s="21">
        <v>40551</v>
      </c>
      <c r="C184">
        <v>1</v>
      </c>
      <c r="D184">
        <v>0</v>
      </c>
      <c r="E184">
        <v>1</v>
      </c>
      <c r="F184">
        <v>21</v>
      </c>
      <c r="G184" t="b">
        <v>0</v>
      </c>
      <c r="H184">
        <v>6</v>
      </c>
      <c r="I184">
        <v>1</v>
      </c>
      <c r="J184">
        <v>0.12</v>
      </c>
      <c r="K184">
        <v>0.1061</v>
      </c>
      <c r="L184">
        <v>0.39</v>
      </c>
      <c r="M184">
        <v>0.35820000000000002</v>
      </c>
      <c r="N184">
        <v>2</v>
      </c>
      <c r="O184">
        <v>35</v>
      </c>
      <c r="P184">
        <v>37</v>
      </c>
    </row>
    <row r="185" spans="1:16" x14ac:dyDescent="0.3">
      <c r="A185">
        <v>184</v>
      </c>
      <c r="B185" s="21">
        <v>40551</v>
      </c>
      <c r="C185">
        <v>1</v>
      </c>
      <c r="D185">
        <v>0</v>
      </c>
      <c r="E185">
        <v>1</v>
      </c>
      <c r="F185">
        <v>22</v>
      </c>
      <c r="G185" t="b">
        <v>0</v>
      </c>
      <c r="H185">
        <v>6</v>
      </c>
      <c r="I185">
        <v>1</v>
      </c>
      <c r="J185">
        <v>0.12</v>
      </c>
      <c r="K185">
        <v>0.1061</v>
      </c>
      <c r="L185">
        <v>0.36</v>
      </c>
      <c r="M185">
        <v>0.3881</v>
      </c>
      <c r="N185">
        <v>1</v>
      </c>
      <c r="O185">
        <v>33</v>
      </c>
      <c r="P185">
        <v>34</v>
      </c>
    </row>
    <row r="186" spans="1:16" x14ac:dyDescent="0.3">
      <c r="A186">
        <v>185</v>
      </c>
      <c r="B186" s="21">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
      <c r="A187">
        <v>186</v>
      </c>
      <c r="B187" s="21">
        <v>40552</v>
      </c>
      <c r="C187">
        <v>1</v>
      </c>
      <c r="D187">
        <v>0</v>
      </c>
      <c r="E187">
        <v>1</v>
      </c>
      <c r="F187">
        <v>0</v>
      </c>
      <c r="G187" t="b">
        <v>0</v>
      </c>
      <c r="H187">
        <v>0</v>
      </c>
      <c r="I187">
        <v>1</v>
      </c>
      <c r="J187">
        <v>0.1</v>
      </c>
      <c r="K187">
        <v>7.5800000000000006E-2</v>
      </c>
      <c r="L187">
        <v>0.42</v>
      </c>
      <c r="M187">
        <v>0.3881</v>
      </c>
      <c r="N187">
        <v>1</v>
      </c>
      <c r="O187">
        <v>24</v>
      </c>
      <c r="P187">
        <v>25</v>
      </c>
    </row>
    <row r="188" spans="1:16" x14ac:dyDescent="0.3">
      <c r="A188">
        <v>187</v>
      </c>
      <c r="B188" s="21">
        <v>40552</v>
      </c>
      <c r="C188">
        <v>1</v>
      </c>
      <c r="D188">
        <v>0</v>
      </c>
      <c r="E188">
        <v>1</v>
      </c>
      <c r="F188">
        <v>1</v>
      </c>
      <c r="G188" t="b">
        <v>0</v>
      </c>
      <c r="H188">
        <v>0</v>
      </c>
      <c r="I188">
        <v>1</v>
      </c>
      <c r="J188">
        <v>0.1</v>
      </c>
      <c r="K188">
        <v>6.0600000000000001E-2</v>
      </c>
      <c r="L188">
        <v>0.42</v>
      </c>
      <c r="M188">
        <v>0.4627</v>
      </c>
      <c r="N188">
        <v>0</v>
      </c>
      <c r="O188">
        <v>12</v>
      </c>
      <c r="P188">
        <v>12</v>
      </c>
    </row>
    <row r="189" spans="1:16" x14ac:dyDescent="0.3">
      <c r="A189">
        <v>188</v>
      </c>
      <c r="B189" s="21">
        <v>40552</v>
      </c>
      <c r="C189">
        <v>1</v>
      </c>
      <c r="D189">
        <v>0</v>
      </c>
      <c r="E189">
        <v>1</v>
      </c>
      <c r="F189">
        <v>2</v>
      </c>
      <c r="G189" t="b">
        <v>0</v>
      </c>
      <c r="H189">
        <v>0</v>
      </c>
      <c r="I189">
        <v>1</v>
      </c>
      <c r="J189">
        <v>0.1</v>
      </c>
      <c r="K189">
        <v>6.0600000000000001E-2</v>
      </c>
      <c r="L189">
        <v>0.46</v>
      </c>
      <c r="M189">
        <v>0.4627</v>
      </c>
      <c r="N189">
        <v>0</v>
      </c>
      <c r="O189">
        <v>11</v>
      </c>
      <c r="P189">
        <v>11</v>
      </c>
    </row>
    <row r="190" spans="1:16" x14ac:dyDescent="0.3">
      <c r="A190">
        <v>189</v>
      </c>
      <c r="B190" s="21">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
      <c r="A191">
        <v>190</v>
      </c>
      <c r="B191" s="21">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
      <c r="A192">
        <v>191</v>
      </c>
      <c r="B192" s="21">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
      <c r="A193">
        <v>192</v>
      </c>
      <c r="B193" s="21">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
      <c r="A194">
        <v>193</v>
      </c>
      <c r="B194" s="21">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
      <c r="A195">
        <v>194</v>
      </c>
      <c r="B195" s="21">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
      <c r="A196">
        <v>195</v>
      </c>
      <c r="B196" s="21">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
      <c r="A197">
        <v>196</v>
      </c>
      <c r="B197" s="21">
        <v>40552</v>
      </c>
      <c r="C197">
        <v>1</v>
      </c>
      <c r="D197">
        <v>0</v>
      </c>
      <c r="E197">
        <v>1</v>
      </c>
      <c r="F197">
        <v>10</v>
      </c>
      <c r="G197" t="b">
        <v>0</v>
      </c>
      <c r="H197">
        <v>0</v>
      </c>
      <c r="I197">
        <v>1</v>
      </c>
      <c r="J197">
        <v>0.14000000000000001</v>
      </c>
      <c r="K197">
        <v>0.1061</v>
      </c>
      <c r="L197">
        <v>0.43</v>
      </c>
      <c r="M197">
        <v>0.3881</v>
      </c>
      <c r="N197">
        <v>0</v>
      </c>
      <c r="O197">
        <v>49</v>
      </c>
      <c r="P197">
        <v>49</v>
      </c>
    </row>
    <row r="198" spans="1:16" x14ac:dyDescent="0.3">
      <c r="A198">
        <v>197</v>
      </c>
      <c r="B198" s="21">
        <v>40552</v>
      </c>
      <c r="C198">
        <v>1</v>
      </c>
      <c r="D198">
        <v>0</v>
      </c>
      <c r="E198">
        <v>1</v>
      </c>
      <c r="F198">
        <v>11</v>
      </c>
      <c r="G198" t="b">
        <v>0</v>
      </c>
      <c r="H198">
        <v>0</v>
      </c>
      <c r="I198">
        <v>1</v>
      </c>
      <c r="J198">
        <v>0.16</v>
      </c>
      <c r="K198">
        <v>0.1212</v>
      </c>
      <c r="L198">
        <v>0.4</v>
      </c>
      <c r="M198">
        <v>0.52239999999999998</v>
      </c>
      <c r="N198">
        <v>2</v>
      </c>
      <c r="O198">
        <v>47</v>
      </c>
      <c r="P198">
        <v>49</v>
      </c>
    </row>
    <row r="199" spans="1:16" x14ac:dyDescent="0.3">
      <c r="A199">
        <v>198</v>
      </c>
      <c r="B199" s="21">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
      <c r="A200">
        <v>199</v>
      </c>
      <c r="B200" s="21">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
      <c r="A201">
        <v>200</v>
      </c>
      <c r="B201" s="21">
        <v>40552</v>
      </c>
      <c r="C201">
        <v>1</v>
      </c>
      <c r="D201">
        <v>0</v>
      </c>
      <c r="E201">
        <v>1</v>
      </c>
      <c r="F201">
        <v>14</v>
      </c>
      <c r="G201" t="b">
        <v>0</v>
      </c>
      <c r="H201">
        <v>0</v>
      </c>
      <c r="I201">
        <v>1</v>
      </c>
      <c r="J201">
        <v>0.22</v>
      </c>
      <c r="K201">
        <v>0.18179999999999999</v>
      </c>
      <c r="L201">
        <v>0.32</v>
      </c>
      <c r="M201">
        <v>0.4627</v>
      </c>
      <c r="N201">
        <v>8</v>
      </c>
      <c r="O201">
        <v>64</v>
      </c>
      <c r="P201">
        <v>72</v>
      </c>
    </row>
    <row r="202" spans="1:16" x14ac:dyDescent="0.3">
      <c r="A202">
        <v>201</v>
      </c>
      <c r="B202" s="21">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
      <c r="A203">
        <v>202</v>
      </c>
      <c r="B203" s="21">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
      <c r="A204">
        <v>203</v>
      </c>
      <c r="B204" s="21">
        <v>40552</v>
      </c>
      <c r="C204">
        <v>1</v>
      </c>
      <c r="D204">
        <v>0</v>
      </c>
      <c r="E204">
        <v>1</v>
      </c>
      <c r="F204">
        <v>17</v>
      </c>
      <c r="G204" t="b">
        <v>0</v>
      </c>
      <c r="H204">
        <v>0</v>
      </c>
      <c r="I204">
        <v>1</v>
      </c>
      <c r="J204">
        <v>0.18</v>
      </c>
      <c r="K204">
        <v>0.1515</v>
      </c>
      <c r="L204">
        <v>0.37</v>
      </c>
      <c r="M204">
        <v>0.3881</v>
      </c>
      <c r="N204">
        <v>3</v>
      </c>
      <c r="O204">
        <v>59</v>
      </c>
      <c r="P204">
        <v>62</v>
      </c>
    </row>
    <row r="205" spans="1:16" x14ac:dyDescent="0.3">
      <c r="A205">
        <v>204</v>
      </c>
      <c r="B205" s="21">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
      <c r="A206">
        <v>205</v>
      </c>
      <c r="B206" s="21">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
      <c r="A207">
        <v>206</v>
      </c>
      <c r="B207" s="21">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
      <c r="A208">
        <v>207</v>
      </c>
      <c r="B208" s="21">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
      <c r="A209">
        <v>208</v>
      </c>
      <c r="B209" s="21">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
      <c r="A210">
        <v>209</v>
      </c>
      <c r="B210" s="21">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
      <c r="A211">
        <v>210</v>
      </c>
      <c r="B211" s="21">
        <v>40553</v>
      </c>
      <c r="C211">
        <v>1</v>
      </c>
      <c r="D211">
        <v>0</v>
      </c>
      <c r="E211">
        <v>1</v>
      </c>
      <c r="F211">
        <v>0</v>
      </c>
      <c r="G211" t="b">
        <v>0</v>
      </c>
      <c r="H211">
        <v>1</v>
      </c>
      <c r="I211">
        <v>1</v>
      </c>
      <c r="J211">
        <v>0.12</v>
      </c>
      <c r="K211">
        <v>0.1212</v>
      </c>
      <c r="L211">
        <v>0.5</v>
      </c>
      <c r="M211">
        <v>0.28360000000000002</v>
      </c>
      <c r="N211">
        <v>2</v>
      </c>
      <c r="O211">
        <v>3</v>
      </c>
      <c r="P211">
        <v>5</v>
      </c>
    </row>
    <row r="212" spans="1:16" x14ac:dyDescent="0.3">
      <c r="A212">
        <v>211</v>
      </c>
      <c r="B212" s="21">
        <v>40553</v>
      </c>
      <c r="C212">
        <v>1</v>
      </c>
      <c r="D212">
        <v>0</v>
      </c>
      <c r="E212">
        <v>1</v>
      </c>
      <c r="F212">
        <v>1</v>
      </c>
      <c r="G212" t="b">
        <v>0</v>
      </c>
      <c r="H212">
        <v>1</v>
      </c>
      <c r="I212">
        <v>1</v>
      </c>
      <c r="J212">
        <v>0.12</v>
      </c>
      <c r="K212">
        <v>0.1212</v>
      </c>
      <c r="L212">
        <v>0.5</v>
      </c>
      <c r="M212">
        <v>0.28360000000000002</v>
      </c>
      <c r="N212">
        <v>1</v>
      </c>
      <c r="O212">
        <v>0</v>
      </c>
      <c r="P212">
        <v>1</v>
      </c>
    </row>
    <row r="213" spans="1:16" x14ac:dyDescent="0.3">
      <c r="A213">
        <v>212</v>
      </c>
      <c r="B213" s="21">
        <v>40553</v>
      </c>
      <c r="C213">
        <v>1</v>
      </c>
      <c r="D213">
        <v>0</v>
      </c>
      <c r="E213">
        <v>1</v>
      </c>
      <c r="F213">
        <v>2</v>
      </c>
      <c r="G213" t="b">
        <v>0</v>
      </c>
      <c r="H213">
        <v>1</v>
      </c>
      <c r="I213">
        <v>1</v>
      </c>
      <c r="J213">
        <v>0.12</v>
      </c>
      <c r="K213">
        <v>0.1212</v>
      </c>
      <c r="L213">
        <v>0.5</v>
      </c>
      <c r="M213">
        <v>0.22389999999999999</v>
      </c>
      <c r="N213">
        <v>0</v>
      </c>
      <c r="O213">
        <v>3</v>
      </c>
      <c r="P213">
        <v>3</v>
      </c>
    </row>
    <row r="214" spans="1:16" x14ac:dyDescent="0.3">
      <c r="A214">
        <v>213</v>
      </c>
      <c r="B214" s="21">
        <v>40553</v>
      </c>
      <c r="C214">
        <v>1</v>
      </c>
      <c r="D214">
        <v>0</v>
      </c>
      <c r="E214">
        <v>1</v>
      </c>
      <c r="F214">
        <v>3</v>
      </c>
      <c r="G214" t="b">
        <v>0</v>
      </c>
      <c r="H214">
        <v>1</v>
      </c>
      <c r="I214">
        <v>1</v>
      </c>
      <c r="J214">
        <v>0.12</v>
      </c>
      <c r="K214">
        <v>0.1212</v>
      </c>
      <c r="L214">
        <v>0.5</v>
      </c>
      <c r="M214">
        <v>0.22389999999999999</v>
      </c>
      <c r="N214">
        <v>0</v>
      </c>
      <c r="O214">
        <v>1</v>
      </c>
      <c r="P214">
        <v>1</v>
      </c>
    </row>
    <row r="215" spans="1:16" x14ac:dyDescent="0.3">
      <c r="A215">
        <v>214</v>
      </c>
      <c r="B215" s="21">
        <v>40553</v>
      </c>
      <c r="C215">
        <v>1</v>
      </c>
      <c r="D215">
        <v>0</v>
      </c>
      <c r="E215">
        <v>1</v>
      </c>
      <c r="F215">
        <v>4</v>
      </c>
      <c r="G215" t="b">
        <v>0</v>
      </c>
      <c r="H215">
        <v>1</v>
      </c>
      <c r="I215">
        <v>1</v>
      </c>
      <c r="J215">
        <v>0.1</v>
      </c>
      <c r="K215">
        <v>0.1212</v>
      </c>
      <c r="L215">
        <v>0.54</v>
      </c>
      <c r="M215">
        <v>0.1343</v>
      </c>
      <c r="N215">
        <v>1</v>
      </c>
      <c r="O215">
        <v>2</v>
      </c>
      <c r="P215">
        <v>3</v>
      </c>
    </row>
    <row r="216" spans="1:16" x14ac:dyDescent="0.3">
      <c r="A216">
        <v>215</v>
      </c>
      <c r="B216" s="21">
        <v>40553</v>
      </c>
      <c r="C216">
        <v>1</v>
      </c>
      <c r="D216">
        <v>0</v>
      </c>
      <c r="E216">
        <v>1</v>
      </c>
      <c r="F216">
        <v>5</v>
      </c>
      <c r="G216" t="b">
        <v>0</v>
      </c>
      <c r="H216">
        <v>1</v>
      </c>
      <c r="I216">
        <v>1</v>
      </c>
      <c r="J216">
        <v>0.1</v>
      </c>
      <c r="K216">
        <v>0.1061</v>
      </c>
      <c r="L216">
        <v>0.54</v>
      </c>
      <c r="M216">
        <v>0.25369999999999998</v>
      </c>
      <c r="N216">
        <v>0</v>
      </c>
      <c r="O216">
        <v>3</v>
      </c>
      <c r="P216">
        <v>3</v>
      </c>
    </row>
    <row r="217" spans="1:16" x14ac:dyDescent="0.3">
      <c r="A217">
        <v>216</v>
      </c>
      <c r="B217" s="21">
        <v>40553</v>
      </c>
      <c r="C217">
        <v>1</v>
      </c>
      <c r="D217">
        <v>0</v>
      </c>
      <c r="E217">
        <v>1</v>
      </c>
      <c r="F217">
        <v>6</v>
      </c>
      <c r="G217" t="b">
        <v>0</v>
      </c>
      <c r="H217">
        <v>1</v>
      </c>
      <c r="I217">
        <v>1</v>
      </c>
      <c r="J217">
        <v>0.12</v>
      </c>
      <c r="K217">
        <v>0.1212</v>
      </c>
      <c r="L217">
        <v>0.5</v>
      </c>
      <c r="M217">
        <v>0.28360000000000002</v>
      </c>
      <c r="N217">
        <v>0</v>
      </c>
      <c r="O217">
        <v>31</v>
      </c>
      <c r="P217">
        <v>31</v>
      </c>
    </row>
    <row r="218" spans="1:16" x14ac:dyDescent="0.3">
      <c r="A218">
        <v>217</v>
      </c>
      <c r="B218" s="21">
        <v>40553</v>
      </c>
      <c r="C218">
        <v>1</v>
      </c>
      <c r="D218">
        <v>0</v>
      </c>
      <c r="E218">
        <v>1</v>
      </c>
      <c r="F218">
        <v>7</v>
      </c>
      <c r="G218" t="b">
        <v>0</v>
      </c>
      <c r="H218">
        <v>1</v>
      </c>
      <c r="I218">
        <v>1</v>
      </c>
      <c r="J218">
        <v>0.12</v>
      </c>
      <c r="K218">
        <v>0.1212</v>
      </c>
      <c r="L218">
        <v>0.5</v>
      </c>
      <c r="M218">
        <v>0.22389999999999999</v>
      </c>
      <c r="N218">
        <v>2</v>
      </c>
      <c r="O218">
        <v>75</v>
      </c>
      <c r="P218">
        <v>77</v>
      </c>
    </row>
    <row r="219" spans="1:16" x14ac:dyDescent="0.3">
      <c r="A219">
        <v>218</v>
      </c>
      <c r="B219" s="21">
        <v>40553</v>
      </c>
      <c r="C219">
        <v>1</v>
      </c>
      <c r="D219">
        <v>0</v>
      </c>
      <c r="E219">
        <v>1</v>
      </c>
      <c r="F219">
        <v>8</v>
      </c>
      <c r="G219" t="b">
        <v>0</v>
      </c>
      <c r="H219">
        <v>1</v>
      </c>
      <c r="I219">
        <v>2</v>
      </c>
      <c r="J219">
        <v>0.12</v>
      </c>
      <c r="K219">
        <v>0.1212</v>
      </c>
      <c r="L219">
        <v>0.5</v>
      </c>
      <c r="M219">
        <v>0.28360000000000002</v>
      </c>
      <c r="N219">
        <v>4</v>
      </c>
      <c r="O219">
        <v>184</v>
      </c>
      <c r="P219">
        <v>188</v>
      </c>
    </row>
    <row r="220" spans="1:16" x14ac:dyDescent="0.3">
      <c r="A220">
        <v>219</v>
      </c>
      <c r="B220" s="21">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
      <c r="A221">
        <v>220</v>
      </c>
      <c r="B221" s="21">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
      <c r="A222">
        <v>221</v>
      </c>
      <c r="B222" s="21">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
      <c r="A223">
        <v>222</v>
      </c>
      <c r="B223" s="21">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
      <c r="A224">
        <v>223</v>
      </c>
      <c r="B224" s="21">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
      <c r="A225">
        <v>224</v>
      </c>
      <c r="B225" s="21">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
      <c r="A226">
        <v>225</v>
      </c>
      <c r="B226" s="21">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
      <c r="A227">
        <v>226</v>
      </c>
      <c r="B227" s="21">
        <v>40553</v>
      </c>
      <c r="C227">
        <v>1</v>
      </c>
      <c r="D227">
        <v>0</v>
      </c>
      <c r="E227">
        <v>1</v>
      </c>
      <c r="F227">
        <v>16</v>
      </c>
      <c r="G227" t="b">
        <v>0</v>
      </c>
      <c r="H227">
        <v>1</v>
      </c>
      <c r="I227">
        <v>1</v>
      </c>
      <c r="J227">
        <v>0.2</v>
      </c>
      <c r="K227">
        <v>0.21210000000000001</v>
      </c>
      <c r="L227">
        <v>0.4</v>
      </c>
      <c r="M227">
        <v>0.1343</v>
      </c>
      <c r="N227">
        <v>4</v>
      </c>
      <c r="O227">
        <v>70</v>
      </c>
      <c r="P227">
        <v>74</v>
      </c>
    </row>
    <row r="228" spans="1:16" x14ac:dyDescent="0.3">
      <c r="A228">
        <v>227</v>
      </c>
      <c r="B228" s="21">
        <v>40553</v>
      </c>
      <c r="C228">
        <v>1</v>
      </c>
      <c r="D228">
        <v>0</v>
      </c>
      <c r="E228">
        <v>1</v>
      </c>
      <c r="F228">
        <v>17</v>
      </c>
      <c r="G228" t="b">
        <v>0</v>
      </c>
      <c r="H228">
        <v>1</v>
      </c>
      <c r="I228">
        <v>1</v>
      </c>
      <c r="J228">
        <v>0.2</v>
      </c>
      <c r="K228">
        <v>0.2273</v>
      </c>
      <c r="L228">
        <v>0.4</v>
      </c>
      <c r="M228">
        <v>0.1045</v>
      </c>
      <c r="N228">
        <v>4</v>
      </c>
      <c r="O228">
        <v>174</v>
      </c>
      <c r="P228">
        <v>178</v>
      </c>
    </row>
    <row r="229" spans="1:16" x14ac:dyDescent="0.3">
      <c r="A229">
        <v>228</v>
      </c>
      <c r="B229" s="21">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
      <c r="A230">
        <v>229</v>
      </c>
      <c r="B230" s="21">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
      <c r="A231">
        <v>230</v>
      </c>
      <c r="B231" s="21">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
      <c r="A232">
        <v>231</v>
      </c>
      <c r="B232" s="2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
      <c r="A233">
        <v>232</v>
      </c>
      <c r="B233" s="21">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
      <c r="A234">
        <v>233</v>
      </c>
      <c r="B234" s="21">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
      <c r="A235">
        <v>234</v>
      </c>
      <c r="B235" s="21">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
      <c r="A236">
        <v>235</v>
      </c>
      <c r="B236" s="21">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
      <c r="A237">
        <v>236</v>
      </c>
      <c r="B237" s="21">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
      <c r="A238">
        <v>237</v>
      </c>
      <c r="B238" s="21">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
      <c r="A239">
        <v>238</v>
      </c>
      <c r="B239" s="21">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
      <c r="A240">
        <v>239</v>
      </c>
      <c r="B240" s="21">
        <v>40554</v>
      </c>
      <c r="C240">
        <v>1</v>
      </c>
      <c r="D240">
        <v>0</v>
      </c>
      <c r="E240">
        <v>1</v>
      </c>
      <c r="F240">
        <v>7</v>
      </c>
      <c r="G240" t="b">
        <v>0</v>
      </c>
      <c r="H240">
        <v>2</v>
      </c>
      <c r="I240">
        <v>2</v>
      </c>
      <c r="J240">
        <v>0.16</v>
      </c>
      <c r="K240">
        <v>0.2273</v>
      </c>
      <c r="L240">
        <v>0.55000000000000004</v>
      </c>
      <c r="M240">
        <v>0</v>
      </c>
      <c r="N240">
        <v>2</v>
      </c>
      <c r="O240">
        <v>97</v>
      </c>
      <c r="P240">
        <v>99</v>
      </c>
    </row>
    <row r="241" spans="1:16" x14ac:dyDescent="0.3">
      <c r="A241">
        <v>240</v>
      </c>
      <c r="B241" s="21">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
      <c r="A242">
        <v>241</v>
      </c>
      <c r="B242" s="21">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
      <c r="A243">
        <v>242</v>
      </c>
      <c r="B243" s="21">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
      <c r="A244">
        <v>243</v>
      </c>
      <c r="B244" s="21">
        <v>40554</v>
      </c>
      <c r="C244">
        <v>1</v>
      </c>
      <c r="D244">
        <v>0</v>
      </c>
      <c r="E244">
        <v>1</v>
      </c>
      <c r="F244">
        <v>11</v>
      </c>
      <c r="G244" t="b">
        <v>0</v>
      </c>
      <c r="H244">
        <v>2</v>
      </c>
      <c r="I244">
        <v>2</v>
      </c>
      <c r="J244">
        <v>0.2</v>
      </c>
      <c r="K244">
        <v>0.21210000000000001</v>
      </c>
      <c r="L244">
        <v>0.47</v>
      </c>
      <c r="M244">
        <v>0.1343</v>
      </c>
      <c r="N244">
        <v>4</v>
      </c>
      <c r="O244">
        <v>31</v>
      </c>
      <c r="P244">
        <v>35</v>
      </c>
    </row>
    <row r="245" spans="1:16" x14ac:dyDescent="0.3">
      <c r="A245">
        <v>244</v>
      </c>
      <c r="B245" s="21">
        <v>40554</v>
      </c>
      <c r="C245">
        <v>1</v>
      </c>
      <c r="D245">
        <v>0</v>
      </c>
      <c r="E245">
        <v>1</v>
      </c>
      <c r="F245">
        <v>12</v>
      </c>
      <c r="G245" t="b">
        <v>0</v>
      </c>
      <c r="H245">
        <v>2</v>
      </c>
      <c r="I245">
        <v>2</v>
      </c>
      <c r="J245">
        <v>0.2</v>
      </c>
      <c r="K245">
        <v>0.2273</v>
      </c>
      <c r="L245">
        <v>0.51</v>
      </c>
      <c r="M245">
        <v>0.1045</v>
      </c>
      <c r="N245">
        <v>2</v>
      </c>
      <c r="O245">
        <v>55</v>
      </c>
      <c r="P245">
        <v>57</v>
      </c>
    </row>
    <row r="246" spans="1:16" x14ac:dyDescent="0.3">
      <c r="A246">
        <v>245</v>
      </c>
      <c r="B246" s="21">
        <v>40554</v>
      </c>
      <c r="C246">
        <v>1</v>
      </c>
      <c r="D246">
        <v>0</v>
      </c>
      <c r="E246">
        <v>1</v>
      </c>
      <c r="F246">
        <v>13</v>
      </c>
      <c r="G246" t="b">
        <v>0</v>
      </c>
      <c r="H246">
        <v>2</v>
      </c>
      <c r="I246">
        <v>2</v>
      </c>
      <c r="J246">
        <v>0.2</v>
      </c>
      <c r="K246">
        <v>0.2273</v>
      </c>
      <c r="L246">
        <v>0.59</v>
      </c>
      <c r="M246">
        <v>8.9599999999999999E-2</v>
      </c>
      <c r="N246">
        <v>6</v>
      </c>
      <c r="O246">
        <v>46</v>
      </c>
      <c r="P246">
        <v>52</v>
      </c>
    </row>
    <row r="247" spans="1:16" x14ac:dyDescent="0.3">
      <c r="A247">
        <v>246</v>
      </c>
      <c r="B247" s="21">
        <v>40554</v>
      </c>
      <c r="C247">
        <v>1</v>
      </c>
      <c r="D247">
        <v>0</v>
      </c>
      <c r="E247">
        <v>1</v>
      </c>
      <c r="F247">
        <v>14</v>
      </c>
      <c r="G247" t="b">
        <v>0</v>
      </c>
      <c r="H247">
        <v>2</v>
      </c>
      <c r="I247">
        <v>2</v>
      </c>
      <c r="J247">
        <v>0.2</v>
      </c>
      <c r="K247">
        <v>0.2273</v>
      </c>
      <c r="L247">
        <v>0.59</v>
      </c>
      <c r="M247">
        <v>8.9599999999999999E-2</v>
      </c>
      <c r="N247">
        <v>3</v>
      </c>
      <c r="O247">
        <v>60</v>
      </c>
      <c r="P247">
        <v>63</v>
      </c>
    </row>
    <row r="248" spans="1:16" x14ac:dyDescent="0.3">
      <c r="A248">
        <v>247</v>
      </c>
      <c r="B248" s="21">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
      <c r="A249">
        <v>248</v>
      </c>
      <c r="B249" s="21">
        <v>40554</v>
      </c>
      <c r="C249">
        <v>1</v>
      </c>
      <c r="D249">
        <v>0</v>
      </c>
      <c r="E249">
        <v>1</v>
      </c>
      <c r="F249">
        <v>16</v>
      </c>
      <c r="G249" t="b">
        <v>0</v>
      </c>
      <c r="H249">
        <v>2</v>
      </c>
      <c r="I249">
        <v>2</v>
      </c>
      <c r="J249">
        <v>0.16</v>
      </c>
      <c r="K249">
        <v>0.1515</v>
      </c>
      <c r="L249">
        <v>0.86</v>
      </c>
      <c r="M249">
        <v>0.22389999999999999</v>
      </c>
      <c r="N249">
        <v>4</v>
      </c>
      <c r="O249">
        <v>72</v>
      </c>
      <c r="P249">
        <v>76</v>
      </c>
    </row>
    <row r="250" spans="1:16" x14ac:dyDescent="0.3">
      <c r="A250">
        <v>249</v>
      </c>
      <c r="B250" s="21">
        <v>40554</v>
      </c>
      <c r="C250">
        <v>1</v>
      </c>
      <c r="D250">
        <v>0</v>
      </c>
      <c r="E250">
        <v>1</v>
      </c>
      <c r="F250">
        <v>17</v>
      </c>
      <c r="G250" t="b">
        <v>0</v>
      </c>
      <c r="H250">
        <v>2</v>
      </c>
      <c r="I250">
        <v>2</v>
      </c>
      <c r="J250">
        <v>0.16</v>
      </c>
      <c r="K250">
        <v>0.1515</v>
      </c>
      <c r="L250">
        <v>0.86</v>
      </c>
      <c r="M250">
        <v>0.22389999999999999</v>
      </c>
      <c r="N250">
        <v>6</v>
      </c>
      <c r="O250">
        <v>130</v>
      </c>
      <c r="P250">
        <v>136</v>
      </c>
    </row>
    <row r="251" spans="1:16" x14ac:dyDescent="0.3">
      <c r="A251">
        <v>250</v>
      </c>
      <c r="B251" s="21">
        <v>40554</v>
      </c>
      <c r="C251">
        <v>1</v>
      </c>
      <c r="D251">
        <v>0</v>
      </c>
      <c r="E251">
        <v>1</v>
      </c>
      <c r="F251">
        <v>18</v>
      </c>
      <c r="G251" t="b">
        <v>0</v>
      </c>
      <c r="H251">
        <v>2</v>
      </c>
      <c r="I251">
        <v>3</v>
      </c>
      <c r="J251">
        <v>0.16</v>
      </c>
      <c r="K251">
        <v>0.18179999999999999</v>
      </c>
      <c r="L251">
        <v>0.93</v>
      </c>
      <c r="M251">
        <v>0.1045</v>
      </c>
      <c r="N251">
        <v>1</v>
      </c>
      <c r="O251">
        <v>94</v>
      </c>
      <c r="P251">
        <v>95</v>
      </c>
    </row>
    <row r="252" spans="1:16" x14ac:dyDescent="0.3">
      <c r="A252">
        <v>251</v>
      </c>
      <c r="B252" s="21">
        <v>40554</v>
      </c>
      <c r="C252">
        <v>1</v>
      </c>
      <c r="D252">
        <v>0</v>
      </c>
      <c r="E252">
        <v>1</v>
      </c>
      <c r="F252">
        <v>19</v>
      </c>
      <c r="G252" t="b">
        <v>0</v>
      </c>
      <c r="H252">
        <v>2</v>
      </c>
      <c r="I252">
        <v>3</v>
      </c>
      <c r="J252">
        <v>0.16</v>
      </c>
      <c r="K252">
        <v>0.2273</v>
      </c>
      <c r="L252">
        <v>0.93</v>
      </c>
      <c r="M252">
        <v>0</v>
      </c>
      <c r="N252">
        <v>0</v>
      </c>
      <c r="O252">
        <v>51</v>
      </c>
      <c r="P252">
        <v>51</v>
      </c>
    </row>
    <row r="253" spans="1:16" x14ac:dyDescent="0.3">
      <c r="A253">
        <v>252</v>
      </c>
      <c r="B253" s="21">
        <v>40554</v>
      </c>
      <c r="C253">
        <v>1</v>
      </c>
      <c r="D253">
        <v>0</v>
      </c>
      <c r="E253">
        <v>1</v>
      </c>
      <c r="F253">
        <v>20</v>
      </c>
      <c r="G253" t="b">
        <v>0</v>
      </c>
      <c r="H253">
        <v>2</v>
      </c>
      <c r="I253">
        <v>3</v>
      </c>
      <c r="J253">
        <v>0.16</v>
      </c>
      <c r="K253">
        <v>0.1515</v>
      </c>
      <c r="L253">
        <v>0.93</v>
      </c>
      <c r="M253">
        <v>0.19400000000000001</v>
      </c>
      <c r="N253">
        <v>0</v>
      </c>
      <c r="O253">
        <v>32</v>
      </c>
      <c r="P253">
        <v>32</v>
      </c>
    </row>
    <row r="254" spans="1:16" x14ac:dyDescent="0.3">
      <c r="A254">
        <v>253</v>
      </c>
      <c r="B254" s="21">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
      <c r="A255">
        <v>254</v>
      </c>
      <c r="B255" s="21">
        <v>40554</v>
      </c>
      <c r="C255">
        <v>1</v>
      </c>
      <c r="D255">
        <v>0</v>
      </c>
      <c r="E255">
        <v>1</v>
      </c>
      <c r="F255">
        <v>22</v>
      </c>
      <c r="G255" t="b">
        <v>0</v>
      </c>
      <c r="H255">
        <v>2</v>
      </c>
      <c r="I255">
        <v>3</v>
      </c>
      <c r="J255">
        <v>0.16</v>
      </c>
      <c r="K255">
        <v>0.18179999999999999</v>
      </c>
      <c r="L255">
        <v>0.93</v>
      </c>
      <c r="M255">
        <v>0.1045</v>
      </c>
      <c r="N255">
        <v>1</v>
      </c>
      <c r="O255">
        <v>28</v>
      </c>
      <c r="P255">
        <v>29</v>
      </c>
    </row>
    <row r="256" spans="1:16" x14ac:dyDescent="0.3">
      <c r="A256">
        <v>255</v>
      </c>
      <c r="B256" s="21">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
      <c r="A257">
        <v>256</v>
      </c>
      <c r="B257" s="21">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
      <c r="A258">
        <v>257</v>
      </c>
      <c r="B258" s="21">
        <v>40555</v>
      </c>
      <c r="C258">
        <v>1</v>
      </c>
      <c r="D258">
        <v>0</v>
      </c>
      <c r="E258">
        <v>1</v>
      </c>
      <c r="F258">
        <v>1</v>
      </c>
      <c r="G258" t="b">
        <v>0</v>
      </c>
      <c r="H258">
        <v>3</v>
      </c>
      <c r="I258">
        <v>2</v>
      </c>
      <c r="J258">
        <v>0.16</v>
      </c>
      <c r="K258">
        <v>0.18179999999999999</v>
      </c>
      <c r="L258">
        <v>0.86</v>
      </c>
      <c r="M258">
        <v>0.1045</v>
      </c>
      <c r="N258">
        <v>0</v>
      </c>
      <c r="O258">
        <v>6</v>
      </c>
      <c r="P258">
        <v>6</v>
      </c>
    </row>
    <row r="259" spans="1:16" x14ac:dyDescent="0.3">
      <c r="A259">
        <v>258</v>
      </c>
      <c r="B259" s="21">
        <v>40555</v>
      </c>
      <c r="C259">
        <v>1</v>
      </c>
      <c r="D259">
        <v>0</v>
      </c>
      <c r="E259">
        <v>1</v>
      </c>
      <c r="F259">
        <v>2</v>
      </c>
      <c r="G259" t="b">
        <v>0</v>
      </c>
      <c r="H259">
        <v>3</v>
      </c>
      <c r="I259">
        <v>1</v>
      </c>
      <c r="J259">
        <v>0.14000000000000001</v>
      </c>
      <c r="K259">
        <v>0.1515</v>
      </c>
      <c r="L259">
        <v>0.86</v>
      </c>
      <c r="M259">
        <v>0.1343</v>
      </c>
      <c r="N259">
        <v>0</v>
      </c>
      <c r="O259">
        <v>1</v>
      </c>
      <c r="P259">
        <v>1</v>
      </c>
    </row>
    <row r="260" spans="1:16" x14ac:dyDescent="0.3">
      <c r="A260">
        <v>259</v>
      </c>
      <c r="B260" s="21">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
      <c r="A261">
        <v>260</v>
      </c>
      <c r="B261" s="21">
        <v>40555</v>
      </c>
      <c r="C261">
        <v>1</v>
      </c>
      <c r="D261">
        <v>0</v>
      </c>
      <c r="E261">
        <v>1</v>
      </c>
      <c r="F261">
        <v>6</v>
      </c>
      <c r="G261" t="b">
        <v>0</v>
      </c>
      <c r="H261">
        <v>3</v>
      </c>
      <c r="I261">
        <v>1</v>
      </c>
      <c r="J261">
        <v>0.12</v>
      </c>
      <c r="K261">
        <v>0.1515</v>
      </c>
      <c r="L261">
        <v>0.93</v>
      </c>
      <c r="M261">
        <v>0.1343</v>
      </c>
      <c r="N261">
        <v>0</v>
      </c>
      <c r="O261">
        <v>16</v>
      </c>
      <c r="P261">
        <v>16</v>
      </c>
    </row>
    <row r="262" spans="1:16" x14ac:dyDescent="0.3">
      <c r="A262">
        <v>261</v>
      </c>
      <c r="B262" s="21">
        <v>40555</v>
      </c>
      <c r="C262">
        <v>1</v>
      </c>
      <c r="D262">
        <v>0</v>
      </c>
      <c r="E262">
        <v>1</v>
      </c>
      <c r="F262">
        <v>7</v>
      </c>
      <c r="G262" t="b">
        <v>0</v>
      </c>
      <c r="H262">
        <v>3</v>
      </c>
      <c r="I262">
        <v>1</v>
      </c>
      <c r="J262">
        <v>0.14000000000000001</v>
      </c>
      <c r="K262">
        <v>0.1515</v>
      </c>
      <c r="L262">
        <v>0.69</v>
      </c>
      <c r="M262">
        <v>0.1343</v>
      </c>
      <c r="N262">
        <v>0</v>
      </c>
      <c r="O262">
        <v>54</v>
      </c>
      <c r="P262">
        <v>54</v>
      </c>
    </row>
    <row r="263" spans="1:16" x14ac:dyDescent="0.3">
      <c r="A263">
        <v>262</v>
      </c>
      <c r="B263" s="21">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
      <c r="A264">
        <v>263</v>
      </c>
      <c r="B264" s="21">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
      <c r="A265">
        <v>264</v>
      </c>
      <c r="B265" s="2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
      <c r="A266">
        <v>265</v>
      </c>
      <c r="B266" s="21">
        <v>40555</v>
      </c>
      <c r="C266">
        <v>1</v>
      </c>
      <c r="D266">
        <v>0</v>
      </c>
      <c r="E266">
        <v>1</v>
      </c>
      <c r="F266">
        <v>11</v>
      </c>
      <c r="G266" t="b">
        <v>0</v>
      </c>
      <c r="H266">
        <v>3</v>
      </c>
      <c r="I266">
        <v>1</v>
      </c>
      <c r="J266">
        <v>0.2</v>
      </c>
      <c r="K266">
        <v>0.18179999999999999</v>
      </c>
      <c r="L266">
        <v>0.51</v>
      </c>
      <c r="M266">
        <v>0.3881</v>
      </c>
      <c r="N266">
        <v>3</v>
      </c>
      <c r="O266">
        <v>32</v>
      </c>
      <c r="P266">
        <v>35</v>
      </c>
    </row>
    <row r="267" spans="1:16" x14ac:dyDescent="0.3">
      <c r="A267">
        <v>266</v>
      </c>
      <c r="B267" s="21">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267</v>
      </c>
      <c r="B268" s="21">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
      <c r="A269">
        <v>268</v>
      </c>
      <c r="B269" s="21">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
      <c r="A270">
        <v>269</v>
      </c>
      <c r="B270" s="21">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
      <c r="A271">
        <v>270</v>
      </c>
      <c r="B271" s="21">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
      <c r="A272">
        <v>271</v>
      </c>
      <c r="B272" s="21">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
      <c r="A273">
        <v>272</v>
      </c>
      <c r="B273" s="21">
        <v>40555</v>
      </c>
      <c r="C273">
        <v>1</v>
      </c>
      <c r="D273">
        <v>0</v>
      </c>
      <c r="E273">
        <v>1</v>
      </c>
      <c r="F273">
        <v>18</v>
      </c>
      <c r="G273" t="b">
        <v>0</v>
      </c>
      <c r="H273">
        <v>3</v>
      </c>
      <c r="I273">
        <v>1</v>
      </c>
      <c r="J273">
        <v>0.2</v>
      </c>
      <c r="K273">
        <v>0.1515</v>
      </c>
      <c r="L273">
        <v>0.47</v>
      </c>
      <c r="M273">
        <v>0.52239999999999998</v>
      </c>
      <c r="N273">
        <v>2</v>
      </c>
      <c r="O273">
        <v>135</v>
      </c>
      <c r="P273">
        <v>137</v>
      </c>
    </row>
    <row r="274" spans="1:16" x14ac:dyDescent="0.3">
      <c r="A274">
        <v>273</v>
      </c>
      <c r="B274" s="21">
        <v>40555</v>
      </c>
      <c r="C274">
        <v>1</v>
      </c>
      <c r="D274">
        <v>0</v>
      </c>
      <c r="E274">
        <v>1</v>
      </c>
      <c r="F274">
        <v>19</v>
      </c>
      <c r="G274" t="b">
        <v>0</v>
      </c>
      <c r="H274">
        <v>3</v>
      </c>
      <c r="I274">
        <v>1</v>
      </c>
      <c r="J274">
        <v>0.18</v>
      </c>
      <c r="K274">
        <v>0.1515</v>
      </c>
      <c r="L274">
        <v>0.47</v>
      </c>
      <c r="M274">
        <v>0.41789999999999999</v>
      </c>
      <c r="N274">
        <v>1</v>
      </c>
      <c r="O274">
        <v>82</v>
      </c>
      <c r="P274">
        <v>83</v>
      </c>
    </row>
    <row r="275" spans="1:16" x14ac:dyDescent="0.3">
      <c r="A275">
        <v>274</v>
      </c>
      <c r="B275" s="21">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
      <c r="A276">
        <v>275</v>
      </c>
      <c r="B276" s="2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
      <c r="A277">
        <v>276</v>
      </c>
      <c r="B277" s="21">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
      <c r="A278">
        <v>277</v>
      </c>
      <c r="B278" s="21">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
      <c r="A279">
        <v>278</v>
      </c>
      <c r="B279" s="21">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
      <c r="A280">
        <v>279</v>
      </c>
      <c r="B280" s="21">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
      <c r="A281">
        <v>280</v>
      </c>
      <c r="B281" s="21">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
      <c r="A282">
        <v>281</v>
      </c>
      <c r="B282" s="21">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
      <c r="A283">
        <v>282</v>
      </c>
      <c r="B283" s="21">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
      <c r="A284">
        <v>283</v>
      </c>
      <c r="B284" s="21">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
      <c r="A285">
        <v>284</v>
      </c>
      <c r="B285" s="21">
        <v>40556</v>
      </c>
      <c r="C285">
        <v>1</v>
      </c>
      <c r="D285">
        <v>0</v>
      </c>
      <c r="E285">
        <v>1</v>
      </c>
      <c r="F285">
        <v>6</v>
      </c>
      <c r="G285" t="b">
        <v>0</v>
      </c>
      <c r="H285">
        <v>4</v>
      </c>
      <c r="I285">
        <v>1</v>
      </c>
      <c r="J285">
        <v>0.12</v>
      </c>
      <c r="K285">
        <v>0.1515</v>
      </c>
      <c r="L285">
        <v>0.54</v>
      </c>
      <c r="M285">
        <v>0.1343</v>
      </c>
      <c r="N285">
        <v>0</v>
      </c>
      <c r="O285">
        <v>28</v>
      </c>
      <c r="P285">
        <v>28</v>
      </c>
    </row>
    <row r="286" spans="1:16" x14ac:dyDescent="0.3">
      <c r="A286">
        <v>285</v>
      </c>
      <c r="B286" s="21">
        <v>40556</v>
      </c>
      <c r="C286">
        <v>1</v>
      </c>
      <c r="D286">
        <v>0</v>
      </c>
      <c r="E286">
        <v>1</v>
      </c>
      <c r="F286">
        <v>7</v>
      </c>
      <c r="G286" t="b">
        <v>0</v>
      </c>
      <c r="H286">
        <v>4</v>
      </c>
      <c r="I286">
        <v>1</v>
      </c>
      <c r="J286">
        <v>0.12</v>
      </c>
      <c r="K286">
        <v>0.1515</v>
      </c>
      <c r="L286">
        <v>0.54</v>
      </c>
      <c r="M286">
        <v>0.1343</v>
      </c>
      <c r="N286">
        <v>0</v>
      </c>
      <c r="O286">
        <v>72</v>
      </c>
      <c r="P286">
        <v>72</v>
      </c>
    </row>
    <row r="287" spans="1:16" x14ac:dyDescent="0.3">
      <c r="A287">
        <v>286</v>
      </c>
      <c r="B287" s="2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
      <c r="A288">
        <v>287</v>
      </c>
      <c r="B288" s="21">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
      <c r="A289">
        <v>288</v>
      </c>
      <c r="B289" s="21">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
      <c r="A290">
        <v>289</v>
      </c>
      <c r="B290" s="21">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
      <c r="A291">
        <v>290</v>
      </c>
      <c r="B291" s="21">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
      <c r="A292">
        <v>291</v>
      </c>
      <c r="B292" s="21">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
      <c r="A293">
        <v>292</v>
      </c>
      <c r="B293" s="21">
        <v>40556</v>
      </c>
      <c r="C293">
        <v>1</v>
      </c>
      <c r="D293">
        <v>0</v>
      </c>
      <c r="E293">
        <v>1</v>
      </c>
      <c r="F293">
        <v>14</v>
      </c>
      <c r="G293" t="b">
        <v>0</v>
      </c>
      <c r="H293">
        <v>4</v>
      </c>
      <c r="I293">
        <v>1</v>
      </c>
      <c r="J293">
        <v>0.22</v>
      </c>
      <c r="K293">
        <v>0.19700000000000001</v>
      </c>
      <c r="L293">
        <v>0.41</v>
      </c>
      <c r="M293">
        <v>0.3881</v>
      </c>
      <c r="N293">
        <v>3</v>
      </c>
      <c r="O293">
        <v>39</v>
      </c>
      <c r="P293">
        <v>42</v>
      </c>
    </row>
    <row r="294" spans="1:16" x14ac:dyDescent="0.3">
      <c r="A294">
        <v>293</v>
      </c>
      <c r="B294" s="21">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
      <c r="A295">
        <v>294</v>
      </c>
      <c r="B295" s="21">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
      <c r="A296">
        <v>295</v>
      </c>
      <c r="B296" s="21">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
      <c r="A297">
        <v>296</v>
      </c>
      <c r="B297" s="21">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
      <c r="A298">
        <v>297</v>
      </c>
      <c r="B298" s="21">
        <v>40556</v>
      </c>
      <c r="C298">
        <v>1</v>
      </c>
      <c r="D298">
        <v>0</v>
      </c>
      <c r="E298">
        <v>1</v>
      </c>
      <c r="F298">
        <v>19</v>
      </c>
      <c r="G298" t="b">
        <v>0</v>
      </c>
      <c r="H298">
        <v>4</v>
      </c>
      <c r="I298">
        <v>1</v>
      </c>
      <c r="J298">
        <v>0.16</v>
      </c>
      <c r="K298">
        <v>0.1515</v>
      </c>
      <c r="L298">
        <v>0.47</v>
      </c>
      <c r="M298">
        <v>0.25369999999999998</v>
      </c>
      <c r="N298">
        <v>1</v>
      </c>
      <c r="O298">
        <v>98</v>
      </c>
      <c r="P298">
        <v>99</v>
      </c>
    </row>
    <row r="299" spans="1:16" x14ac:dyDescent="0.3">
      <c r="A299">
        <v>298</v>
      </c>
      <c r="B299" s="21">
        <v>40556</v>
      </c>
      <c r="C299">
        <v>1</v>
      </c>
      <c r="D299">
        <v>0</v>
      </c>
      <c r="E299">
        <v>1</v>
      </c>
      <c r="F299">
        <v>20</v>
      </c>
      <c r="G299" t="b">
        <v>0</v>
      </c>
      <c r="H299">
        <v>4</v>
      </c>
      <c r="I299">
        <v>1</v>
      </c>
      <c r="J299">
        <v>0.16</v>
      </c>
      <c r="K299">
        <v>0.1515</v>
      </c>
      <c r="L299">
        <v>0.47</v>
      </c>
      <c r="M299">
        <v>0.22389999999999999</v>
      </c>
      <c r="N299">
        <v>0</v>
      </c>
      <c r="O299">
        <v>64</v>
      </c>
      <c r="P299">
        <v>64</v>
      </c>
    </row>
    <row r="300" spans="1:16" x14ac:dyDescent="0.3">
      <c r="A300">
        <v>299</v>
      </c>
      <c r="B300" s="21">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
      <c r="A301">
        <v>300</v>
      </c>
      <c r="B301" s="21">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
      <c r="A302">
        <v>301</v>
      </c>
      <c r="B302" s="21">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
      <c r="A303">
        <v>302</v>
      </c>
      <c r="B303" s="21">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
      <c r="A304">
        <v>303</v>
      </c>
      <c r="B304" s="21">
        <v>40557</v>
      </c>
      <c r="C304">
        <v>1</v>
      </c>
      <c r="D304">
        <v>0</v>
      </c>
      <c r="E304">
        <v>1</v>
      </c>
      <c r="F304">
        <v>1</v>
      </c>
      <c r="G304" t="b">
        <v>0</v>
      </c>
      <c r="H304">
        <v>5</v>
      </c>
      <c r="I304">
        <v>1</v>
      </c>
      <c r="J304">
        <v>0.1</v>
      </c>
      <c r="K304">
        <v>0.1212</v>
      </c>
      <c r="L304">
        <v>0.54</v>
      </c>
      <c r="M304">
        <v>0.16420000000000001</v>
      </c>
      <c r="N304">
        <v>0</v>
      </c>
      <c r="O304">
        <v>5</v>
      </c>
      <c r="P304">
        <v>5</v>
      </c>
    </row>
    <row r="305" spans="1:16" x14ac:dyDescent="0.3">
      <c r="A305">
        <v>304</v>
      </c>
      <c r="B305" s="21">
        <v>40557</v>
      </c>
      <c r="C305">
        <v>1</v>
      </c>
      <c r="D305">
        <v>0</v>
      </c>
      <c r="E305">
        <v>1</v>
      </c>
      <c r="F305">
        <v>2</v>
      </c>
      <c r="G305" t="b">
        <v>0</v>
      </c>
      <c r="H305">
        <v>5</v>
      </c>
      <c r="I305">
        <v>1</v>
      </c>
      <c r="J305">
        <v>0.1</v>
      </c>
      <c r="K305">
        <v>0.1212</v>
      </c>
      <c r="L305">
        <v>0.54</v>
      </c>
      <c r="M305">
        <v>0.1343</v>
      </c>
      <c r="N305">
        <v>0</v>
      </c>
      <c r="O305">
        <v>1</v>
      </c>
      <c r="P305">
        <v>1</v>
      </c>
    </row>
    <row r="306" spans="1:16" x14ac:dyDescent="0.3">
      <c r="A306">
        <v>305</v>
      </c>
      <c r="B306" s="21">
        <v>40557</v>
      </c>
      <c r="C306">
        <v>1</v>
      </c>
      <c r="D306">
        <v>0</v>
      </c>
      <c r="E306">
        <v>1</v>
      </c>
      <c r="F306">
        <v>3</v>
      </c>
      <c r="G306" t="b">
        <v>0</v>
      </c>
      <c r="H306">
        <v>5</v>
      </c>
      <c r="I306">
        <v>1</v>
      </c>
      <c r="J306">
        <v>0.1</v>
      </c>
      <c r="K306">
        <v>0.13639999999999999</v>
      </c>
      <c r="L306">
        <v>0.54</v>
      </c>
      <c r="M306">
        <v>0.1045</v>
      </c>
      <c r="N306">
        <v>0</v>
      </c>
      <c r="O306">
        <v>1</v>
      </c>
      <c r="P306">
        <v>1</v>
      </c>
    </row>
    <row r="307" spans="1:16" x14ac:dyDescent="0.3">
      <c r="A307">
        <v>306</v>
      </c>
      <c r="B307" s="21">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
      <c r="A308">
        <v>307</v>
      </c>
      <c r="B308" s="21">
        <v>40557</v>
      </c>
      <c r="C308">
        <v>1</v>
      </c>
      <c r="D308">
        <v>0</v>
      </c>
      <c r="E308">
        <v>1</v>
      </c>
      <c r="F308">
        <v>6</v>
      </c>
      <c r="G308" t="b">
        <v>0</v>
      </c>
      <c r="H308">
        <v>5</v>
      </c>
      <c r="I308">
        <v>1</v>
      </c>
      <c r="J308">
        <v>0.1</v>
      </c>
      <c r="K308">
        <v>0.18179999999999999</v>
      </c>
      <c r="L308">
        <v>0.54</v>
      </c>
      <c r="M308">
        <v>0</v>
      </c>
      <c r="N308">
        <v>0</v>
      </c>
      <c r="O308">
        <v>17</v>
      </c>
      <c r="P308">
        <v>17</v>
      </c>
    </row>
    <row r="309" spans="1:16" x14ac:dyDescent="0.3">
      <c r="A309">
        <v>308</v>
      </c>
      <c r="B309" s="21">
        <v>40557</v>
      </c>
      <c r="C309">
        <v>1</v>
      </c>
      <c r="D309">
        <v>0</v>
      </c>
      <c r="E309">
        <v>1</v>
      </c>
      <c r="F309">
        <v>7</v>
      </c>
      <c r="G309" t="b">
        <v>0</v>
      </c>
      <c r="H309">
        <v>5</v>
      </c>
      <c r="I309">
        <v>1</v>
      </c>
      <c r="J309">
        <v>0.1</v>
      </c>
      <c r="K309">
        <v>0.1212</v>
      </c>
      <c r="L309">
        <v>0.74</v>
      </c>
      <c r="M309">
        <v>0.16420000000000001</v>
      </c>
      <c r="N309">
        <v>0</v>
      </c>
      <c r="O309">
        <v>70</v>
      </c>
      <c r="P309">
        <v>70</v>
      </c>
    </row>
    <row r="310" spans="1:16" x14ac:dyDescent="0.3">
      <c r="A310">
        <v>309</v>
      </c>
      <c r="B310" s="21">
        <v>40557</v>
      </c>
      <c r="C310">
        <v>1</v>
      </c>
      <c r="D310">
        <v>0</v>
      </c>
      <c r="E310">
        <v>1</v>
      </c>
      <c r="F310">
        <v>8</v>
      </c>
      <c r="G310" t="b">
        <v>0</v>
      </c>
      <c r="H310">
        <v>5</v>
      </c>
      <c r="I310">
        <v>1</v>
      </c>
      <c r="J310">
        <v>0.12</v>
      </c>
      <c r="K310">
        <v>0.16669999999999999</v>
      </c>
      <c r="L310">
        <v>0.68</v>
      </c>
      <c r="M310">
        <v>0</v>
      </c>
      <c r="N310">
        <v>2</v>
      </c>
      <c r="O310">
        <v>156</v>
      </c>
      <c r="P310">
        <v>158</v>
      </c>
    </row>
    <row r="311" spans="1:16" x14ac:dyDescent="0.3">
      <c r="A311">
        <v>310</v>
      </c>
      <c r="B311" s="21">
        <v>40557</v>
      </c>
      <c r="C311">
        <v>1</v>
      </c>
      <c r="D311">
        <v>0</v>
      </c>
      <c r="E311">
        <v>1</v>
      </c>
      <c r="F311">
        <v>9</v>
      </c>
      <c r="G311" t="b">
        <v>0</v>
      </c>
      <c r="H311">
        <v>5</v>
      </c>
      <c r="I311">
        <v>1</v>
      </c>
      <c r="J311">
        <v>0.14000000000000001</v>
      </c>
      <c r="K311">
        <v>0.1515</v>
      </c>
      <c r="L311">
        <v>0.69</v>
      </c>
      <c r="M311">
        <v>0.1343</v>
      </c>
      <c r="N311">
        <v>0</v>
      </c>
      <c r="O311">
        <v>117</v>
      </c>
      <c r="P311">
        <v>117</v>
      </c>
    </row>
    <row r="312" spans="1:16" x14ac:dyDescent="0.3">
      <c r="A312">
        <v>311</v>
      </c>
      <c r="B312" s="2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
      <c r="A313">
        <v>312</v>
      </c>
      <c r="B313" s="21">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
      <c r="A314">
        <v>313</v>
      </c>
      <c r="B314" s="21">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
      <c r="A315">
        <v>314</v>
      </c>
      <c r="B315" s="21">
        <v>40557</v>
      </c>
      <c r="C315">
        <v>1</v>
      </c>
      <c r="D315">
        <v>0</v>
      </c>
      <c r="E315">
        <v>1</v>
      </c>
      <c r="F315">
        <v>13</v>
      </c>
      <c r="G315" t="b">
        <v>0</v>
      </c>
      <c r="H315">
        <v>5</v>
      </c>
      <c r="I315">
        <v>1</v>
      </c>
      <c r="J315">
        <v>0.22</v>
      </c>
      <c r="K315">
        <v>0.19700000000000001</v>
      </c>
      <c r="L315">
        <v>0.37</v>
      </c>
      <c r="M315">
        <v>0.3881</v>
      </c>
      <c r="N315">
        <v>4</v>
      </c>
      <c r="O315">
        <v>73</v>
      </c>
      <c r="P315">
        <v>77</v>
      </c>
    </row>
    <row r="316" spans="1:16" x14ac:dyDescent="0.3">
      <c r="A316">
        <v>315</v>
      </c>
      <c r="B316" s="21">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
      <c r="A317">
        <v>316</v>
      </c>
      <c r="B317" s="21">
        <v>40557</v>
      </c>
      <c r="C317">
        <v>1</v>
      </c>
      <c r="D317">
        <v>0</v>
      </c>
      <c r="E317">
        <v>1</v>
      </c>
      <c r="F317">
        <v>15</v>
      </c>
      <c r="G317" t="b">
        <v>0</v>
      </c>
      <c r="H317">
        <v>5</v>
      </c>
      <c r="I317">
        <v>1</v>
      </c>
      <c r="J317">
        <v>0.24</v>
      </c>
      <c r="K317">
        <v>0.2424</v>
      </c>
      <c r="L317">
        <v>0.38</v>
      </c>
      <c r="M317">
        <v>0.16420000000000001</v>
      </c>
      <c r="N317">
        <v>9</v>
      </c>
      <c r="O317">
        <v>59</v>
      </c>
      <c r="P317">
        <v>68</v>
      </c>
    </row>
    <row r="318" spans="1:16" x14ac:dyDescent="0.3">
      <c r="A318">
        <v>317</v>
      </c>
      <c r="B318" s="21">
        <v>40557</v>
      </c>
      <c r="C318">
        <v>1</v>
      </c>
      <c r="D318">
        <v>0</v>
      </c>
      <c r="E318">
        <v>1</v>
      </c>
      <c r="F318">
        <v>16</v>
      </c>
      <c r="G318" t="b">
        <v>0</v>
      </c>
      <c r="H318">
        <v>5</v>
      </c>
      <c r="I318">
        <v>1</v>
      </c>
      <c r="J318">
        <v>0.22</v>
      </c>
      <c r="K318">
        <v>0.2424</v>
      </c>
      <c r="L318">
        <v>0.41</v>
      </c>
      <c r="M318">
        <v>0.1045</v>
      </c>
      <c r="N318">
        <v>3</v>
      </c>
      <c r="O318">
        <v>87</v>
      </c>
      <c r="P318">
        <v>90</v>
      </c>
    </row>
    <row r="319" spans="1:16" x14ac:dyDescent="0.3">
      <c r="A319">
        <v>318</v>
      </c>
      <c r="B319" s="21">
        <v>40557</v>
      </c>
      <c r="C319">
        <v>1</v>
      </c>
      <c r="D319">
        <v>0</v>
      </c>
      <c r="E319">
        <v>1</v>
      </c>
      <c r="F319">
        <v>17</v>
      </c>
      <c r="G319" t="b">
        <v>0</v>
      </c>
      <c r="H319">
        <v>5</v>
      </c>
      <c r="I319">
        <v>1</v>
      </c>
      <c r="J319">
        <v>0.22</v>
      </c>
      <c r="K319">
        <v>0.2273</v>
      </c>
      <c r="L319">
        <v>0.41</v>
      </c>
      <c r="M319">
        <v>0.16420000000000001</v>
      </c>
      <c r="N319">
        <v>4</v>
      </c>
      <c r="O319">
        <v>155</v>
      </c>
      <c r="P319">
        <v>159</v>
      </c>
    </row>
    <row r="320" spans="1:16" x14ac:dyDescent="0.3">
      <c r="A320">
        <v>319</v>
      </c>
      <c r="B320" s="21">
        <v>40557</v>
      </c>
      <c r="C320">
        <v>1</v>
      </c>
      <c r="D320">
        <v>0</v>
      </c>
      <c r="E320">
        <v>1</v>
      </c>
      <c r="F320">
        <v>18</v>
      </c>
      <c r="G320" t="b">
        <v>0</v>
      </c>
      <c r="H320">
        <v>5</v>
      </c>
      <c r="I320">
        <v>1</v>
      </c>
      <c r="J320">
        <v>0.2</v>
      </c>
      <c r="K320">
        <v>0.2576</v>
      </c>
      <c r="L320">
        <v>0.47</v>
      </c>
      <c r="M320">
        <v>0</v>
      </c>
      <c r="N320">
        <v>5</v>
      </c>
      <c r="O320">
        <v>134</v>
      </c>
      <c r="P320">
        <v>139</v>
      </c>
    </row>
    <row r="321" spans="1:16" x14ac:dyDescent="0.3">
      <c r="A321">
        <v>320</v>
      </c>
      <c r="B321" s="21">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
      <c r="A322">
        <v>321</v>
      </c>
      <c r="B322" s="21">
        <v>40557</v>
      </c>
      <c r="C322">
        <v>1</v>
      </c>
      <c r="D322">
        <v>0</v>
      </c>
      <c r="E322">
        <v>1</v>
      </c>
      <c r="F322">
        <v>20</v>
      </c>
      <c r="G322" t="b">
        <v>0</v>
      </c>
      <c r="H322">
        <v>5</v>
      </c>
      <c r="I322">
        <v>1</v>
      </c>
      <c r="J322">
        <v>0.18</v>
      </c>
      <c r="K322">
        <v>0.2424</v>
      </c>
      <c r="L322">
        <v>0.59</v>
      </c>
      <c r="M322">
        <v>0</v>
      </c>
      <c r="N322">
        <v>0</v>
      </c>
      <c r="O322">
        <v>68</v>
      </c>
      <c r="P322">
        <v>68</v>
      </c>
    </row>
    <row r="323" spans="1:16" x14ac:dyDescent="0.3">
      <c r="A323">
        <v>322</v>
      </c>
      <c r="B323" s="21">
        <v>40557</v>
      </c>
      <c r="C323">
        <v>1</v>
      </c>
      <c r="D323">
        <v>0</v>
      </c>
      <c r="E323">
        <v>1</v>
      </c>
      <c r="F323">
        <v>21</v>
      </c>
      <c r="G323" t="b">
        <v>0</v>
      </c>
      <c r="H323">
        <v>5</v>
      </c>
      <c r="I323">
        <v>1</v>
      </c>
      <c r="J323">
        <v>0.16</v>
      </c>
      <c r="K323">
        <v>0.2273</v>
      </c>
      <c r="L323">
        <v>0.69</v>
      </c>
      <c r="M323">
        <v>0</v>
      </c>
      <c r="N323">
        <v>4</v>
      </c>
      <c r="O323">
        <v>48</v>
      </c>
      <c r="P323">
        <v>52</v>
      </c>
    </row>
    <row r="324" spans="1:16" x14ac:dyDescent="0.3">
      <c r="A324">
        <v>323</v>
      </c>
      <c r="B324" s="21">
        <v>40557</v>
      </c>
      <c r="C324">
        <v>1</v>
      </c>
      <c r="D324">
        <v>0</v>
      </c>
      <c r="E324">
        <v>1</v>
      </c>
      <c r="F324">
        <v>22</v>
      </c>
      <c r="G324" t="b">
        <v>0</v>
      </c>
      <c r="H324">
        <v>5</v>
      </c>
      <c r="I324">
        <v>2</v>
      </c>
      <c r="J324">
        <v>0.16</v>
      </c>
      <c r="K324">
        <v>0.2273</v>
      </c>
      <c r="L324">
        <v>0.69</v>
      </c>
      <c r="M324">
        <v>0</v>
      </c>
      <c r="N324">
        <v>2</v>
      </c>
      <c r="O324">
        <v>34</v>
      </c>
      <c r="P324">
        <v>36</v>
      </c>
    </row>
    <row r="325" spans="1:16" x14ac:dyDescent="0.3">
      <c r="A325">
        <v>324</v>
      </c>
      <c r="B325" s="21">
        <v>40557</v>
      </c>
      <c r="C325">
        <v>1</v>
      </c>
      <c r="D325">
        <v>0</v>
      </c>
      <c r="E325">
        <v>1</v>
      </c>
      <c r="F325">
        <v>23</v>
      </c>
      <c r="G325" t="b">
        <v>0</v>
      </c>
      <c r="H325">
        <v>5</v>
      </c>
      <c r="I325">
        <v>2</v>
      </c>
      <c r="J325">
        <v>0.18</v>
      </c>
      <c r="K325">
        <v>0.2424</v>
      </c>
      <c r="L325">
        <v>0.55000000000000004</v>
      </c>
      <c r="M325">
        <v>0</v>
      </c>
      <c r="N325">
        <v>1</v>
      </c>
      <c r="O325">
        <v>26</v>
      </c>
      <c r="P325">
        <v>27</v>
      </c>
    </row>
    <row r="326" spans="1:16" x14ac:dyDescent="0.3">
      <c r="A326">
        <v>325</v>
      </c>
      <c r="B326" s="21">
        <v>40558</v>
      </c>
      <c r="C326">
        <v>1</v>
      </c>
      <c r="D326">
        <v>0</v>
      </c>
      <c r="E326">
        <v>1</v>
      </c>
      <c r="F326">
        <v>0</v>
      </c>
      <c r="G326" t="b">
        <v>0</v>
      </c>
      <c r="H326">
        <v>6</v>
      </c>
      <c r="I326">
        <v>1</v>
      </c>
      <c r="J326">
        <v>0.18</v>
      </c>
      <c r="K326">
        <v>0.2424</v>
      </c>
      <c r="L326">
        <v>0.55000000000000004</v>
      </c>
      <c r="M326">
        <v>0</v>
      </c>
      <c r="N326">
        <v>3</v>
      </c>
      <c r="O326">
        <v>25</v>
      </c>
      <c r="P326">
        <v>28</v>
      </c>
    </row>
    <row r="327" spans="1:16" x14ac:dyDescent="0.3">
      <c r="A327">
        <v>326</v>
      </c>
      <c r="B327" s="21">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
      <c r="A328">
        <v>327</v>
      </c>
      <c r="B328" s="21">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
      <c r="A329">
        <v>328</v>
      </c>
      <c r="B329" s="21">
        <v>40558</v>
      </c>
      <c r="C329">
        <v>1</v>
      </c>
      <c r="D329">
        <v>0</v>
      </c>
      <c r="E329">
        <v>1</v>
      </c>
      <c r="F329">
        <v>3</v>
      </c>
      <c r="G329" t="b">
        <v>0</v>
      </c>
      <c r="H329">
        <v>6</v>
      </c>
      <c r="I329">
        <v>2</v>
      </c>
      <c r="J329">
        <v>0.16</v>
      </c>
      <c r="K329">
        <v>0.2273</v>
      </c>
      <c r="L329">
        <v>0.59</v>
      </c>
      <c r="M329">
        <v>0</v>
      </c>
      <c r="N329">
        <v>1</v>
      </c>
      <c r="O329">
        <v>7</v>
      </c>
      <c r="P329">
        <v>8</v>
      </c>
    </row>
    <row r="330" spans="1:16" x14ac:dyDescent="0.3">
      <c r="A330">
        <v>329</v>
      </c>
      <c r="B330" s="21">
        <v>40558</v>
      </c>
      <c r="C330">
        <v>1</v>
      </c>
      <c r="D330">
        <v>0</v>
      </c>
      <c r="E330">
        <v>1</v>
      </c>
      <c r="F330">
        <v>4</v>
      </c>
      <c r="G330" t="b">
        <v>0</v>
      </c>
      <c r="H330">
        <v>6</v>
      </c>
      <c r="I330">
        <v>2</v>
      </c>
      <c r="J330">
        <v>0.16</v>
      </c>
      <c r="K330">
        <v>0.2273</v>
      </c>
      <c r="L330">
        <v>0.59</v>
      </c>
      <c r="M330">
        <v>0</v>
      </c>
      <c r="N330">
        <v>0</v>
      </c>
      <c r="O330">
        <v>5</v>
      </c>
      <c r="P330">
        <v>5</v>
      </c>
    </row>
    <row r="331" spans="1:16" x14ac:dyDescent="0.3">
      <c r="A331">
        <v>330</v>
      </c>
      <c r="B331" s="21">
        <v>40558</v>
      </c>
      <c r="C331">
        <v>1</v>
      </c>
      <c r="D331">
        <v>0</v>
      </c>
      <c r="E331">
        <v>1</v>
      </c>
      <c r="F331">
        <v>5</v>
      </c>
      <c r="G331" t="b">
        <v>0</v>
      </c>
      <c r="H331">
        <v>6</v>
      </c>
      <c r="I331">
        <v>1</v>
      </c>
      <c r="J331">
        <v>0.16</v>
      </c>
      <c r="K331">
        <v>0.2273</v>
      </c>
      <c r="L331">
        <v>0.59</v>
      </c>
      <c r="M331">
        <v>0</v>
      </c>
      <c r="N331">
        <v>0</v>
      </c>
      <c r="O331">
        <v>1</v>
      </c>
      <c r="P331">
        <v>1</v>
      </c>
    </row>
    <row r="332" spans="1:16" x14ac:dyDescent="0.3">
      <c r="A332">
        <v>331</v>
      </c>
      <c r="B332" s="21">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
      <c r="A333">
        <v>332</v>
      </c>
      <c r="B333" s="21">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
      <c r="A334">
        <v>333</v>
      </c>
      <c r="B334" s="21">
        <v>40558</v>
      </c>
      <c r="C334">
        <v>1</v>
      </c>
      <c r="D334">
        <v>0</v>
      </c>
      <c r="E334">
        <v>1</v>
      </c>
      <c r="F334">
        <v>8</v>
      </c>
      <c r="G334" t="b">
        <v>0</v>
      </c>
      <c r="H334">
        <v>6</v>
      </c>
      <c r="I334">
        <v>1</v>
      </c>
      <c r="J334">
        <v>0.14000000000000001</v>
      </c>
      <c r="K334">
        <v>0.1515</v>
      </c>
      <c r="L334">
        <v>0.63</v>
      </c>
      <c r="M334">
        <v>0.1343</v>
      </c>
      <c r="N334">
        <v>1</v>
      </c>
      <c r="O334">
        <v>22</v>
      </c>
      <c r="P334">
        <v>23</v>
      </c>
    </row>
    <row r="335" spans="1:16" x14ac:dyDescent="0.3">
      <c r="A335">
        <v>334</v>
      </c>
      <c r="B335" s="21">
        <v>40558</v>
      </c>
      <c r="C335">
        <v>1</v>
      </c>
      <c r="D335">
        <v>0</v>
      </c>
      <c r="E335">
        <v>1</v>
      </c>
      <c r="F335">
        <v>9</v>
      </c>
      <c r="G335" t="b">
        <v>0</v>
      </c>
      <c r="H335">
        <v>6</v>
      </c>
      <c r="I335">
        <v>1</v>
      </c>
      <c r="J335">
        <v>0.16</v>
      </c>
      <c r="K335">
        <v>0.18179999999999999</v>
      </c>
      <c r="L335">
        <v>0.64</v>
      </c>
      <c r="M335">
        <v>0.1343</v>
      </c>
      <c r="N335">
        <v>2</v>
      </c>
      <c r="O335">
        <v>31</v>
      </c>
      <c r="P335">
        <v>33</v>
      </c>
    </row>
    <row r="336" spans="1:16" x14ac:dyDescent="0.3">
      <c r="A336">
        <v>335</v>
      </c>
      <c r="B336" s="21">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
      <c r="A337">
        <v>336</v>
      </c>
      <c r="B337" s="2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
      <c r="A338">
        <v>337</v>
      </c>
      <c r="B338" s="21">
        <v>40558</v>
      </c>
      <c r="C338">
        <v>1</v>
      </c>
      <c r="D338">
        <v>0</v>
      </c>
      <c r="E338">
        <v>1</v>
      </c>
      <c r="F338">
        <v>12</v>
      </c>
      <c r="G338" t="b">
        <v>0</v>
      </c>
      <c r="H338">
        <v>6</v>
      </c>
      <c r="I338">
        <v>1</v>
      </c>
      <c r="J338">
        <v>0.24</v>
      </c>
      <c r="K338">
        <v>0.2273</v>
      </c>
      <c r="L338">
        <v>0.48</v>
      </c>
      <c r="M338">
        <v>0.22389999999999999</v>
      </c>
      <c r="N338">
        <v>15</v>
      </c>
      <c r="O338">
        <v>74</v>
      </c>
      <c r="P338">
        <v>89</v>
      </c>
    </row>
    <row r="339" spans="1:16" x14ac:dyDescent="0.3">
      <c r="A339">
        <v>338</v>
      </c>
      <c r="B339" s="21">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
      <c r="A340">
        <v>339</v>
      </c>
      <c r="B340" s="21">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
      <c r="A341">
        <v>340</v>
      </c>
      <c r="B341" s="21">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
      <c r="A342">
        <v>341</v>
      </c>
      <c r="B342" s="21">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
      <c r="A343">
        <v>342</v>
      </c>
      <c r="B343" s="21">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
      <c r="A344">
        <v>343</v>
      </c>
      <c r="B344" s="21">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
      <c r="A345">
        <v>344</v>
      </c>
      <c r="B345" s="21">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
      <c r="A346">
        <v>345</v>
      </c>
      <c r="B346" s="21">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
      <c r="A347">
        <v>346</v>
      </c>
      <c r="B347" s="21">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
      <c r="A348">
        <v>347</v>
      </c>
      <c r="B348" s="21">
        <v>40558</v>
      </c>
      <c r="C348">
        <v>1</v>
      </c>
      <c r="D348">
        <v>0</v>
      </c>
      <c r="E348">
        <v>1</v>
      </c>
      <c r="F348">
        <v>22</v>
      </c>
      <c r="G348" t="b">
        <v>0</v>
      </c>
      <c r="H348">
        <v>6</v>
      </c>
      <c r="I348">
        <v>2</v>
      </c>
      <c r="J348">
        <v>0.3</v>
      </c>
      <c r="K348">
        <v>0.31819999999999998</v>
      </c>
      <c r="L348">
        <v>0.42</v>
      </c>
      <c r="M348">
        <v>0.1045</v>
      </c>
      <c r="N348">
        <v>0</v>
      </c>
      <c r="O348">
        <v>26</v>
      </c>
      <c r="P348">
        <v>26</v>
      </c>
    </row>
    <row r="349" spans="1:16" x14ac:dyDescent="0.3">
      <c r="A349">
        <v>348</v>
      </c>
      <c r="B349" s="21">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
      <c r="A350">
        <v>349</v>
      </c>
      <c r="B350" s="21">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
      <c r="A351">
        <v>350</v>
      </c>
      <c r="B351" s="21">
        <v>40559</v>
      </c>
      <c r="C351">
        <v>1</v>
      </c>
      <c r="D351">
        <v>0</v>
      </c>
      <c r="E351">
        <v>1</v>
      </c>
      <c r="F351">
        <v>1</v>
      </c>
      <c r="G351" t="b">
        <v>0</v>
      </c>
      <c r="H351">
        <v>0</v>
      </c>
      <c r="I351">
        <v>1</v>
      </c>
      <c r="J351">
        <v>0.26</v>
      </c>
      <c r="K351">
        <v>0.2727</v>
      </c>
      <c r="L351">
        <v>0.56000000000000005</v>
      </c>
      <c r="M351">
        <v>0.1343</v>
      </c>
      <c r="N351">
        <v>4</v>
      </c>
      <c r="O351">
        <v>19</v>
      </c>
      <c r="P351">
        <v>23</v>
      </c>
    </row>
    <row r="352" spans="1:16" x14ac:dyDescent="0.3">
      <c r="A352">
        <v>351</v>
      </c>
      <c r="B352" s="2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
      <c r="A353">
        <v>352</v>
      </c>
      <c r="B353" s="21">
        <v>40559</v>
      </c>
      <c r="C353">
        <v>1</v>
      </c>
      <c r="D353">
        <v>0</v>
      </c>
      <c r="E353">
        <v>1</v>
      </c>
      <c r="F353">
        <v>3</v>
      </c>
      <c r="G353" t="b">
        <v>0</v>
      </c>
      <c r="H353">
        <v>0</v>
      </c>
      <c r="I353">
        <v>1</v>
      </c>
      <c r="J353">
        <v>0.22</v>
      </c>
      <c r="K353">
        <v>0.2727</v>
      </c>
      <c r="L353">
        <v>0.69</v>
      </c>
      <c r="M353">
        <v>0</v>
      </c>
      <c r="N353">
        <v>9</v>
      </c>
      <c r="O353">
        <v>6</v>
      </c>
      <c r="P353">
        <v>15</v>
      </c>
    </row>
    <row r="354" spans="1:16" x14ac:dyDescent="0.3">
      <c r="A354">
        <v>353</v>
      </c>
      <c r="B354" s="21">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
      <c r="A355">
        <v>354</v>
      </c>
      <c r="B355" s="21">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
      <c r="A356">
        <v>355</v>
      </c>
      <c r="B356" s="21">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
      <c r="A357">
        <v>356</v>
      </c>
      <c r="B357" s="2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
      <c r="A358">
        <v>357</v>
      </c>
      <c r="B358" s="2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
      <c r="A359">
        <v>358</v>
      </c>
      <c r="B359" s="21">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
      <c r="A360">
        <v>359</v>
      </c>
      <c r="B360" s="21">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
      <c r="A361">
        <v>360</v>
      </c>
      <c r="B361" s="21">
        <v>40559</v>
      </c>
      <c r="C361">
        <v>1</v>
      </c>
      <c r="D361">
        <v>0</v>
      </c>
      <c r="E361">
        <v>1</v>
      </c>
      <c r="F361">
        <v>11</v>
      </c>
      <c r="G361" t="b">
        <v>0</v>
      </c>
      <c r="H361">
        <v>0</v>
      </c>
      <c r="I361">
        <v>1</v>
      </c>
      <c r="J361">
        <v>0.24</v>
      </c>
      <c r="K361">
        <v>0.2273</v>
      </c>
      <c r="L361">
        <v>0.44</v>
      </c>
      <c r="M361">
        <v>0.25369999999999998</v>
      </c>
      <c r="N361">
        <v>23</v>
      </c>
      <c r="O361">
        <v>70</v>
      </c>
      <c r="P361">
        <v>93</v>
      </c>
    </row>
    <row r="362" spans="1:16" x14ac:dyDescent="0.3">
      <c r="A362">
        <v>361</v>
      </c>
      <c r="B362" s="21">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
      <c r="A363">
        <v>362</v>
      </c>
      <c r="B363" s="21">
        <v>40559</v>
      </c>
      <c r="C363">
        <v>1</v>
      </c>
      <c r="D363">
        <v>0</v>
      </c>
      <c r="E363">
        <v>1</v>
      </c>
      <c r="F363">
        <v>13</v>
      </c>
      <c r="G363" t="b">
        <v>0</v>
      </c>
      <c r="H363">
        <v>0</v>
      </c>
      <c r="I363">
        <v>1</v>
      </c>
      <c r="J363">
        <v>0.26</v>
      </c>
      <c r="K363">
        <v>0.2273</v>
      </c>
      <c r="L363">
        <v>0.35</v>
      </c>
      <c r="M363">
        <v>0.29849999999999999</v>
      </c>
      <c r="N363">
        <v>23</v>
      </c>
      <c r="O363">
        <v>95</v>
      </c>
      <c r="P363">
        <v>118</v>
      </c>
    </row>
    <row r="364" spans="1:16" x14ac:dyDescent="0.3">
      <c r="A364">
        <v>363</v>
      </c>
      <c r="B364" s="21">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
      <c r="A365">
        <v>364</v>
      </c>
      <c r="B365" s="21">
        <v>40559</v>
      </c>
      <c r="C365">
        <v>1</v>
      </c>
      <c r="D365">
        <v>0</v>
      </c>
      <c r="E365">
        <v>1</v>
      </c>
      <c r="F365">
        <v>15</v>
      </c>
      <c r="G365" t="b">
        <v>0</v>
      </c>
      <c r="H365">
        <v>0</v>
      </c>
      <c r="I365">
        <v>1</v>
      </c>
      <c r="J365">
        <v>0.26</v>
      </c>
      <c r="K365">
        <v>0.2424</v>
      </c>
      <c r="L365">
        <v>0.38</v>
      </c>
      <c r="M365">
        <v>0.25369999999999998</v>
      </c>
      <c r="N365">
        <v>35</v>
      </c>
      <c r="O365">
        <v>78</v>
      </c>
      <c r="P365">
        <v>113</v>
      </c>
    </row>
    <row r="366" spans="1:16" x14ac:dyDescent="0.3">
      <c r="A366">
        <v>365</v>
      </c>
      <c r="B366" s="21">
        <v>40559</v>
      </c>
      <c r="C366">
        <v>1</v>
      </c>
      <c r="D366">
        <v>0</v>
      </c>
      <c r="E366">
        <v>1</v>
      </c>
      <c r="F366">
        <v>16</v>
      </c>
      <c r="G366" t="b">
        <v>0</v>
      </c>
      <c r="H366">
        <v>0</v>
      </c>
      <c r="I366">
        <v>1</v>
      </c>
      <c r="J366">
        <v>0.24</v>
      </c>
      <c r="K366">
        <v>0.2273</v>
      </c>
      <c r="L366">
        <v>0.38</v>
      </c>
      <c r="M366">
        <v>0.22389999999999999</v>
      </c>
      <c r="N366">
        <v>22</v>
      </c>
      <c r="O366">
        <v>77</v>
      </c>
      <c r="P366">
        <v>99</v>
      </c>
    </row>
    <row r="367" spans="1:16" x14ac:dyDescent="0.3">
      <c r="A367">
        <v>366</v>
      </c>
      <c r="B367" s="21">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
      <c r="A368">
        <v>367</v>
      </c>
      <c r="B368" s="21">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
      <c r="A369">
        <v>368</v>
      </c>
      <c r="B369" s="21">
        <v>40559</v>
      </c>
      <c r="C369">
        <v>1</v>
      </c>
      <c r="D369">
        <v>0</v>
      </c>
      <c r="E369">
        <v>1</v>
      </c>
      <c r="F369">
        <v>19</v>
      </c>
      <c r="G369" t="b">
        <v>0</v>
      </c>
      <c r="H369">
        <v>0</v>
      </c>
      <c r="I369">
        <v>1</v>
      </c>
      <c r="J369">
        <v>0.18</v>
      </c>
      <c r="K369">
        <v>0.19700000000000001</v>
      </c>
      <c r="L369">
        <v>0.47</v>
      </c>
      <c r="M369">
        <v>0.1343</v>
      </c>
      <c r="N369">
        <v>14</v>
      </c>
      <c r="O369">
        <v>47</v>
      </c>
      <c r="P369">
        <v>61</v>
      </c>
    </row>
    <row r="370" spans="1:16" x14ac:dyDescent="0.3">
      <c r="A370">
        <v>369</v>
      </c>
      <c r="B370" s="21">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
      <c r="A371">
        <v>370</v>
      </c>
      <c r="B371" s="21">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
      <c r="A372">
        <v>371</v>
      </c>
      <c r="B372" s="21">
        <v>40559</v>
      </c>
      <c r="C372">
        <v>1</v>
      </c>
      <c r="D372">
        <v>0</v>
      </c>
      <c r="E372">
        <v>1</v>
      </c>
      <c r="F372">
        <v>22</v>
      </c>
      <c r="G372" t="b">
        <v>0</v>
      </c>
      <c r="H372">
        <v>0</v>
      </c>
      <c r="I372">
        <v>2</v>
      </c>
      <c r="J372">
        <v>0.2</v>
      </c>
      <c r="K372">
        <v>0.21210000000000001</v>
      </c>
      <c r="L372">
        <v>0.49</v>
      </c>
      <c r="M372">
        <v>0.1343</v>
      </c>
      <c r="N372">
        <v>2</v>
      </c>
      <c r="O372">
        <v>19</v>
      </c>
      <c r="P372">
        <v>21</v>
      </c>
    </row>
    <row r="373" spans="1:16" x14ac:dyDescent="0.3">
      <c r="A373">
        <v>372</v>
      </c>
      <c r="B373" s="21">
        <v>40559</v>
      </c>
      <c r="C373">
        <v>1</v>
      </c>
      <c r="D373">
        <v>0</v>
      </c>
      <c r="E373">
        <v>1</v>
      </c>
      <c r="F373">
        <v>23</v>
      </c>
      <c r="G373" t="b">
        <v>0</v>
      </c>
      <c r="H373">
        <v>0</v>
      </c>
      <c r="I373">
        <v>2</v>
      </c>
      <c r="J373">
        <v>0.2</v>
      </c>
      <c r="K373">
        <v>0.2273</v>
      </c>
      <c r="L373">
        <v>0.4</v>
      </c>
      <c r="M373">
        <v>0.1045</v>
      </c>
      <c r="N373">
        <v>0</v>
      </c>
      <c r="O373">
        <v>18</v>
      </c>
      <c r="P373">
        <v>18</v>
      </c>
    </row>
    <row r="374" spans="1:16" x14ac:dyDescent="0.3">
      <c r="A374">
        <v>373</v>
      </c>
      <c r="B374" s="21">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
      <c r="A375">
        <v>374</v>
      </c>
      <c r="B375" s="21">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
      <c r="A376">
        <v>375</v>
      </c>
      <c r="B376" s="21">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
      <c r="A377">
        <v>376</v>
      </c>
      <c r="B377" s="21">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
      <c r="A378">
        <v>377</v>
      </c>
      <c r="B378" s="21">
        <v>40560</v>
      </c>
      <c r="C378">
        <v>1</v>
      </c>
      <c r="D378">
        <v>0</v>
      </c>
      <c r="E378">
        <v>1</v>
      </c>
      <c r="F378">
        <v>4</v>
      </c>
      <c r="G378" t="b">
        <v>1</v>
      </c>
      <c r="H378">
        <v>1</v>
      </c>
      <c r="I378">
        <v>2</v>
      </c>
      <c r="J378">
        <v>0.18</v>
      </c>
      <c r="K378">
        <v>0.19700000000000001</v>
      </c>
      <c r="L378">
        <v>0.43</v>
      </c>
      <c r="M378">
        <v>0.1343</v>
      </c>
      <c r="N378">
        <v>1</v>
      </c>
      <c r="O378">
        <v>2</v>
      </c>
      <c r="P378">
        <v>3</v>
      </c>
    </row>
    <row r="379" spans="1:16" x14ac:dyDescent="0.3">
      <c r="A379">
        <v>378</v>
      </c>
      <c r="B379" s="21">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
      <c r="A380">
        <v>379</v>
      </c>
      <c r="B380" s="21">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
      <c r="A381">
        <v>380</v>
      </c>
      <c r="B381" s="21">
        <v>40560</v>
      </c>
      <c r="C381">
        <v>1</v>
      </c>
      <c r="D381">
        <v>0</v>
      </c>
      <c r="E381">
        <v>1</v>
      </c>
      <c r="F381">
        <v>7</v>
      </c>
      <c r="G381" t="b">
        <v>1</v>
      </c>
      <c r="H381">
        <v>1</v>
      </c>
      <c r="I381">
        <v>2</v>
      </c>
      <c r="J381">
        <v>0.16</v>
      </c>
      <c r="K381">
        <v>0.18179999999999999</v>
      </c>
      <c r="L381">
        <v>0.5</v>
      </c>
      <c r="M381">
        <v>0.1343</v>
      </c>
      <c r="N381">
        <v>4</v>
      </c>
      <c r="O381">
        <v>9</v>
      </c>
      <c r="P381">
        <v>13</v>
      </c>
    </row>
    <row r="382" spans="1:16" x14ac:dyDescent="0.3">
      <c r="A382">
        <v>381</v>
      </c>
      <c r="B382" s="21">
        <v>40560</v>
      </c>
      <c r="C382">
        <v>1</v>
      </c>
      <c r="D382">
        <v>0</v>
      </c>
      <c r="E382">
        <v>1</v>
      </c>
      <c r="F382">
        <v>8</v>
      </c>
      <c r="G382" t="b">
        <v>1</v>
      </c>
      <c r="H382">
        <v>1</v>
      </c>
      <c r="I382">
        <v>2</v>
      </c>
      <c r="J382">
        <v>0.16</v>
      </c>
      <c r="K382">
        <v>0.1515</v>
      </c>
      <c r="L382">
        <v>0.47</v>
      </c>
      <c r="M382">
        <v>0.22389999999999999</v>
      </c>
      <c r="N382">
        <v>3</v>
      </c>
      <c r="O382">
        <v>30</v>
      </c>
      <c r="P382">
        <v>33</v>
      </c>
    </row>
    <row r="383" spans="1:16" x14ac:dyDescent="0.3">
      <c r="A383">
        <v>382</v>
      </c>
      <c r="B383" s="21">
        <v>40560</v>
      </c>
      <c r="C383">
        <v>1</v>
      </c>
      <c r="D383">
        <v>0</v>
      </c>
      <c r="E383">
        <v>1</v>
      </c>
      <c r="F383">
        <v>9</v>
      </c>
      <c r="G383" t="b">
        <v>1</v>
      </c>
      <c r="H383">
        <v>1</v>
      </c>
      <c r="I383">
        <v>2</v>
      </c>
      <c r="J383">
        <v>0.16</v>
      </c>
      <c r="K383">
        <v>0.1515</v>
      </c>
      <c r="L383">
        <v>0.47</v>
      </c>
      <c r="M383">
        <v>0.22389999999999999</v>
      </c>
      <c r="N383">
        <v>8</v>
      </c>
      <c r="O383">
        <v>39</v>
      </c>
      <c r="P383">
        <v>47</v>
      </c>
    </row>
    <row r="384" spans="1:16" x14ac:dyDescent="0.3">
      <c r="A384">
        <v>383</v>
      </c>
      <c r="B384" s="21">
        <v>40560</v>
      </c>
      <c r="C384">
        <v>1</v>
      </c>
      <c r="D384">
        <v>0</v>
      </c>
      <c r="E384">
        <v>1</v>
      </c>
      <c r="F384">
        <v>10</v>
      </c>
      <c r="G384" t="b">
        <v>1</v>
      </c>
      <c r="H384">
        <v>1</v>
      </c>
      <c r="I384">
        <v>2</v>
      </c>
      <c r="J384">
        <v>0.16</v>
      </c>
      <c r="K384">
        <v>0.1515</v>
      </c>
      <c r="L384">
        <v>0.5</v>
      </c>
      <c r="M384">
        <v>0.25369999999999998</v>
      </c>
      <c r="N384">
        <v>7</v>
      </c>
      <c r="O384">
        <v>50</v>
      </c>
      <c r="P384">
        <v>57</v>
      </c>
    </row>
    <row r="385" spans="1:16" x14ac:dyDescent="0.3">
      <c r="A385">
        <v>384</v>
      </c>
      <c r="B385" s="21">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
      <c r="A386">
        <v>385</v>
      </c>
      <c r="B386" s="21">
        <v>40560</v>
      </c>
      <c r="C386">
        <v>1</v>
      </c>
      <c r="D386">
        <v>0</v>
      </c>
      <c r="E386">
        <v>1</v>
      </c>
      <c r="F386">
        <v>12</v>
      </c>
      <c r="G386" t="b">
        <v>1</v>
      </c>
      <c r="H386">
        <v>1</v>
      </c>
      <c r="I386">
        <v>2</v>
      </c>
      <c r="J386">
        <v>0.18</v>
      </c>
      <c r="K386">
        <v>0.19700000000000001</v>
      </c>
      <c r="L386">
        <v>0.47</v>
      </c>
      <c r="M386">
        <v>0.1343</v>
      </c>
      <c r="N386">
        <v>10</v>
      </c>
      <c r="O386">
        <v>70</v>
      </c>
      <c r="P386">
        <v>80</v>
      </c>
    </row>
    <row r="387" spans="1:16" x14ac:dyDescent="0.3">
      <c r="A387">
        <v>386</v>
      </c>
      <c r="B387" s="21">
        <v>40560</v>
      </c>
      <c r="C387">
        <v>1</v>
      </c>
      <c r="D387">
        <v>0</v>
      </c>
      <c r="E387">
        <v>1</v>
      </c>
      <c r="F387">
        <v>13</v>
      </c>
      <c r="G387" t="b">
        <v>1</v>
      </c>
      <c r="H387">
        <v>1</v>
      </c>
      <c r="I387">
        <v>2</v>
      </c>
      <c r="J387">
        <v>0.18</v>
      </c>
      <c r="K387">
        <v>0.19700000000000001</v>
      </c>
      <c r="L387">
        <v>0.47</v>
      </c>
      <c r="M387">
        <v>0.1343</v>
      </c>
      <c r="N387">
        <v>13</v>
      </c>
      <c r="O387">
        <v>80</v>
      </c>
      <c r="P387">
        <v>93</v>
      </c>
    </row>
    <row r="388" spans="1:16" x14ac:dyDescent="0.3">
      <c r="A388">
        <v>387</v>
      </c>
      <c r="B388" s="21">
        <v>40560</v>
      </c>
      <c r="C388">
        <v>1</v>
      </c>
      <c r="D388">
        <v>0</v>
      </c>
      <c r="E388">
        <v>1</v>
      </c>
      <c r="F388">
        <v>14</v>
      </c>
      <c r="G388" t="b">
        <v>1</v>
      </c>
      <c r="H388">
        <v>1</v>
      </c>
      <c r="I388">
        <v>2</v>
      </c>
      <c r="J388">
        <v>0.18</v>
      </c>
      <c r="K388">
        <v>0.21210000000000001</v>
      </c>
      <c r="L388">
        <v>0.43</v>
      </c>
      <c r="M388">
        <v>0.1045</v>
      </c>
      <c r="N388">
        <v>12</v>
      </c>
      <c r="O388">
        <v>74</v>
      </c>
      <c r="P388">
        <v>86</v>
      </c>
    </row>
    <row r="389" spans="1:16" x14ac:dyDescent="0.3">
      <c r="A389">
        <v>388</v>
      </c>
      <c r="B389" s="21">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
      <c r="A390">
        <v>389</v>
      </c>
      <c r="B390" s="21">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
      <c r="A391">
        <v>390</v>
      </c>
      <c r="B391" s="21">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
      <c r="A392">
        <v>391</v>
      </c>
      <c r="B392" s="2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
      <c r="A393">
        <v>392</v>
      </c>
      <c r="B393" s="21">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
      <c r="A394">
        <v>393</v>
      </c>
      <c r="B394" s="21">
        <v>40560</v>
      </c>
      <c r="C394">
        <v>1</v>
      </c>
      <c r="D394">
        <v>0</v>
      </c>
      <c r="E394">
        <v>1</v>
      </c>
      <c r="F394">
        <v>20</v>
      </c>
      <c r="G394" t="b">
        <v>1</v>
      </c>
      <c r="H394">
        <v>1</v>
      </c>
      <c r="I394">
        <v>3</v>
      </c>
      <c r="J394">
        <v>0.16</v>
      </c>
      <c r="K394">
        <v>0.1515</v>
      </c>
      <c r="L394">
        <v>0.8</v>
      </c>
      <c r="M394">
        <v>0.19400000000000001</v>
      </c>
      <c r="N394">
        <v>4</v>
      </c>
      <c r="O394">
        <v>29</v>
      </c>
      <c r="P394">
        <v>33</v>
      </c>
    </row>
    <row r="395" spans="1:16" x14ac:dyDescent="0.3">
      <c r="A395">
        <v>394</v>
      </c>
      <c r="B395" s="21">
        <v>40560</v>
      </c>
      <c r="C395">
        <v>1</v>
      </c>
      <c r="D395">
        <v>0</v>
      </c>
      <c r="E395">
        <v>1</v>
      </c>
      <c r="F395">
        <v>21</v>
      </c>
      <c r="G395" t="b">
        <v>1</v>
      </c>
      <c r="H395">
        <v>1</v>
      </c>
      <c r="I395">
        <v>3</v>
      </c>
      <c r="J395">
        <v>0.16</v>
      </c>
      <c r="K395">
        <v>0.1515</v>
      </c>
      <c r="L395">
        <v>0.8</v>
      </c>
      <c r="M395">
        <v>0.19400000000000001</v>
      </c>
      <c r="N395">
        <v>3</v>
      </c>
      <c r="O395">
        <v>24</v>
      </c>
      <c r="P395">
        <v>27</v>
      </c>
    </row>
    <row r="396" spans="1:16" x14ac:dyDescent="0.3">
      <c r="A396">
        <v>395</v>
      </c>
      <c r="B396" s="21">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
      <c r="A397">
        <v>396</v>
      </c>
      <c r="B397" s="21">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
      <c r="A398">
        <v>397</v>
      </c>
      <c r="B398" s="21">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
      <c r="A399">
        <v>398</v>
      </c>
      <c r="B399" s="21">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
      <c r="A400">
        <v>399</v>
      </c>
      <c r="B400" s="21">
        <v>40561</v>
      </c>
      <c r="C400">
        <v>1</v>
      </c>
      <c r="D400">
        <v>0</v>
      </c>
      <c r="E400">
        <v>1</v>
      </c>
      <c r="F400">
        <v>14</v>
      </c>
      <c r="G400" t="b">
        <v>0</v>
      </c>
      <c r="H400">
        <v>2</v>
      </c>
      <c r="I400">
        <v>2</v>
      </c>
      <c r="J400">
        <v>0.22</v>
      </c>
      <c r="K400">
        <v>0.2273</v>
      </c>
      <c r="L400">
        <v>0.8</v>
      </c>
      <c r="M400">
        <v>0.16420000000000001</v>
      </c>
      <c r="N400">
        <v>2</v>
      </c>
      <c r="O400">
        <v>26</v>
      </c>
      <c r="P400">
        <v>28</v>
      </c>
    </row>
    <row r="401" spans="1:16" x14ac:dyDescent="0.3">
      <c r="A401">
        <v>400</v>
      </c>
      <c r="B401" s="21">
        <v>40561</v>
      </c>
      <c r="C401">
        <v>1</v>
      </c>
      <c r="D401">
        <v>0</v>
      </c>
      <c r="E401">
        <v>1</v>
      </c>
      <c r="F401">
        <v>15</v>
      </c>
      <c r="G401" t="b">
        <v>0</v>
      </c>
      <c r="H401">
        <v>2</v>
      </c>
      <c r="I401">
        <v>2</v>
      </c>
      <c r="J401">
        <v>0.22</v>
      </c>
      <c r="K401">
        <v>0.2273</v>
      </c>
      <c r="L401">
        <v>0.87</v>
      </c>
      <c r="M401">
        <v>0.16420000000000001</v>
      </c>
      <c r="N401">
        <v>3</v>
      </c>
      <c r="O401">
        <v>32</v>
      </c>
      <c r="P401">
        <v>35</v>
      </c>
    </row>
    <row r="402" spans="1:16" x14ac:dyDescent="0.3">
      <c r="A402">
        <v>401</v>
      </c>
      <c r="B402" s="21">
        <v>40561</v>
      </c>
      <c r="C402">
        <v>1</v>
      </c>
      <c r="D402">
        <v>0</v>
      </c>
      <c r="E402">
        <v>1</v>
      </c>
      <c r="F402">
        <v>16</v>
      </c>
      <c r="G402" t="b">
        <v>0</v>
      </c>
      <c r="H402">
        <v>2</v>
      </c>
      <c r="I402">
        <v>2</v>
      </c>
      <c r="J402">
        <v>0.22</v>
      </c>
      <c r="K402">
        <v>0.2273</v>
      </c>
      <c r="L402">
        <v>0.87</v>
      </c>
      <c r="M402">
        <v>0.19400000000000001</v>
      </c>
      <c r="N402">
        <v>0</v>
      </c>
      <c r="O402">
        <v>61</v>
      </c>
      <c r="P402">
        <v>61</v>
      </c>
    </row>
    <row r="403" spans="1:16" x14ac:dyDescent="0.3">
      <c r="A403">
        <v>402</v>
      </c>
      <c r="B403" s="21">
        <v>40561</v>
      </c>
      <c r="C403">
        <v>1</v>
      </c>
      <c r="D403">
        <v>0</v>
      </c>
      <c r="E403">
        <v>1</v>
      </c>
      <c r="F403">
        <v>17</v>
      </c>
      <c r="G403" t="b">
        <v>0</v>
      </c>
      <c r="H403">
        <v>2</v>
      </c>
      <c r="I403">
        <v>2</v>
      </c>
      <c r="J403">
        <v>0.22</v>
      </c>
      <c r="K403">
        <v>0.2273</v>
      </c>
      <c r="L403">
        <v>0.82</v>
      </c>
      <c r="M403">
        <v>0.19400000000000001</v>
      </c>
      <c r="N403">
        <v>1</v>
      </c>
      <c r="O403">
        <v>124</v>
      </c>
      <c r="P403">
        <v>125</v>
      </c>
    </row>
    <row r="404" spans="1:16" x14ac:dyDescent="0.3">
      <c r="A404">
        <v>403</v>
      </c>
      <c r="B404" s="21">
        <v>40561</v>
      </c>
      <c r="C404">
        <v>1</v>
      </c>
      <c r="D404">
        <v>0</v>
      </c>
      <c r="E404">
        <v>1</v>
      </c>
      <c r="F404">
        <v>18</v>
      </c>
      <c r="G404" t="b">
        <v>0</v>
      </c>
      <c r="H404">
        <v>2</v>
      </c>
      <c r="I404">
        <v>2</v>
      </c>
      <c r="J404">
        <v>0.22</v>
      </c>
      <c r="K404">
        <v>0.2273</v>
      </c>
      <c r="L404">
        <v>0.8</v>
      </c>
      <c r="M404">
        <v>0.16420000000000001</v>
      </c>
      <c r="N404">
        <v>1</v>
      </c>
      <c r="O404">
        <v>132</v>
      </c>
      <c r="P404">
        <v>133</v>
      </c>
    </row>
    <row r="405" spans="1:16" x14ac:dyDescent="0.3">
      <c r="A405">
        <v>404</v>
      </c>
      <c r="B405" s="21">
        <v>40561</v>
      </c>
      <c r="C405">
        <v>1</v>
      </c>
      <c r="D405">
        <v>0</v>
      </c>
      <c r="E405">
        <v>1</v>
      </c>
      <c r="F405">
        <v>19</v>
      </c>
      <c r="G405" t="b">
        <v>0</v>
      </c>
      <c r="H405">
        <v>2</v>
      </c>
      <c r="I405">
        <v>2</v>
      </c>
      <c r="J405">
        <v>0.22</v>
      </c>
      <c r="K405">
        <v>0.2273</v>
      </c>
      <c r="L405">
        <v>0.8</v>
      </c>
      <c r="M405">
        <v>0.1343</v>
      </c>
      <c r="N405">
        <v>1</v>
      </c>
      <c r="O405">
        <v>98</v>
      </c>
      <c r="P405">
        <v>99</v>
      </c>
    </row>
    <row r="406" spans="1:16" x14ac:dyDescent="0.3">
      <c r="A406">
        <v>405</v>
      </c>
      <c r="B406" s="21">
        <v>40561</v>
      </c>
      <c r="C406">
        <v>1</v>
      </c>
      <c r="D406">
        <v>0</v>
      </c>
      <c r="E406">
        <v>1</v>
      </c>
      <c r="F406">
        <v>20</v>
      </c>
      <c r="G406" t="b">
        <v>0</v>
      </c>
      <c r="H406">
        <v>2</v>
      </c>
      <c r="I406">
        <v>2</v>
      </c>
      <c r="J406">
        <v>0.22</v>
      </c>
      <c r="K406">
        <v>0.2727</v>
      </c>
      <c r="L406">
        <v>0.87</v>
      </c>
      <c r="M406">
        <v>0</v>
      </c>
      <c r="N406">
        <v>0</v>
      </c>
      <c r="O406">
        <v>83</v>
      </c>
      <c r="P406">
        <v>83</v>
      </c>
    </row>
    <row r="407" spans="1:16" x14ac:dyDescent="0.3">
      <c r="A407">
        <v>406</v>
      </c>
      <c r="B407" s="21">
        <v>40561</v>
      </c>
      <c r="C407">
        <v>1</v>
      </c>
      <c r="D407">
        <v>0</v>
      </c>
      <c r="E407">
        <v>1</v>
      </c>
      <c r="F407">
        <v>21</v>
      </c>
      <c r="G407" t="b">
        <v>0</v>
      </c>
      <c r="H407">
        <v>2</v>
      </c>
      <c r="I407">
        <v>2</v>
      </c>
      <c r="J407">
        <v>0.22</v>
      </c>
      <c r="K407">
        <v>0.2424</v>
      </c>
      <c r="L407">
        <v>0.93</v>
      </c>
      <c r="M407">
        <v>0.1045</v>
      </c>
      <c r="N407">
        <v>0</v>
      </c>
      <c r="O407">
        <v>41</v>
      </c>
      <c r="P407">
        <v>41</v>
      </c>
    </row>
    <row r="408" spans="1:16" x14ac:dyDescent="0.3">
      <c r="A408">
        <v>407</v>
      </c>
      <c r="B408" s="21">
        <v>40561</v>
      </c>
      <c r="C408">
        <v>1</v>
      </c>
      <c r="D408">
        <v>0</v>
      </c>
      <c r="E408">
        <v>1</v>
      </c>
      <c r="F408">
        <v>22</v>
      </c>
      <c r="G408" t="b">
        <v>0</v>
      </c>
      <c r="H408">
        <v>2</v>
      </c>
      <c r="I408">
        <v>2</v>
      </c>
      <c r="J408">
        <v>0.22</v>
      </c>
      <c r="K408">
        <v>0.2576</v>
      </c>
      <c r="L408">
        <v>0.93</v>
      </c>
      <c r="M408">
        <v>8.9599999999999999E-2</v>
      </c>
      <c r="N408">
        <v>0</v>
      </c>
      <c r="O408">
        <v>33</v>
      </c>
      <c r="P408">
        <v>33</v>
      </c>
    </row>
    <row r="409" spans="1:16" x14ac:dyDescent="0.3">
      <c r="A409">
        <v>408</v>
      </c>
      <c r="B409" s="21">
        <v>40561</v>
      </c>
      <c r="C409">
        <v>1</v>
      </c>
      <c r="D409">
        <v>0</v>
      </c>
      <c r="E409">
        <v>1</v>
      </c>
      <c r="F409">
        <v>23</v>
      </c>
      <c r="G409" t="b">
        <v>0</v>
      </c>
      <c r="H409">
        <v>2</v>
      </c>
      <c r="I409">
        <v>2</v>
      </c>
      <c r="J409">
        <v>0.22</v>
      </c>
      <c r="K409">
        <v>0.2727</v>
      </c>
      <c r="L409">
        <v>0.93</v>
      </c>
      <c r="M409">
        <v>0</v>
      </c>
      <c r="N409">
        <v>1</v>
      </c>
      <c r="O409">
        <v>19</v>
      </c>
      <c r="P409">
        <v>20</v>
      </c>
    </row>
    <row r="410" spans="1:16" x14ac:dyDescent="0.3">
      <c r="A410">
        <v>409</v>
      </c>
      <c r="B410" s="21">
        <v>40562</v>
      </c>
      <c r="C410">
        <v>1</v>
      </c>
      <c r="D410">
        <v>0</v>
      </c>
      <c r="E410">
        <v>1</v>
      </c>
      <c r="F410">
        <v>0</v>
      </c>
      <c r="G410" t="b">
        <v>0</v>
      </c>
      <c r="H410">
        <v>3</v>
      </c>
      <c r="I410">
        <v>2</v>
      </c>
      <c r="J410">
        <v>0.22</v>
      </c>
      <c r="K410">
        <v>0.2727</v>
      </c>
      <c r="L410">
        <v>0.93</v>
      </c>
      <c r="M410">
        <v>0</v>
      </c>
      <c r="N410">
        <v>0</v>
      </c>
      <c r="O410">
        <v>3</v>
      </c>
      <c r="P410">
        <v>3</v>
      </c>
    </row>
    <row r="411" spans="1:16" x14ac:dyDescent="0.3">
      <c r="A411">
        <v>410</v>
      </c>
      <c r="B411" s="21">
        <v>40562</v>
      </c>
      <c r="C411">
        <v>1</v>
      </c>
      <c r="D411">
        <v>0</v>
      </c>
      <c r="E411">
        <v>1</v>
      </c>
      <c r="F411">
        <v>1</v>
      </c>
      <c r="G411" t="b">
        <v>0</v>
      </c>
      <c r="H411">
        <v>3</v>
      </c>
      <c r="I411">
        <v>3</v>
      </c>
      <c r="J411">
        <v>0.22</v>
      </c>
      <c r="K411">
        <v>0.2273</v>
      </c>
      <c r="L411">
        <v>0.93</v>
      </c>
      <c r="M411">
        <v>0.1343</v>
      </c>
      <c r="N411">
        <v>1</v>
      </c>
      <c r="O411">
        <v>6</v>
      </c>
      <c r="P411">
        <v>7</v>
      </c>
    </row>
    <row r="412" spans="1:16" x14ac:dyDescent="0.3">
      <c r="A412">
        <v>411</v>
      </c>
      <c r="B412" s="21">
        <v>40562</v>
      </c>
      <c r="C412">
        <v>1</v>
      </c>
      <c r="D412">
        <v>0</v>
      </c>
      <c r="E412">
        <v>1</v>
      </c>
      <c r="F412">
        <v>2</v>
      </c>
      <c r="G412" t="b">
        <v>0</v>
      </c>
      <c r="H412">
        <v>3</v>
      </c>
      <c r="I412">
        <v>3</v>
      </c>
      <c r="J412">
        <v>0.22</v>
      </c>
      <c r="K412">
        <v>0.2273</v>
      </c>
      <c r="L412">
        <v>0.93</v>
      </c>
      <c r="M412">
        <v>0.1343</v>
      </c>
      <c r="N412">
        <v>0</v>
      </c>
      <c r="O412">
        <v>3</v>
      </c>
      <c r="P412">
        <v>3</v>
      </c>
    </row>
    <row r="413" spans="1:16" x14ac:dyDescent="0.3">
      <c r="A413">
        <v>412</v>
      </c>
      <c r="B413" s="21">
        <v>40562</v>
      </c>
      <c r="C413">
        <v>1</v>
      </c>
      <c r="D413">
        <v>0</v>
      </c>
      <c r="E413">
        <v>1</v>
      </c>
      <c r="F413">
        <v>4</v>
      </c>
      <c r="G413" t="b">
        <v>0</v>
      </c>
      <c r="H413">
        <v>3</v>
      </c>
      <c r="I413">
        <v>3</v>
      </c>
      <c r="J413">
        <v>0.22</v>
      </c>
      <c r="K413">
        <v>0.2273</v>
      </c>
      <c r="L413">
        <v>0.93</v>
      </c>
      <c r="M413">
        <v>0.1343</v>
      </c>
      <c r="N413">
        <v>1</v>
      </c>
      <c r="O413">
        <v>1</v>
      </c>
      <c r="P413">
        <v>2</v>
      </c>
    </row>
    <row r="414" spans="1:16" x14ac:dyDescent="0.3">
      <c r="A414">
        <v>413</v>
      </c>
      <c r="B414" s="21">
        <v>40562</v>
      </c>
      <c r="C414">
        <v>1</v>
      </c>
      <c r="D414">
        <v>0</v>
      </c>
      <c r="E414">
        <v>1</v>
      </c>
      <c r="F414">
        <v>5</v>
      </c>
      <c r="G414" t="b">
        <v>0</v>
      </c>
      <c r="H414">
        <v>3</v>
      </c>
      <c r="I414">
        <v>2</v>
      </c>
      <c r="J414">
        <v>0.22</v>
      </c>
      <c r="K414">
        <v>0.2576</v>
      </c>
      <c r="L414">
        <v>0.93</v>
      </c>
      <c r="M414">
        <v>8.9599999999999999E-2</v>
      </c>
      <c r="N414">
        <v>0</v>
      </c>
      <c r="O414">
        <v>7</v>
      </c>
      <c r="P414">
        <v>7</v>
      </c>
    </row>
    <row r="415" spans="1:16" x14ac:dyDescent="0.3">
      <c r="A415">
        <v>414</v>
      </c>
      <c r="B415" s="21">
        <v>40562</v>
      </c>
      <c r="C415">
        <v>1</v>
      </c>
      <c r="D415">
        <v>0</v>
      </c>
      <c r="E415">
        <v>1</v>
      </c>
      <c r="F415">
        <v>6</v>
      </c>
      <c r="G415" t="b">
        <v>0</v>
      </c>
      <c r="H415">
        <v>3</v>
      </c>
      <c r="I415">
        <v>2</v>
      </c>
      <c r="J415">
        <v>0.22</v>
      </c>
      <c r="K415">
        <v>0.2576</v>
      </c>
      <c r="L415">
        <v>0.93</v>
      </c>
      <c r="M415">
        <v>8.9599999999999999E-2</v>
      </c>
      <c r="N415">
        <v>0</v>
      </c>
      <c r="O415">
        <v>32</v>
      </c>
      <c r="P415">
        <v>32</v>
      </c>
    </row>
    <row r="416" spans="1:16" x14ac:dyDescent="0.3">
      <c r="A416">
        <v>415</v>
      </c>
      <c r="B416" s="21">
        <v>40562</v>
      </c>
      <c r="C416">
        <v>1</v>
      </c>
      <c r="D416">
        <v>0</v>
      </c>
      <c r="E416">
        <v>1</v>
      </c>
      <c r="F416">
        <v>7</v>
      </c>
      <c r="G416" t="b">
        <v>0</v>
      </c>
      <c r="H416">
        <v>3</v>
      </c>
      <c r="I416">
        <v>2</v>
      </c>
      <c r="J416">
        <v>0.24</v>
      </c>
      <c r="K416">
        <v>0.2576</v>
      </c>
      <c r="L416">
        <v>0.92</v>
      </c>
      <c r="M416">
        <v>0.1045</v>
      </c>
      <c r="N416">
        <v>1</v>
      </c>
      <c r="O416">
        <v>89</v>
      </c>
      <c r="P416">
        <v>90</v>
      </c>
    </row>
    <row r="417" spans="1:16" x14ac:dyDescent="0.3">
      <c r="A417">
        <v>416</v>
      </c>
      <c r="B417" s="21">
        <v>40562</v>
      </c>
      <c r="C417">
        <v>1</v>
      </c>
      <c r="D417">
        <v>0</v>
      </c>
      <c r="E417">
        <v>1</v>
      </c>
      <c r="F417">
        <v>8</v>
      </c>
      <c r="G417" t="b">
        <v>0</v>
      </c>
      <c r="H417">
        <v>3</v>
      </c>
      <c r="I417">
        <v>2</v>
      </c>
      <c r="J417">
        <v>0.24</v>
      </c>
      <c r="K417">
        <v>0.2576</v>
      </c>
      <c r="L417">
        <v>0.93</v>
      </c>
      <c r="M417">
        <v>0.1045</v>
      </c>
      <c r="N417">
        <v>1</v>
      </c>
      <c r="O417">
        <v>196</v>
      </c>
      <c r="P417">
        <v>197</v>
      </c>
    </row>
    <row r="418" spans="1:16" x14ac:dyDescent="0.3">
      <c r="A418">
        <v>417</v>
      </c>
      <c r="B418" s="21">
        <v>40562</v>
      </c>
      <c r="C418">
        <v>1</v>
      </c>
      <c r="D418">
        <v>0</v>
      </c>
      <c r="E418">
        <v>1</v>
      </c>
      <c r="F418">
        <v>9</v>
      </c>
      <c r="G418" t="b">
        <v>0</v>
      </c>
      <c r="H418">
        <v>3</v>
      </c>
      <c r="I418">
        <v>2</v>
      </c>
      <c r="J418">
        <v>0.24</v>
      </c>
      <c r="K418">
        <v>0.2576</v>
      </c>
      <c r="L418">
        <v>0.93</v>
      </c>
      <c r="M418">
        <v>0.1045</v>
      </c>
      <c r="N418">
        <v>2</v>
      </c>
      <c r="O418">
        <v>107</v>
      </c>
      <c r="P418">
        <v>109</v>
      </c>
    </row>
    <row r="419" spans="1:16" x14ac:dyDescent="0.3">
      <c r="A419">
        <v>418</v>
      </c>
      <c r="B419" s="21">
        <v>40562</v>
      </c>
      <c r="C419">
        <v>1</v>
      </c>
      <c r="D419">
        <v>0</v>
      </c>
      <c r="E419">
        <v>1</v>
      </c>
      <c r="F419">
        <v>10</v>
      </c>
      <c r="G419" t="b">
        <v>0</v>
      </c>
      <c r="H419">
        <v>3</v>
      </c>
      <c r="I419">
        <v>2</v>
      </c>
      <c r="J419">
        <v>0.26</v>
      </c>
      <c r="K419">
        <v>0.2727</v>
      </c>
      <c r="L419">
        <v>0.93</v>
      </c>
      <c r="M419">
        <v>0.1343</v>
      </c>
      <c r="N419">
        <v>1</v>
      </c>
      <c r="O419">
        <v>46</v>
      </c>
      <c r="P419">
        <v>47</v>
      </c>
    </row>
    <row r="420" spans="1:16" x14ac:dyDescent="0.3">
      <c r="A420">
        <v>419</v>
      </c>
      <c r="B420" s="2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
      <c r="A421">
        <v>420</v>
      </c>
      <c r="B421" s="21">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
      <c r="A422">
        <v>421</v>
      </c>
      <c r="B422" s="21">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
      <c r="A423">
        <v>422</v>
      </c>
      <c r="B423" s="2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
      <c r="A424">
        <v>423</v>
      </c>
      <c r="B424" s="21">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
      <c r="A425">
        <v>424</v>
      </c>
      <c r="B425" s="21">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
      <c r="A426">
        <v>425</v>
      </c>
      <c r="B426" s="2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
      <c r="A427">
        <v>426</v>
      </c>
      <c r="B427" s="21">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
      <c r="A428">
        <v>427</v>
      </c>
      <c r="B428" s="2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
      <c r="A429">
        <v>428</v>
      </c>
      <c r="B429" s="21">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
      <c r="A430">
        <v>429</v>
      </c>
      <c r="B430" s="21">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
      <c r="A431">
        <v>430</v>
      </c>
      <c r="B431" s="21">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
      <c r="A432">
        <v>431</v>
      </c>
      <c r="B432" s="21">
        <v>40562</v>
      </c>
      <c r="C432">
        <v>1</v>
      </c>
      <c r="D432">
        <v>0</v>
      </c>
      <c r="E432">
        <v>1</v>
      </c>
      <c r="F432">
        <v>23</v>
      </c>
      <c r="G432" t="b">
        <v>0</v>
      </c>
      <c r="H432">
        <v>3</v>
      </c>
      <c r="I432">
        <v>1</v>
      </c>
      <c r="J432">
        <v>0.3</v>
      </c>
      <c r="K432">
        <v>0.2727</v>
      </c>
      <c r="L432">
        <v>0.52</v>
      </c>
      <c r="M432">
        <v>0.4627</v>
      </c>
      <c r="N432">
        <v>1</v>
      </c>
      <c r="O432">
        <v>27</v>
      </c>
      <c r="P432">
        <v>28</v>
      </c>
    </row>
    <row r="433" spans="1:16" x14ac:dyDescent="0.3">
      <c r="A433">
        <v>432</v>
      </c>
      <c r="B433" s="21">
        <v>40563</v>
      </c>
      <c r="C433">
        <v>1</v>
      </c>
      <c r="D433">
        <v>0</v>
      </c>
      <c r="E433">
        <v>1</v>
      </c>
      <c r="F433">
        <v>0</v>
      </c>
      <c r="G433" t="b">
        <v>0</v>
      </c>
      <c r="H433">
        <v>4</v>
      </c>
      <c r="I433">
        <v>1</v>
      </c>
      <c r="J433">
        <v>0.26</v>
      </c>
      <c r="K433">
        <v>0.2273</v>
      </c>
      <c r="L433">
        <v>0.56000000000000005</v>
      </c>
      <c r="M433">
        <v>0.3881</v>
      </c>
      <c r="N433">
        <v>5</v>
      </c>
      <c r="O433">
        <v>8</v>
      </c>
      <c r="P433">
        <v>13</v>
      </c>
    </row>
    <row r="434" spans="1:16" x14ac:dyDescent="0.3">
      <c r="A434">
        <v>433</v>
      </c>
      <c r="B434" s="21">
        <v>40563</v>
      </c>
      <c r="C434">
        <v>1</v>
      </c>
      <c r="D434">
        <v>0</v>
      </c>
      <c r="E434">
        <v>1</v>
      </c>
      <c r="F434">
        <v>1</v>
      </c>
      <c r="G434" t="b">
        <v>0</v>
      </c>
      <c r="H434">
        <v>4</v>
      </c>
      <c r="I434">
        <v>1</v>
      </c>
      <c r="J434">
        <v>0.26</v>
      </c>
      <c r="K434">
        <v>0.2727</v>
      </c>
      <c r="L434">
        <v>0.56000000000000005</v>
      </c>
      <c r="M434">
        <v>0</v>
      </c>
      <c r="N434">
        <v>2</v>
      </c>
      <c r="O434">
        <v>3</v>
      </c>
      <c r="P434">
        <v>5</v>
      </c>
    </row>
    <row r="435" spans="1:16" x14ac:dyDescent="0.3">
      <c r="A435">
        <v>434</v>
      </c>
      <c r="B435" s="21">
        <v>40563</v>
      </c>
      <c r="C435">
        <v>1</v>
      </c>
      <c r="D435">
        <v>0</v>
      </c>
      <c r="E435">
        <v>1</v>
      </c>
      <c r="F435">
        <v>2</v>
      </c>
      <c r="G435" t="b">
        <v>0</v>
      </c>
      <c r="H435">
        <v>4</v>
      </c>
      <c r="I435">
        <v>1</v>
      </c>
      <c r="J435">
        <v>0.26</v>
      </c>
      <c r="K435">
        <v>0.2727</v>
      </c>
      <c r="L435">
        <v>0.56000000000000005</v>
      </c>
      <c r="M435">
        <v>0</v>
      </c>
      <c r="N435">
        <v>0</v>
      </c>
      <c r="O435">
        <v>2</v>
      </c>
      <c r="P435">
        <v>2</v>
      </c>
    </row>
    <row r="436" spans="1:16" x14ac:dyDescent="0.3">
      <c r="A436">
        <v>435</v>
      </c>
      <c r="B436" s="21">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
      <c r="A437">
        <v>436</v>
      </c>
      <c r="B437" s="21">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
      <c r="A438">
        <v>437</v>
      </c>
      <c r="B438" s="21">
        <v>40563</v>
      </c>
      <c r="C438">
        <v>1</v>
      </c>
      <c r="D438">
        <v>0</v>
      </c>
      <c r="E438">
        <v>1</v>
      </c>
      <c r="F438">
        <v>5</v>
      </c>
      <c r="G438" t="b">
        <v>0</v>
      </c>
      <c r="H438">
        <v>4</v>
      </c>
      <c r="I438">
        <v>1</v>
      </c>
      <c r="J438">
        <v>0.24</v>
      </c>
      <c r="K438">
        <v>0.2273</v>
      </c>
      <c r="L438">
        <v>0.6</v>
      </c>
      <c r="M438">
        <v>0.22389999999999999</v>
      </c>
      <c r="N438">
        <v>0</v>
      </c>
      <c r="O438">
        <v>6</v>
      </c>
      <c r="P438">
        <v>6</v>
      </c>
    </row>
    <row r="439" spans="1:16" x14ac:dyDescent="0.3">
      <c r="A439">
        <v>438</v>
      </c>
      <c r="B439" s="21">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
      <c r="A440">
        <v>439</v>
      </c>
      <c r="B440" s="2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
      <c r="A441">
        <v>440</v>
      </c>
      <c r="B441" s="2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
      <c r="A442">
        <v>441</v>
      </c>
      <c r="B442" s="21">
        <v>40563</v>
      </c>
      <c r="C442">
        <v>1</v>
      </c>
      <c r="D442">
        <v>0</v>
      </c>
      <c r="E442">
        <v>1</v>
      </c>
      <c r="F442">
        <v>9</v>
      </c>
      <c r="G442" t="b">
        <v>0</v>
      </c>
      <c r="H442">
        <v>4</v>
      </c>
      <c r="I442">
        <v>2</v>
      </c>
      <c r="J442">
        <v>0.24</v>
      </c>
      <c r="K442">
        <v>0.2273</v>
      </c>
      <c r="L442">
        <v>0.52</v>
      </c>
      <c r="M442">
        <v>0.22389999999999999</v>
      </c>
      <c r="N442">
        <v>3</v>
      </c>
      <c r="O442">
        <v>140</v>
      </c>
      <c r="P442">
        <v>143</v>
      </c>
    </row>
    <row r="443" spans="1:16" x14ac:dyDescent="0.3">
      <c r="A443">
        <v>442</v>
      </c>
      <c r="B443" s="21">
        <v>40563</v>
      </c>
      <c r="C443">
        <v>1</v>
      </c>
      <c r="D443">
        <v>0</v>
      </c>
      <c r="E443">
        <v>1</v>
      </c>
      <c r="F443">
        <v>10</v>
      </c>
      <c r="G443" t="b">
        <v>0</v>
      </c>
      <c r="H443">
        <v>4</v>
      </c>
      <c r="I443">
        <v>1</v>
      </c>
      <c r="J443">
        <v>0.26</v>
      </c>
      <c r="K443">
        <v>0.2273</v>
      </c>
      <c r="L443">
        <v>0.48</v>
      </c>
      <c r="M443">
        <v>0.29849999999999999</v>
      </c>
      <c r="N443">
        <v>1</v>
      </c>
      <c r="O443">
        <v>56</v>
      </c>
      <c r="P443">
        <v>57</v>
      </c>
    </row>
    <row r="444" spans="1:16" x14ac:dyDescent="0.3">
      <c r="A444">
        <v>443</v>
      </c>
      <c r="B444" s="21">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
      <c r="A445">
        <v>444</v>
      </c>
      <c r="B445" s="21">
        <v>40563</v>
      </c>
      <c r="C445">
        <v>1</v>
      </c>
      <c r="D445">
        <v>0</v>
      </c>
      <c r="E445">
        <v>1</v>
      </c>
      <c r="F445">
        <v>12</v>
      </c>
      <c r="G445" t="b">
        <v>0</v>
      </c>
      <c r="H445">
        <v>4</v>
      </c>
      <c r="I445">
        <v>2</v>
      </c>
      <c r="J445">
        <v>0.3</v>
      </c>
      <c r="K445">
        <v>0.33329999999999999</v>
      </c>
      <c r="L445">
        <v>0.42</v>
      </c>
      <c r="M445">
        <v>0</v>
      </c>
      <c r="N445">
        <v>7</v>
      </c>
      <c r="O445">
        <v>77</v>
      </c>
      <c r="P445">
        <v>84</v>
      </c>
    </row>
    <row r="446" spans="1:16" x14ac:dyDescent="0.3">
      <c r="A446">
        <v>445</v>
      </c>
      <c r="B446" s="21">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
      <c r="A447">
        <v>446</v>
      </c>
      <c r="B447" s="21">
        <v>40563</v>
      </c>
      <c r="C447">
        <v>1</v>
      </c>
      <c r="D447">
        <v>0</v>
      </c>
      <c r="E447">
        <v>1</v>
      </c>
      <c r="F447">
        <v>14</v>
      </c>
      <c r="G447" t="b">
        <v>0</v>
      </c>
      <c r="H447">
        <v>4</v>
      </c>
      <c r="I447">
        <v>2</v>
      </c>
      <c r="J447">
        <v>0.3</v>
      </c>
      <c r="K447">
        <v>0.30299999999999999</v>
      </c>
      <c r="L447">
        <v>0.45</v>
      </c>
      <c r="M447">
        <v>0.1343</v>
      </c>
      <c r="N447">
        <v>6</v>
      </c>
      <c r="O447">
        <v>75</v>
      </c>
      <c r="P447">
        <v>81</v>
      </c>
    </row>
    <row r="448" spans="1:16" x14ac:dyDescent="0.3">
      <c r="A448">
        <v>447</v>
      </c>
      <c r="B448" s="21">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
      <c r="A449">
        <v>448</v>
      </c>
      <c r="B449" s="21">
        <v>40563</v>
      </c>
      <c r="C449">
        <v>1</v>
      </c>
      <c r="D449">
        <v>0</v>
      </c>
      <c r="E449">
        <v>1</v>
      </c>
      <c r="F449">
        <v>16</v>
      </c>
      <c r="G449" t="b">
        <v>0</v>
      </c>
      <c r="H449">
        <v>4</v>
      </c>
      <c r="I449">
        <v>2</v>
      </c>
      <c r="J449">
        <v>0.3</v>
      </c>
      <c r="K449">
        <v>0.30299999999999999</v>
      </c>
      <c r="L449">
        <v>0.49</v>
      </c>
      <c r="M449">
        <v>0.1343</v>
      </c>
      <c r="N449">
        <v>8</v>
      </c>
      <c r="O449">
        <v>83</v>
      </c>
      <c r="P449">
        <v>91</v>
      </c>
    </row>
    <row r="450" spans="1:16" x14ac:dyDescent="0.3">
      <c r="A450">
        <v>449</v>
      </c>
      <c r="B450" s="21">
        <v>40563</v>
      </c>
      <c r="C450">
        <v>1</v>
      </c>
      <c r="D450">
        <v>0</v>
      </c>
      <c r="E450">
        <v>1</v>
      </c>
      <c r="F450">
        <v>17</v>
      </c>
      <c r="G450" t="b">
        <v>0</v>
      </c>
      <c r="H450">
        <v>4</v>
      </c>
      <c r="I450">
        <v>2</v>
      </c>
      <c r="J450">
        <v>0.3</v>
      </c>
      <c r="K450">
        <v>0.31819999999999998</v>
      </c>
      <c r="L450">
        <v>0.49</v>
      </c>
      <c r="M450">
        <v>0.1045</v>
      </c>
      <c r="N450">
        <v>8</v>
      </c>
      <c r="O450">
        <v>207</v>
      </c>
      <c r="P450">
        <v>215</v>
      </c>
    </row>
    <row r="451" spans="1:16" x14ac:dyDescent="0.3">
      <c r="A451">
        <v>450</v>
      </c>
      <c r="B451" s="21">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
      <c r="A452">
        <v>451</v>
      </c>
      <c r="B452" s="21">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
      <c r="A453">
        <v>452</v>
      </c>
      <c r="B453" s="21">
        <v>40563</v>
      </c>
      <c r="C453">
        <v>1</v>
      </c>
      <c r="D453">
        <v>0</v>
      </c>
      <c r="E453">
        <v>1</v>
      </c>
      <c r="F453">
        <v>20</v>
      </c>
      <c r="G453" t="b">
        <v>0</v>
      </c>
      <c r="H453">
        <v>4</v>
      </c>
      <c r="I453">
        <v>2</v>
      </c>
      <c r="J453">
        <v>0.26</v>
      </c>
      <c r="K453">
        <v>0.2424</v>
      </c>
      <c r="L453">
        <v>0.6</v>
      </c>
      <c r="M453">
        <v>0.28360000000000002</v>
      </c>
      <c r="N453">
        <v>2</v>
      </c>
      <c r="O453">
        <v>124</v>
      </c>
      <c r="P453">
        <v>126</v>
      </c>
    </row>
    <row r="454" spans="1:16" x14ac:dyDescent="0.3">
      <c r="A454">
        <v>453</v>
      </c>
      <c r="B454" s="21">
        <v>40563</v>
      </c>
      <c r="C454">
        <v>1</v>
      </c>
      <c r="D454">
        <v>0</v>
      </c>
      <c r="E454">
        <v>1</v>
      </c>
      <c r="F454">
        <v>21</v>
      </c>
      <c r="G454" t="b">
        <v>0</v>
      </c>
      <c r="H454">
        <v>4</v>
      </c>
      <c r="I454">
        <v>2</v>
      </c>
      <c r="J454">
        <v>0.24</v>
      </c>
      <c r="K454">
        <v>0.2273</v>
      </c>
      <c r="L454">
        <v>0.6</v>
      </c>
      <c r="M454">
        <v>0.25369999999999998</v>
      </c>
      <c r="N454">
        <v>3</v>
      </c>
      <c r="O454">
        <v>54</v>
      </c>
      <c r="P454">
        <v>57</v>
      </c>
    </row>
    <row r="455" spans="1:16" x14ac:dyDescent="0.3">
      <c r="A455">
        <v>454</v>
      </c>
      <c r="B455" s="21">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
      <c r="A456">
        <v>455</v>
      </c>
      <c r="B456" s="21">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
      <c r="A457">
        <v>456</v>
      </c>
      <c r="B457" s="21">
        <v>40564</v>
      </c>
      <c r="C457">
        <v>1</v>
      </c>
      <c r="D457">
        <v>0</v>
      </c>
      <c r="E457">
        <v>1</v>
      </c>
      <c r="F457">
        <v>0</v>
      </c>
      <c r="G457" t="b">
        <v>0</v>
      </c>
      <c r="H457">
        <v>5</v>
      </c>
      <c r="I457">
        <v>2</v>
      </c>
      <c r="J457">
        <v>0.24</v>
      </c>
      <c r="K457">
        <v>0.2273</v>
      </c>
      <c r="L457">
        <v>0.7</v>
      </c>
      <c r="M457">
        <v>0.25369999999999998</v>
      </c>
      <c r="N457">
        <v>1</v>
      </c>
      <c r="O457">
        <v>20</v>
      </c>
      <c r="P457">
        <v>21</v>
      </c>
    </row>
    <row r="458" spans="1:16" x14ac:dyDescent="0.3">
      <c r="A458">
        <v>457</v>
      </c>
      <c r="B458" s="21">
        <v>40564</v>
      </c>
      <c r="C458">
        <v>1</v>
      </c>
      <c r="D458">
        <v>0</v>
      </c>
      <c r="E458">
        <v>1</v>
      </c>
      <c r="F458">
        <v>1</v>
      </c>
      <c r="G458" t="b">
        <v>0</v>
      </c>
      <c r="H458">
        <v>5</v>
      </c>
      <c r="I458">
        <v>2</v>
      </c>
      <c r="J458">
        <v>0.24</v>
      </c>
      <c r="K458">
        <v>0.2273</v>
      </c>
      <c r="L458">
        <v>0.7</v>
      </c>
      <c r="M458">
        <v>0.25369999999999998</v>
      </c>
      <c r="N458">
        <v>0</v>
      </c>
      <c r="O458">
        <v>6</v>
      </c>
      <c r="P458">
        <v>6</v>
      </c>
    </row>
    <row r="459" spans="1:16" x14ac:dyDescent="0.3">
      <c r="A459">
        <v>458</v>
      </c>
      <c r="B459" s="21">
        <v>40564</v>
      </c>
      <c r="C459">
        <v>1</v>
      </c>
      <c r="D459">
        <v>0</v>
      </c>
      <c r="E459">
        <v>1</v>
      </c>
      <c r="F459">
        <v>2</v>
      </c>
      <c r="G459" t="b">
        <v>0</v>
      </c>
      <c r="H459">
        <v>5</v>
      </c>
      <c r="I459">
        <v>3</v>
      </c>
      <c r="J459">
        <v>0.24</v>
      </c>
      <c r="K459">
        <v>0.2424</v>
      </c>
      <c r="L459">
        <v>0.75</v>
      </c>
      <c r="M459">
        <v>0.16420000000000001</v>
      </c>
      <c r="N459">
        <v>0</v>
      </c>
      <c r="O459">
        <v>2</v>
      </c>
      <c r="P459">
        <v>2</v>
      </c>
    </row>
    <row r="460" spans="1:16" x14ac:dyDescent="0.3">
      <c r="A460">
        <v>459</v>
      </c>
      <c r="B460" s="21">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
      <c r="A461">
        <v>460</v>
      </c>
      <c r="B461" s="21">
        <v>40564</v>
      </c>
      <c r="C461">
        <v>1</v>
      </c>
      <c r="D461">
        <v>0</v>
      </c>
      <c r="E461">
        <v>1</v>
      </c>
      <c r="F461">
        <v>4</v>
      </c>
      <c r="G461" t="b">
        <v>0</v>
      </c>
      <c r="H461">
        <v>5</v>
      </c>
      <c r="I461">
        <v>2</v>
      </c>
      <c r="J461">
        <v>0.22</v>
      </c>
      <c r="K461">
        <v>0.2576</v>
      </c>
      <c r="L461">
        <v>0.87</v>
      </c>
      <c r="M461">
        <v>8.9599999999999999E-2</v>
      </c>
      <c r="N461">
        <v>0</v>
      </c>
      <c r="O461">
        <v>1</v>
      </c>
      <c r="P461">
        <v>1</v>
      </c>
    </row>
    <row r="462" spans="1:16" x14ac:dyDescent="0.3">
      <c r="A462">
        <v>461</v>
      </c>
      <c r="B462" s="21">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
      <c r="A463">
        <v>462</v>
      </c>
      <c r="B463" s="2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
      <c r="A464">
        <v>463</v>
      </c>
      <c r="B464" s="21">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
      <c r="A465">
        <v>464</v>
      </c>
      <c r="B465" s="21">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
      <c r="A466">
        <v>465</v>
      </c>
      <c r="B466" s="21">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
      <c r="A467">
        <v>466</v>
      </c>
      <c r="B467" s="21">
        <v>40564</v>
      </c>
      <c r="C467">
        <v>1</v>
      </c>
      <c r="D467">
        <v>0</v>
      </c>
      <c r="E467">
        <v>1</v>
      </c>
      <c r="F467">
        <v>10</v>
      </c>
      <c r="G467" t="b">
        <v>0</v>
      </c>
      <c r="H467">
        <v>5</v>
      </c>
      <c r="I467">
        <v>1</v>
      </c>
      <c r="J467">
        <v>0.2</v>
      </c>
      <c r="K467">
        <v>0.16669999999999999</v>
      </c>
      <c r="L467">
        <v>0.47</v>
      </c>
      <c r="M467">
        <v>0.4627</v>
      </c>
      <c r="N467">
        <v>6</v>
      </c>
      <c r="O467">
        <v>57</v>
      </c>
      <c r="P467">
        <v>63</v>
      </c>
    </row>
    <row r="468" spans="1:16" x14ac:dyDescent="0.3">
      <c r="A468">
        <v>467</v>
      </c>
      <c r="B468" s="21">
        <v>40564</v>
      </c>
      <c r="C468">
        <v>1</v>
      </c>
      <c r="D468">
        <v>0</v>
      </c>
      <c r="E468">
        <v>1</v>
      </c>
      <c r="F468">
        <v>11</v>
      </c>
      <c r="G468" t="b">
        <v>0</v>
      </c>
      <c r="H468">
        <v>5</v>
      </c>
      <c r="I468">
        <v>1</v>
      </c>
      <c r="J468">
        <v>0.22</v>
      </c>
      <c r="K468">
        <v>0.18179999999999999</v>
      </c>
      <c r="L468">
        <v>0.41</v>
      </c>
      <c r="M468">
        <v>0.4627</v>
      </c>
      <c r="N468">
        <v>6</v>
      </c>
      <c r="O468">
        <v>53</v>
      </c>
      <c r="P468">
        <v>59</v>
      </c>
    </row>
    <row r="469" spans="1:16" x14ac:dyDescent="0.3">
      <c r="A469">
        <v>468</v>
      </c>
      <c r="B469" s="21">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
      <c r="A470">
        <v>469</v>
      </c>
      <c r="B470" s="21">
        <v>40564</v>
      </c>
      <c r="C470">
        <v>1</v>
      </c>
      <c r="D470">
        <v>0</v>
      </c>
      <c r="E470">
        <v>1</v>
      </c>
      <c r="F470">
        <v>13</v>
      </c>
      <c r="G470" t="b">
        <v>0</v>
      </c>
      <c r="H470">
        <v>5</v>
      </c>
      <c r="I470">
        <v>1</v>
      </c>
      <c r="J470">
        <v>0.2</v>
      </c>
      <c r="K470">
        <v>0.1515</v>
      </c>
      <c r="L470">
        <v>0.21</v>
      </c>
      <c r="M470">
        <v>0.58209999999999995</v>
      </c>
      <c r="N470">
        <v>8</v>
      </c>
      <c r="O470">
        <v>65</v>
      </c>
      <c r="P470">
        <v>73</v>
      </c>
    </row>
    <row r="471" spans="1:16" x14ac:dyDescent="0.3">
      <c r="A471">
        <v>470</v>
      </c>
      <c r="B471" s="21">
        <v>40564</v>
      </c>
      <c r="C471">
        <v>1</v>
      </c>
      <c r="D471">
        <v>0</v>
      </c>
      <c r="E471">
        <v>1</v>
      </c>
      <c r="F471">
        <v>14</v>
      </c>
      <c r="G471" t="b">
        <v>0</v>
      </c>
      <c r="H471">
        <v>5</v>
      </c>
      <c r="I471">
        <v>1</v>
      </c>
      <c r="J471">
        <v>0.2</v>
      </c>
      <c r="K471">
        <v>0.1515</v>
      </c>
      <c r="L471">
        <v>0.25</v>
      </c>
      <c r="M471">
        <v>0.52239999999999998</v>
      </c>
      <c r="N471">
        <v>6</v>
      </c>
      <c r="O471">
        <v>56</v>
      </c>
      <c r="P471">
        <v>62</v>
      </c>
    </row>
    <row r="472" spans="1:16" x14ac:dyDescent="0.3">
      <c r="A472">
        <v>471</v>
      </c>
      <c r="B472" s="21">
        <v>40564</v>
      </c>
      <c r="C472">
        <v>1</v>
      </c>
      <c r="D472">
        <v>0</v>
      </c>
      <c r="E472">
        <v>1</v>
      </c>
      <c r="F472">
        <v>15</v>
      </c>
      <c r="G472" t="b">
        <v>0</v>
      </c>
      <c r="H472">
        <v>5</v>
      </c>
      <c r="I472">
        <v>1</v>
      </c>
      <c r="J472">
        <v>0.16</v>
      </c>
      <c r="K472">
        <v>0.1212</v>
      </c>
      <c r="L472">
        <v>0.26</v>
      </c>
      <c r="M472">
        <v>0.44779999999999998</v>
      </c>
      <c r="N472">
        <v>4</v>
      </c>
      <c r="O472">
        <v>61</v>
      </c>
      <c r="P472">
        <v>65</v>
      </c>
    </row>
    <row r="473" spans="1:16" x14ac:dyDescent="0.3">
      <c r="A473">
        <v>472</v>
      </c>
      <c r="B473" s="21">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
      <c r="A474">
        <v>473</v>
      </c>
      <c r="B474" s="2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
      <c r="A475">
        <v>474</v>
      </c>
      <c r="B475" s="21">
        <v>40564</v>
      </c>
      <c r="C475">
        <v>1</v>
      </c>
      <c r="D475">
        <v>0</v>
      </c>
      <c r="E475">
        <v>1</v>
      </c>
      <c r="F475">
        <v>18</v>
      </c>
      <c r="G475" t="b">
        <v>0</v>
      </c>
      <c r="H475">
        <v>5</v>
      </c>
      <c r="I475">
        <v>1</v>
      </c>
      <c r="J475">
        <v>0.12</v>
      </c>
      <c r="K475">
        <v>0.1212</v>
      </c>
      <c r="L475">
        <v>0.3</v>
      </c>
      <c r="M475">
        <v>0.25369999999999998</v>
      </c>
      <c r="N475">
        <v>1</v>
      </c>
      <c r="O475">
        <v>119</v>
      </c>
      <c r="P475">
        <v>120</v>
      </c>
    </row>
    <row r="476" spans="1:16" x14ac:dyDescent="0.3">
      <c r="A476">
        <v>475</v>
      </c>
      <c r="B476" s="21">
        <v>40564</v>
      </c>
      <c r="C476">
        <v>1</v>
      </c>
      <c r="D476">
        <v>0</v>
      </c>
      <c r="E476">
        <v>1</v>
      </c>
      <c r="F476">
        <v>19</v>
      </c>
      <c r="G476" t="b">
        <v>0</v>
      </c>
      <c r="H476">
        <v>5</v>
      </c>
      <c r="I476">
        <v>1</v>
      </c>
      <c r="J476">
        <v>0.12</v>
      </c>
      <c r="K476">
        <v>0.1061</v>
      </c>
      <c r="L476">
        <v>0.3</v>
      </c>
      <c r="M476">
        <v>0.32840000000000003</v>
      </c>
      <c r="N476">
        <v>3</v>
      </c>
      <c r="O476">
        <v>93</v>
      </c>
      <c r="P476">
        <v>96</v>
      </c>
    </row>
    <row r="477" spans="1:16" x14ac:dyDescent="0.3">
      <c r="A477">
        <v>476</v>
      </c>
      <c r="B477" s="21">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
      <c r="A478">
        <v>477</v>
      </c>
      <c r="B478" s="21">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
      <c r="A479">
        <v>478</v>
      </c>
      <c r="B479" s="21">
        <v>40564</v>
      </c>
      <c r="C479">
        <v>1</v>
      </c>
      <c r="D479">
        <v>0</v>
      </c>
      <c r="E479">
        <v>1</v>
      </c>
      <c r="F479">
        <v>22</v>
      </c>
      <c r="G479" t="b">
        <v>0</v>
      </c>
      <c r="H479">
        <v>5</v>
      </c>
      <c r="I479">
        <v>1</v>
      </c>
      <c r="J479">
        <v>0.06</v>
      </c>
      <c r="K479">
        <v>3.0300000000000001E-2</v>
      </c>
      <c r="L479">
        <v>0.41</v>
      </c>
      <c r="M479">
        <v>0.3881</v>
      </c>
      <c r="N479">
        <v>1</v>
      </c>
      <c r="O479">
        <v>33</v>
      </c>
      <c r="P479">
        <v>34</v>
      </c>
    </row>
    <row r="480" spans="1:16" x14ac:dyDescent="0.3">
      <c r="A480">
        <v>479</v>
      </c>
      <c r="B480" s="21">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
      <c r="A481">
        <v>480</v>
      </c>
      <c r="B481" s="21">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
      <c r="A482">
        <v>481</v>
      </c>
      <c r="B482" s="21">
        <v>40565</v>
      </c>
      <c r="C482">
        <v>1</v>
      </c>
      <c r="D482">
        <v>0</v>
      </c>
      <c r="E482">
        <v>1</v>
      </c>
      <c r="F482">
        <v>1</v>
      </c>
      <c r="G482" t="b">
        <v>0</v>
      </c>
      <c r="H482">
        <v>6</v>
      </c>
      <c r="I482">
        <v>2</v>
      </c>
      <c r="J482">
        <v>0.04</v>
      </c>
      <c r="K482">
        <v>0</v>
      </c>
      <c r="L482">
        <v>0.41</v>
      </c>
      <c r="M482">
        <v>0.3881</v>
      </c>
      <c r="N482">
        <v>3</v>
      </c>
      <c r="O482">
        <v>9</v>
      </c>
      <c r="P482">
        <v>12</v>
      </c>
    </row>
    <row r="483" spans="1:16" x14ac:dyDescent="0.3">
      <c r="A483">
        <v>482</v>
      </c>
      <c r="B483" s="2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483</v>
      </c>
      <c r="B484" s="21">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
      <c r="A485">
        <v>484</v>
      </c>
      <c r="B485" s="21">
        <v>40565</v>
      </c>
      <c r="C485">
        <v>1</v>
      </c>
      <c r="D485">
        <v>0</v>
      </c>
      <c r="E485">
        <v>1</v>
      </c>
      <c r="F485">
        <v>4</v>
      </c>
      <c r="G485" t="b">
        <v>0</v>
      </c>
      <c r="H485">
        <v>6</v>
      </c>
      <c r="I485">
        <v>2</v>
      </c>
      <c r="J485">
        <v>0.02</v>
      </c>
      <c r="K485">
        <v>1.52E-2</v>
      </c>
      <c r="L485">
        <v>0.48</v>
      </c>
      <c r="M485">
        <v>0.29849999999999999</v>
      </c>
      <c r="N485">
        <v>0</v>
      </c>
      <c r="O485">
        <v>3</v>
      </c>
      <c r="P485">
        <v>3</v>
      </c>
    </row>
    <row r="486" spans="1:16" x14ac:dyDescent="0.3">
      <c r="A486">
        <v>485</v>
      </c>
      <c r="B486" s="21">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
      <c r="A487">
        <v>486</v>
      </c>
      <c r="B487" s="21">
        <v>40565</v>
      </c>
      <c r="C487">
        <v>1</v>
      </c>
      <c r="D487">
        <v>0</v>
      </c>
      <c r="E487">
        <v>1</v>
      </c>
      <c r="F487">
        <v>7</v>
      </c>
      <c r="G487" t="b">
        <v>0</v>
      </c>
      <c r="H487">
        <v>6</v>
      </c>
      <c r="I487">
        <v>1</v>
      </c>
      <c r="J487">
        <v>0.02</v>
      </c>
      <c r="K487">
        <v>1.52E-2</v>
      </c>
      <c r="L487">
        <v>0.44</v>
      </c>
      <c r="M487">
        <v>0.28360000000000002</v>
      </c>
      <c r="N487">
        <v>0</v>
      </c>
      <c r="O487">
        <v>8</v>
      </c>
      <c r="P487">
        <v>8</v>
      </c>
    </row>
    <row r="488" spans="1:16" x14ac:dyDescent="0.3">
      <c r="A488">
        <v>487</v>
      </c>
      <c r="B488" s="21">
        <v>40565</v>
      </c>
      <c r="C488">
        <v>1</v>
      </c>
      <c r="D488">
        <v>0</v>
      </c>
      <c r="E488">
        <v>1</v>
      </c>
      <c r="F488">
        <v>8</v>
      </c>
      <c r="G488" t="b">
        <v>0</v>
      </c>
      <c r="H488">
        <v>6</v>
      </c>
      <c r="I488">
        <v>1</v>
      </c>
      <c r="J488">
        <v>0.02</v>
      </c>
      <c r="K488">
        <v>0</v>
      </c>
      <c r="L488">
        <v>0.44</v>
      </c>
      <c r="M488">
        <v>0.32840000000000003</v>
      </c>
      <c r="N488">
        <v>1</v>
      </c>
      <c r="O488">
        <v>26</v>
      </c>
      <c r="P488">
        <v>27</v>
      </c>
    </row>
    <row r="489" spans="1:16" x14ac:dyDescent="0.3">
      <c r="A489">
        <v>488</v>
      </c>
      <c r="B489" s="21">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
      <c r="A490">
        <v>489</v>
      </c>
      <c r="B490" s="21">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
      <c r="A491">
        <v>490</v>
      </c>
      <c r="B491" s="21">
        <v>40565</v>
      </c>
      <c r="C491">
        <v>1</v>
      </c>
      <c r="D491">
        <v>0</v>
      </c>
      <c r="E491">
        <v>1</v>
      </c>
      <c r="F491">
        <v>11</v>
      </c>
      <c r="G491" t="b">
        <v>0</v>
      </c>
      <c r="H491">
        <v>6</v>
      </c>
      <c r="I491">
        <v>2</v>
      </c>
      <c r="J491">
        <v>0.06</v>
      </c>
      <c r="K491">
        <v>7.5800000000000006E-2</v>
      </c>
      <c r="L491">
        <v>0.38</v>
      </c>
      <c r="M491">
        <v>0.1343</v>
      </c>
      <c r="N491">
        <v>4</v>
      </c>
      <c r="O491">
        <v>59</v>
      </c>
      <c r="P491">
        <v>63</v>
      </c>
    </row>
    <row r="492" spans="1:16" x14ac:dyDescent="0.3">
      <c r="A492">
        <v>491</v>
      </c>
      <c r="B492" s="21">
        <v>40565</v>
      </c>
      <c r="C492">
        <v>1</v>
      </c>
      <c r="D492">
        <v>0</v>
      </c>
      <c r="E492">
        <v>1</v>
      </c>
      <c r="F492">
        <v>12</v>
      </c>
      <c r="G492" t="b">
        <v>0</v>
      </c>
      <c r="H492">
        <v>6</v>
      </c>
      <c r="I492">
        <v>2</v>
      </c>
      <c r="J492">
        <v>0.06</v>
      </c>
      <c r="K492">
        <v>0.1061</v>
      </c>
      <c r="L492">
        <v>0.38</v>
      </c>
      <c r="M492">
        <v>0.1045</v>
      </c>
      <c r="N492">
        <v>10</v>
      </c>
      <c r="O492">
        <v>60</v>
      </c>
      <c r="P492">
        <v>70</v>
      </c>
    </row>
    <row r="493" spans="1:16" x14ac:dyDescent="0.3">
      <c r="A493">
        <v>492</v>
      </c>
      <c r="B493" s="21">
        <v>40565</v>
      </c>
      <c r="C493">
        <v>1</v>
      </c>
      <c r="D493">
        <v>0</v>
      </c>
      <c r="E493">
        <v>1</v>
      </c>
      <c r="F493">
        <v>13</v>
      </c>
      <c r="G493" t="b">
        <v>0</v>
      </c>
      <c r="H493">
        <v>6</v>
      </c>
      <c r="I493">
        <v>1</v>
      </c>
      <c r="J493">
        <v>0.08</v>
      </c>
      <c r="K493">
        <v>0.16669999999999999</v>
      </c>
      <c r="L493">
        <v>0.35</v>
      </c>
      <c r="M493">
        <v>0</v>
      </c>
      <c r="N493">
        <v>12</v>
      </c>
      <c r="O493">
        <v>72</v>
      </c>
      <c r="P493">
        <v>84</v>
      </c>
    </row>
    <row r="494" spans="1:16" x14ac:dyDescent="0.3">
      <c r="A494">
        <v>493</v>
      </c>
      <c r="B494" s="21">
        <v>40565</v>
      </c>
      <c r="C494">
        <v>1</v>
      </c>
      <c r="D494">
        <v>0</v>
      </c>
      <c r="E494">
        <v>1</v>
      </c>
      <c r="F494">
        <v>14</v>
      </c>
      <c r="G494" t="b">
        <v>0</v>
      </c>
      <c r="H494">
        <v>6</v>
      </c>
      <c r="I494">
        <v>1</v>
      </c>
      <c r="J494">
        <v>0.1</v>
      </c>
      <c r="K494">
        <v>0.13639999999999999</v>
      </c>
      <c r="L494">
        <v>0.33</v>
      </c>
      <c r="M494">
        <v>0.1045</v>
      </c>
      <c r="N494">
        <v>11</v>
      </c>
      <c r="O494">
        <v>64</v>
      </c>
      <c r="P494">
        <v>75</v>
      </c>
    </row>
    <row r="495" spans="1:16" x14ac:dyDescent="0.3">
      <c r="A495">
        <v>494</v>
      </c>
      <c r="B495" s="21">
        <v>40565</v>
      </c>
      <c r="C495">
        <v>1</v>
      </c>
      <c r="D495">
        <v>0</v>
      </c>
      <c r="E495">
        <v>1</v>
      </c>
      <c r="F495">
        <v>15</v>
      </c>
      <c r="G495" t="b">
        <v>0</v>
      </c>
      <c r="H495">
        <v>6</v>
      </c>
      <c r="I495">
        <v>1</v>
      </c>
      <c r="J495">
        <v>0.12</v>
      </c>
      <c r="K495">
        <v>0.1515</v>
      </c>
      <c r="L495">
        <v>0.28000000000000003</v>
      </c>
      <c r="M495">
        <v>0</v>
      </c>
      <c r="N495">
        <v>10</v>
      </c>
      <c r="O495">
        <v>93</v>
      </c>
      <c r="P495">
        <v>103</v>
      </c>
    </row>
    <row r="496" spans="1:16" x14ac:dyDescent="0.3">
      <c r="A496">
        <v>495</v>
      </c>
      <c r="B496" s="2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
      <c r="A497">
        <v>496</v>
      </c>
      <c r="B497" s="21">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
      <c r="A498">
        <v>497</v>
      </c>
      <c r="B498" s="21">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
      <c r="A499">
        <v>498</v>
      </c>
      <c r="B499" s="21">
        <v>40565</v>
      </c>
      <c r="C499">
        <v>1</v>
      </c>
      <c r="D499">
        <v>0</v>
      </c>
      <c r="E499">
        <v>1</v>
      </c>
      <c r="F499">
        <v>19</v>
      </c>
      <c r="G499" t="b">
        <v>0</v>
      </c>
      <c r="H499">
        <v>6</v>
      </c>
      <c r="I499">
        <v>1</v>
      </c>
      <c r="J499">
        <v>0.08</v>
      </c>
      <c r="K499">
        <v>0.1061</v>
      </c>
      <c r="L499">
        <v>0.35</v>
      </c>
      <c r="M499">
        <v>0.1343</v>
      </c>
      <c r="N499">
        <v>6</v>
      </c>
      <c r="O499">
        <v>53</v>
      </c>
      <c r="P499">
        <v>59</v>
      </c>
    </row>
    <row r="500" spans="1:16" x14ac:dyDescent="0.3">
      <c r="A500">
        <v>499</v>
      </c>
      <c r="B500" s="21">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
      <c r="A501">
        <v>500</v>
      </c>
      <c r="B501" s="21">
        <v>40565</v>
      </c>
      <c r="C501">
        <v>1</v>
      </c>
      <c r="D501">
        <v>0</v>
      </c>
      <c r="E501">
        <v>1</v>
      </c>
      <c r="F501">
        <v>21</v>
      </c>
      <c r="G501" t="b">
        <v>0</v>
      </c>
      <c r="H501">
        <v>6</v>
      </c>
      <c r="I501">
        <v>1</v>
      </c>
      <c r="J501">
        <v>0.06</v>
      </c>
      <c r="K501">
        <v>0.1061</v>
      </c>
      <c r="L501">
        <v>0.41</v>
      </c>
      <c r="M501">
        <v>8.9599999999999999E-2</v>
      </c>
      <c r="N501">
        <v>0</v>
      </c>
      <c r="O501">
        <v>39</v>
      </c>
      <c r="P501">
        <v>39</v>
      </c>
    </row>
    <row r="502" spans="1:16" x14ac:dyDescent="0.3">
      <c r="A502">
        <v>501</v>
      </c>
      <c r="B502" s="21">
        <v>40565</v>
      </c>
      <c r="C502">
        <v>1</v>
      </c>
      <c r="D502">
        <v>0</v>
      </c>
      <c r="E502">
        <v>1</v>
      </c>
      <c r="F502">
        <v>22</v>
      </c>
      <c r="G502" t="b">
        <v>0</v>
      </c>
      <c r="H502">
        <v>6</v>
      </c>
      <c r="I502">
        <v>1</v>
      </c>
      <c r="J502">
        <v>0.06</v>
      </c>
      <c r="K502">
        <v>0.1515</v>
      </c>
      <c r="L502">
        <v>0.49</v>
      </c>
      <c r="M502">
        <v>0</v>
      </c>
      <c r="N502">
        <v>7</v>
      </c>
      <c r="O502">
        <v>23</v>
      </c>
      <c r="P502">
        <v>30</v>
      </c>
    </row>
    <row r="503" spans="1:16" x14ac:dyDescent="0.3">
      <c r="A503">
        <v>502</v>
      </c>
      <c r="B503" s="21">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
      <c r="A504">
        <v>503</v>
      </c>
      <c r="B504" s="21">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
      <c r="A505">
        <v>504</v>
      </c>
      <c r="B505" s="21">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
      <c r="A506">
        <v>505</v>
      </c>
      <c r="B506" s="21">
        <v>40566</v>
      </c>
      <c r="C506">
        <v>1</v>
      </c>
      <c r="D506">
        <v>0</v>
      </c>
      <c r="E506">
        <v>1</v>
      </c>
      <c r="F506">
        <v>2</v>
      </c>
      <c r="G506" t="b">
        <v>0</v>
      </c>
      <c r="H506">
        <v>0</v>
      </c>
      <c r="I506">
        <v>1</v>
      </c>
      <c r="J506">
        <v>0.02</v>
      </c>
      <c r="K506">
        <v>6.0600000000000001E-2</v>
      </c>
      <c r="L506">
        <v>0.62</v>
      </c>
      <c r="M506">
        <v>0.1343</v>
      </c>
      <c r="N506">
        <v>3</v>
      </c>
      <c r="O506">
        <v>15</v>
      </c>
      <c r="P506">
        <v>18</v>
      </c>
    </row>
    <row r="507" spans="1:16" x14ac:dyDescent="0.3">
      <c r="A507">
        <v>506</v>
      </c>
      <c r="B507" s="21">
        <v>40566</v>
      </c>
      <c r="C507">
        <v>1</v>
      </c>
      <c r="D507">
        <v>0</v>
      </c>
      <c r="E507">
        <v>1</v>
      </c>
      <c r="F507">
        <v>3</v>
      </c>
      <c r="G507" t="b">
        <v>0</v>
      </c>
      <c r="H507">
        <v>0</v>
      </c>
      <c r="I507">
        <v>1</v>
      </c>
      <c r="J507">
        <v>0.02</v>
      </c>
      <c r="K507">
        <v>6.0600000000000001E-2</v>
      </c>
      <c r="L507">
        <v>0.62</v>
      </c>
      <c r="M507">
        <v>0.1343</v>
      </c>
      <c r="N507">
        <v>1</v>
      </c>
      <c r="O507">
        <v>4</v>
      </c>
      <c r="P507">
        <v>5</v>
      </c>
    </row>
    <row r="508" spans="1:16" x14ac:dyDescent="0.3">
      <c r="A508">
        <v>507</v>
      </c>
      <c r="B508" s="21">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
      <c r="A509">
        <v>508</v>
      </c>
      <c r="B509" s="21">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
      <c r="A510">
        <v>509</v>
      </c>
      <c r="B510" s="21">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
      <c r="A511">
        <v>510</v>
      </c>
      <c r="B511" s="21">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
      <c r="A512">
        <v>511</v>
      </c>
      <c r="B512" s="21">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
      <c r="A513">
        <v>512</v>
      </c>
      <c r="B513" s="21">
        <v>40566</v>
      </c>
      <c r="C513">
        <v>1</v>
      </c>
      <c r="D513">
        <v>0</v>
      </c>
      <c r="E513">
        <v>1</v>
      </c>
      <c r="F513">
        <v>10</v>
      </c>
      <c r="G513" t="b">
        <v>0</v>
      </c>
      <c r="H513">
        <v>0</v>
      </c>
      <c r="I513">
        <v>1</v>
      </c>
      <c r="J513">
        <v>0.14000000000000001</v>
      </c>
      <c r="K513">
        <v>0.1061</v>
      </c>
      <c r="L513">
        <v>0.46</v>
      </c>
      <c r="M513">
        <v>0.3881</v>
      </c>
      <c r="N513">
        <v>7</v>
      </c>
      <c r="O513">
        <v>51</v>
      </c>
      <c r="P513">
        <v>58</v>
      </c>
    </row>
    <row r="514" spans="1:16" x14ac:dyDescent="0.3">
      <c r="A514">
        <v>513</v>
      </c>
      <c r="B514" s="2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
      <c r="A515">
        <v>514</v>
      </c>
      <c r="B515" s="21">
        <v>40566</v>
      </c>
      <c r="C515">
        <v>1</v>
      </c>
      <c r="D515">
        <v>0</v>
      </c>
      <c r="E515">
        <v>1</v>
      </c>
      <c r="F515">
        <v>12</v>
      </c>
      <c r="G515" t="b">
        <v>0</v>
      </c>
      <c r="H515">
        <v>0</v>
      </c>
      <c r="I515">
        <v>1</v>
      </c>
      <c r="J515">
        <v>0.16</v>
      </c>
      <c r="K515">
        <v>0.1212</v>
      </c>
      <c r="L515">
        <v>0.37</v>
      </c>
      <c r="M515">
        <v>0.4627</v>
      </c>
      <c r="N515">
        <v>24</v>
      </c>
      <c r="O515">
        <v>92</v>
      </c>
      <c r="P515">
        <v>116</v>
      </c>
    </row>
    <row r="516" spans="1:16" x14ac:dyDescent="0.3">
      <c r="A516">
        <v>515</v>
      </c>
      <c r="B516" s="21">
        <v>40566</v>
      </c>
      <c r="C516">
        <v>1</v>
      </c>
      <c r="D516">
        <v>0</v>
      </c>
      <c r="E516">
        <v>1</v>
      </c>
      <c r="F516">
        <v>13</v>
      </c>
      <c r="G516" t="b">
        <v>0</v>
      </c>
      <c r="H516">
        <v>0</v>
      </c>
      <c r="I516">
        <v>1</v>
      </c>
      <c r="J516">
        <v>0.14000000000000001</v>
      </c>
      <c r="K516">
        <v>0.1061</v>
      </c>
      <c r="L516">
        <v>0.33</v>
      </c>
      <c r="M516">
        <v>0.3881</v>
      </c>
      <c r="N516">
        <v>12</v>
      </c>
      <c r="O516">
        <v>75</v>
      </c>
      <c r="P516">
        <v>87</v>
      </c>
    </row>
    <row r="517" spans="1:16" x14ac:dyDescent="0.3">
      <c r="A517">
        <v>516</v>
      </c>
      <c r="B517" s="2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
      <c r="A518">
        <v>517</v>
      </c>
      <c r="B518" s="2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
      <c r="A519">
        <v>518</v>
      </c>
      <c r="B519" s="21">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
      <c r="A520">
        <v>519</v>
      </c>
      <c r="B520" s="21">
        <v>40566</v>
      </c>
      <c r="C520">
        <v>1</v>
      </c>
      <c r="D520">
        <v>0</v>
      </c>
      <c r="E520">
        <v>1</v>
      </c>
      <c r="F520">
        <v>17</v>
      </c>
      <c r="G520" t="b">
        <v>0</v>
      </c>
      <c r="H520">
        <v>0</v>
      </c>
      <c r="I520">
        <v>1</v>
      </c>
      <c r="J520">
        <v>0.14000000000000001</v>
      </c>
      <c r="K520">
        <v>0.1061</v>
      </c>
      <c r="L520">
        <v>0.26</v>
      </c>
      <c r="M520">
        <v>0.3881</v>
      </c>
      <c r="N520">
        <v>5</v>
      </c>
      <c r="O520">
        <v>50</v>
      </c>
      <c r="P520">
        <v>55</v>
      </c>
    </row>
    <row r="521" spans="1:16" x14ac:dyDescent="0.3">
      <c r="A521">
        <v>520</v>
      </c>
      <c r="B521" s="21">
        <v>40566</v>
      </c>
      <c r="C521">
        <v>1</v>
      </c>
      <c r="D521">
        <v>0</v>
      </c>
      <c r="E521">
        <v>1</v>
      </c>
      <c r="F521">
        <v>18</v>
      </c>
      <c r="G521" t="b">
        <v>0</v>
      </c>
      <c r="H521">
        <v>0</v>
      </c>
      <c r="I521">
        <v>1</v>
      </c>
      <c r="J521">
        <v>0.12</v>
      </c>
      <c r="K521">
        <v>0.1212</v>
      </c>
      <c r="L521">
        <v>0.3</v>
      </c>
      <c r="M521">
        <v>0.25369999999999998</v>
      </c>
      <c r="N521">
        <v>5</v>
      </c>
      <c r="O521">
        <v>44</v>
      </c>
      <c r="P521">
        <v>49</v>
      </c>
    </row>
    <row r="522" spans="1:16" x14ac:dyDescent="0.3">
      <c r="A522">
        <v>521</v>
      </c>
      <c r="B522" s="21">
        <v>40566</v>
      </c>
      <c r="C522">
        <v>1</v>
      </c>
      <c r="D522">
        <v>0</v>
      </c>
      <c r="E522">
        <v>1</v>
      </c>
      <c r="F522">
        <v>19</v>
      </c>
      <c r="G522" t="b">
        <v>0</v>
      </c>
      <c r="H522">
        <v>0</v>
      </c>
      <c r="I522">
        <v>1</v>
      </c>
      <c r="J522">
        <v>0.12</v>
      </c>
      <c r="K522">
        <v>0.1212</v>
      </c>
      <c r="L522">
        <v>0.3</v>
      </c>
      <c r="M522">
        <v>0.28360000000000002</v>
      </c>
      <c r="N522">
        <v>5</v>
      </c>
      <c r="O522">
        <v>45</v>
      </c>
      <c r="P522">
        <v>50</v>
      </c>
    </row>
    <row r="523" spans="1:16" x14ac:dyDescent="0.3">
      <c r="A523">
        <v>522</v>
      </c>
      <c r="B523" s="21">
        <v>40566</v>
      </c>
      <c r="C523">
        <v>1</v>
      </c>
      <c r="D523">
        <v>0</v>
      </c>
      <c r="E523">
        <v>1</v>
      </c>
      <c r="F523">
        <v>20</v>
      </c>
      <c r="G523" t="b">
        <v>0</v>
      </c>
      <c r="H523">
        <v>0</v>
      </c>
      <c r="I523">
        <v>1</v>
      </c>
      <c r="J523">
        <v>0.1</v>
      </c>
      <c r="K523">
        <v>0.1061</v>
      </c>
      <c r="L523">
        <v>0.36</v>
      </c>
      <c r="M523">
        <v>0.25369999999999998</v>
      </c>
      <c r="N523">
        <v>4</v>
      </c>
      <c r="O523">
        <v>31</v>
      </c>
      <c r="P523">
        <v>35</v>
      </c>
    </row>
    <row r="524" spans="1:16" x14ac:dyDescent="0.3">
      <c r="A524">
        <v>523</v>
      </c>
      <c r="B524" s="21">
        <v>40566</v>
      </c>
      <c r="C524">
        <v>1</v>
      </c>
      <c r="D524">
        <v>0</v>
      </c>
      <c r="E524">
        <v>1</v>
      </c>
      <c r="F524">
        <v>21</v>
      </c>
      <c r="G524" t="b">
        <v>0</v>
      </c>
      <c r="H524">
        <v>0</v>
      </c>
      <c r="I524">
        <v>1</v>
      </c>
      <c r="J524">
        <v>0.1</v>
      </c>
      <c r="K524">
        <v>0.1061</v>
      </c>
      <c r="L524">
        <v>0.36</v>
      </c>
      <c r="M524">
        <v>0.19400000000000001</v>
      </c>
      <c r="N524">
        <v>5</v>
      </c>
      <c r="O524">
        <v>20</v>
      </c>
      <c r="P524">
        <v>25</v>
      </c>
    </row>
    <row r="525" spans="1:16" x14ac:dyDescent="0.3">
      <c r="A525">
        <v>524</v>
      </c>
      <c r="B525" s="21">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
      <c r="A526">
        <v>525</v>
      </c>
      <c r="B526" s="21">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
      <c r="A527">
        <v>526</v>
      </c>
      <c r="B527" s="21">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
      <c r="A528">
        <v>527</v>
      </c>
      <c r="B528" s="21">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
      <c r="A529">
        <v>528</v>
      </c>
      <c r="B529" s="21">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
      <c r="A530">
        <v>529</v>
      </c>
      <c r="B530" s="21">
        <v>40567</v>
      </c>
      <c r="C530">
        <v>1</v>
      </c>
      <c r="D530">
        <v>0</v>
      </c>
      <c r="E530">
        <v>1</v>
      </c>
      <c r="F530">
        <v>4</v>
      </c>
      <c r="G530" t="b">
        <v>0</v>
      </c>
      <c r="H530">
        <v>1</v>
      </c>
      <c r="I530">
        <v>1</v>
      </c>
      <c r="J530">
        <v>0.02</v>
      </c>
      <c r="K530">
        <v>6.0600000000000001E-2</v>
      </c>
      <c r="L530">
        <v>0.48</v>
      </c>
      <c r="M530">
        <v>0.1343</v>
      </c>
      <c r="N530">
        <v>0</v>
      </c>
      <c r="O530">
        <v>1</v>
      </c>
      <c r="P530">
        <v>1</v>
      </c>
    </row>
    <row r="531" spans="1:16" x14ac:dyDescent="0.3">
      <c r="A531">
        <v>530</v>
      </c>
      <c r="B531" s="21">
        <v>40567</v>
      </c>
      <c r="C531">
        <v>1</v>
      </c>
      <c r="D531">
        <v>0</v>
      </c>
      <c r="E531">
        <v>1</v>
      </c>
      <c r="F531">
        <v>5</v>
      </c>
      <c r="G531" t="b">
        <v>0</v>
      </c>
      <c r="H531">
        <v>1</v>
      </c>
      <c r="I531">
        <v>1</v>
      </c>
      <c r="J531">
        <v>0.02</v>
      </c>
      <c r="K531">
        <v>6.0600000000000001E-2</v>
      </c>
      <c r="L531">
        <v>0.48</v>
      </c>
      <c r="M531">
        <v>0.1343</v>
      </c>
      <c r="N531">
        <v>0</v>
      </c>
      <c r="O531">
        <v>5</v>
      </c>
      <c r="P531">
        <v>5</v>
      </c>
    </row>
    <row r="532" spans="1:16" x14ac:dyDescent="0.3">
      <c r="A532">
        <v>531</v>
      </c>
      <c r="B532" s="21">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
      <c r="A533">
        <v>532</v>
      </c>
      <c r="B533" s="21">
        <v>40567</v>
      </c>
      <c r="C533">
        <v>1</v>
      </c>
      <c r="D533">
        <v>0</v>
      </c>
      <c r="E533">
        <v>1</v>
      </c>
      <c r="F533">
        <v>7</v>
      </c>
      <c r="G533" t="b">
        <v>0</v>
      </c>
      <c r="H533">
        <v>1</v>
      </c>
      <c r="I533">
        <v>1</v>
      </c>
      <c r="J533">
        <v>0.02</v>
      </c>
      <c r="K533">
        <v>0.1212</v>
      </c>
      <c r="L533">
        <v>0.48</v>
      </c>
      <c r="M533">
        <v>0</v>
      </c>
      <c r="N533">
        <v>5</v>
      </c>
      <c r="O533">
        <v>79</v>
      </c>
      <c r="P533">
        <v>84</v>
      </c>
    </row>
    <row r="534" spans="1:16" x14ac:dyDescent="0.3">
      <c r="A534">
        <v>533</v>
      </c>
      <c r="B534" s="21">
        <v>40567</v>
      </c>
      <c r="C534">
        <v>1</v>
      </c>
      <c r="D534">
        <v>0</v>
      </c>
      <c r="E534">
        <v>1</v>
      </c>
      <c r="F534">
        <v>8</v>
      </c>
      <c r="G534" t="b">
        <v>0</v>
      </c>
      <c r="H534">
        <v>1</v>
      </c>
      <c r="I534">
        <v>1</v>
      </c>
      <c r="J534">
        <v>0.04</v>
      </c>
      <c r="K534">
        <v>0.13639999999999999</v>
      </c>
      <c r="L534">
        <v>0.49</v>
      </c>
      <c r="M534">
        <v>0</v>
      </c>
      <c r="N534">
        <v>6</v>
      </c>
      <c r="O534">
        <v>171</v>
      </c>
      <c r="P534">
        <v>177</v>
      </c>
    </row>
    <row r="535" spans="1:16" x14ac:dyDescent="0.3">
      <c r="A535">
        <v>534</v>
      </c>
      <c r="B535" s="21">
        <v>40567</v>
      </c>
      <c r="C535">
        <v>1</v>
      </c>
      <c r="D535">
        <v>0</v>
      </c>
      <c r="E535">
        <v>1</v>
      </c>
      <c r="F535">
        <v>9</v>
      </c>
      <c r="G535" t="b">
        <v>0</v>
      </c>
      <c r="H535">
        <v>1</v>
      </c>
      <c r="I535">
        <v>1</v>
      </c>
      <c r="J535">
        <v>0.06</v>
      </c>
      <c r="K535">
        <v>0.1515</v>
      </c>
      <c r="L535">
        <v>0.41</v>
      </c>
      <c r="M535">
        <v>0</v>
      </c>
      <c r="N535">
        <v>4</v>
      </c>
      <c r="O535">
        <v>98</v>
      </c>
      <c r="P535">
        <v>102</v>
      </c>
    </row>
    <row r="536" spans="1:16" x14ac:dyDescent="0.3">
      <c r="A536">
        <v>535</v>
      </c>
      <c r="B536" s="21">
        <v>40567</v>
      </c>
      <c r="C536">
        <v>1</v>
      </c>
      <c r="D536">
        <v>0</v>
      </c>
      <c r="E536">
        <v>1</v>
      </c>
      <c r="F536">
        <v>10</v>
      </c>
      <c r="G536" t="b">
        <v>0</v>
      </c>
      <c r="H536">
        <v>1</v>
      </c>
      <c r="I536">
        <v>1</v>
      </c>
      <c r="J536">
        <v>0.1</v>
      </c>
      <c r="K536">
        <v>0.13639999999999999</v>
      </c>
      <c r="L536">
        <v>0.42</v>
      </c>
      <c r="M536">
        <v>0</v>
      </c>
      <c r="N536">
        <v>6</v>
      </c>
      <c r="O536">
        <v>34</v>
      </c>
      <c r="P536">
        <v>40</v>
      </c>
    </row>
    <row r="537" spans="1:16" x14ac:dyDescent="0.3">
      <c r="A537">
        <v>536</v>
      </c>
      <c r="B537" s="21">
        <v>40567</v>
      </c>
      <c r="C537">
        <v>1</v>
      </c>
      <c r="D537">
        <v>0</v>
      </c>
      <c r="E537">
        <v>1</v>
      </c>
      <c r="F537">
        <v>11</v>
      </c>
      <c r="G537" t="b">
        <v>0</v>
      </c>
      <c r="H537">
        <v>1</v>
      </c>
      <c r="I537">
        <v>1</v>
      </c>
      <c r="J537">
        <v>0.1</v>
      </c>
      <c r="K537">
        <v>0.1212</v>
      </c>
      <c r="L537">
        <v>0.46</v>
      </c>
      <c r="M537">
        <v>0.1343</v>
      </c>
      <c r="N537">
        <v>3</v>
      </c>
      <c r="O537">
        <v>43</v>
      </c>
      <c r="P537">
        <v>46</v>
      </c>
    </row>
    <row r="538" spans="1:16" x14ac:dyDescent="0.3">
      <c r="A538">
        <v>537</v>
      </c>
      <c r="B538" s="21">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
      <c r="A539">
        <v>538</v>
      </c>
      <c r="B539" s="2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
      <c r="A540">
        <v>539</v>
      </c>
      <c r="B540" s="2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
      <c r="A541">
        <v>540</v>
      </c>
      <c r="B541" s="21">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
      <c r="A542">
        <v>541</v>
      </c>
      <c r="B542" s="21">
        <v>40567</v>
      </c>
      <c r="C542">
        <v>1</v>
      </c>
      <c r="D542">
        <v>0</v>
      </c>
      <c r="E542">
        <v>1</v>
      </c>
      <c r="F542">
        <v>16</v>
      </c>
      <c r="G542" t="b">
        <v>0</v>
      </c>
      <c r="H542">
        <v>1</v>
      </c>
      <c r="I542">
        <v>1</v>
      </c>
      <c r="J542">
        <v>0.16</v>
      </c>
      <c r="K542">
        <v>0.1515</v>
      </c>
      <c r="L542">
        <v>0.47</v>
      </c>
      <c r="M542">
        <v>0.25369999999999998</v>
      </c>
      <c r="N542">
        <v>4</v>
      </c>
      <c r="O542">
        <v>66</v>
      </c>
      <c r="P542">
        <v>70</v>
      </c>
    </row>
    <row r="543" spans="1:16" x14ac:dyDescent="0.3">
      <c r="A543">
        <v>542</v>
      </c>
      <c r="B543" s="21">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
      <c r="A544">
        <v>543</v>
      </c>
      <c r="B544" s="2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
      <c r="A545">
        <v>544</v>
      </c>
      <c r="B545" s="21">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
      <c r="A546">
        <v>545</v>
      </c>
      <c r="B546" s="2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
      <c r="A547">
        <v>546</v>
      </c>
      <c r="B547" s="21">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
      <c r="A548">
        <v>547</v>
      </c>
      <c r="B548" s="2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
      <c r="A549">
        <v>548</v>
      </c>
      <c r="B549" s="21">
        <v>40567</v>
      </c>
      <c r="C549">
        <v>1</v>
      </c>
      <c r="D549">
        <v>0</v>
      </c>
      <c r="E549">
        <v>1</v>
      </c>
      <c r="F549">
        <v>23</v>
      </c>
      <c r="G549" t="b">
        <v>0</v>
      </c>
      <c r="H549">
        <v>1</v>
      </c>
      <c r="I549">
        <v>2</v>
      </c>
      <c r="J549">
        <v>0.16</v>
      </c>
      <c r="K549">
        <v>0.1515</v>
      </c>
      <c r="L549">
        <v>0.64</v>
      </c>
      <c r="M549">
        <v>0.25369999999999998</v>
      </c>
      <c r="N549">
        <v>3</v>
      </c>
      <c r="O549">
        <v>21</v>
      </c>
      <c r="P549">
        <v>24</v>
      </c>
    </row>
    <row r="550" spans="1:16" x14ac:dyDescent="0.3">
      <c r="A550">
        <v>549</v>
      </c>
      <c r="B550" s="21">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
      <c r="A551">
        <v>550</v>
      </c>
      <c r="B551" s="21">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
      <c r="A552">
        <v>551</v>
      </c>
      <c r="B552" s="21">
        <v>40568</v>
      </c>
      <c r="C552">
        <v>1</v>
      </c>
      <c r="D552">
        <v>0</v>
      </c>
      <c r="E552">
        <v>1</v>
      </c>
      <c r="F552">
        <v>2</v>
      </c>
      <c r="G552" t="b">
        <v>0</v>
      </c>
      <c r="H552">
        <v>2</v>
      </c>
      <c r="I552">
        <v>1</v>
      </c>
      <c r="J552">
        <v>0.16</v>
      </c>
      <c r="K552">
        <v>0.1515</v>
      </c>
      <c r="L552">
        <v>0.69</v>
      </c>
      <c r="M552">
        <v>0.22389999999999999</v>
      </c>
      <c r="N552">
        <v>0</v>
      </c>
      <c r="O552">
        <v>2</v>
      </c>
      <c r="P552">
        <v>2</v>
      </c>
    </row>
    <row r="553" spans="1:16" x14ac:dyDescent="0.3">
      <c r="A553">
        <v>552</v>
      </c>
      <c r="B553" s="21">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
      <c r="A554">
        <v>553</v>
      </c>
      <c r="B554" s="2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
      <c r="A555">
        <v>554</v>
      </c>
      <c r="B555" s="21">
        <v>40568</v>
      </c>
      <c r="C555">
        <v>1</v>
      </c>
      <c r="D555">
        <v>0</v>
      </c>
      <c r="E555">
        <v>1</v>
      </c>
      <c r="F555">
        <v>6</v>
      </c>
      <c r="G555" t="b">
        <v>0</v>
      </c>
      <c r="H555">
        <v>2</v>
      </c>
      <c r="I555">
        <v>1</v>
      </c>
      <c r="J555">
        <v>0.16</v>
      </c>
      <c r="K555">
        <v>0.18179999999999999</v>
      </c>
      <c r="L555">
        <v>0.74</v>
      </c>
      <c r="M555">
        <v>0.1045</v>
      </c>
      <c r="N555">
        <v>1</v>
      </c>
      <c r="O555">
        <v>35</v>
      </c>
      <c r="P555">
        <v>36</v>
      </c>
    </row>
    <row r="556" spans="1:16" x14ac:dyDescent="0.3">
      <c r="A556">
        <v>555</v>
      </c>
      <c r="B556" s="21">
        <v>40568</v>
      </c>
      <c r="C556">
        <v>1</v>
      </c>
      <c r="D556">
        <v>0</v>
      </c>
      <c r="E556">
        <v>1</v>
      </c>
      <c r="F556">
        <v>7</v>
      </c>
      <c r="G556" t="b">
        <v>0</v>
      </c>
      <c r="H556">
        <v>2</v>
      </c>
      <c r="I556">
        <v>1</v>
      </c>
      <c r="J556">
        <v>0.16</v>
      </c>
      <c r="K556">
        <v>0.1515</v>
      </c>
      <c r="L556">
        <v>0.74</v>
      </c>
      <c r="M556">
        <v>0.22389999999999999</v>
      </c>
      <c r="N556">
        <v>5</v>
      </c>
      <c r="O556">
        <v>103</v>
      </c>
      <c r="P556">
        <v>108</v>
      </c>
    </row>
    <row r="557" spans="1:16" x14ac:dyDescent="0.3">
      <c r="A557">
        <v>556</v>
      </c>
      <c r="B557" s="21">
        <v>40568</v>
      </c>
      <c r="C557">
        <v>1</v>
      </c>
      <c r="D557">
        <v>0</v>
      </c>
      <c r="E557">
        <v>1</v>
      </c>
      <c r="F557">
        <v>8</v>
      </c>
      <c r="G557" t="b">
        <v>0</v>
      </c>
      <c r="H557">
        <v>2</v>
      </c>
      <c r="I557">
        <v>2</v>
      </c>
      <c r="J557">
        <v>0.16</v>
      </c>
      <c r="K557">
        <v>0.18179999999999999</v>
      </c>
      <c r="L557">
        <v>0.74</v>
      </c>
      <c r="M557">
        <v>0.1343</v>
      </c>
      <c r="N557">
        <v>5</v>
      </c>
      <c r="O557">
        <v>233</v>
      </c>
      <c r="P557">
        <v>238</v>
      </c>
    </row>
    <row r="558" spans="1:16" x14ac:dyDescent="0.3">
      <c r="A558">
        <v>557</v>
      </c>
      <c r="B558" s="21">
        <v>40568</v>
      </c>
      <c r="C558">
        <v>1</v>
      </c>
      <c r="D558">
        <v>0</v>
      </c>
      <c r="E558">
        <v>1</v>
      </c>
      <c r="F558">
        <v>9</v>
      </c>
      <c r="G558" t="b">
        <v>0</v>
      </c>
      <c r="H558">
        <v>2</v>
      </c>
      <c r="I558">
        <v>2</v>
      </c>
      <c r="J558">
        <v>0.2</v>
      </c>
      <c r="K558">
        <v>0.2273</v>
      </c>
      <c r="L558">
        <v>0.64</v>
      </c>
      <c r="M558">
        <v>8.9599999999999999E-2</v>
      </c>
      <c r="N558">
        <v>10</v>
      </c>
      <c r="O558">
        <v>134</v>
      </c>
      <c r="P558">
        <v>144</v>
      </c>
    </row>
    <row r="559" spans="1:16" x14ac:dyDescent="0.3">
      <c r="A559">
        <v>558</v>
      </c>
      <c r="B559" s="21">
        <v>40568</v>
      </c>
      <c r="C559">
        <v>1</v>
      </c>
      <c r="D559">
        <v>0</v>
      </c>
      <c r="E559">
        <v>1</v>
      </c>
      <c r="F559">
        <v>10</v>
      </c>
      <c r="G559" t="b">
        <v>0</v>
      </c>
      <c r="H559">
        <v>2</v>
      </c>
      <c r="I559">
        <v>2</v>
      </c>
      <c r="J559">
        <v>0.22</v>
      </c>
      <c r="K559">
        <v>0.2424</v>
      </c>
      <c r="L559">
        <v>0.6</v>
      </c>
      <c r="M559">
        <v>0.1045</v>
      </c>
      <c r="N559">
        <v>6</v>
      </c>
      <c r="O559">
        <v>49</v>
      </c>
      <c r="P559">
        <v>55</v>
      </c>
    </row>
    <row r="560" spans="1:16" x14ac:dyDescent="0.3">
      <c r="A560">
        <v>559</v>
      </c>
      <c r="B560" s="21">
        <v>40568</v>
      </c>
      <c r="C560">
        <v>1</v>
      </c>
      <c r="D560">
        <v>0</v>
      </c>
      <c r="E560">
        <v>1</v>
      </c>
      <c r="F560">
        <v>11</v>
      </c>
      <c r="G560" t="b">
        <v>0</v>
      </c>
      <c r="H560">
        <v>2</v>
      </c>
      <c r="I560">
        <v>2</v>
      </c>
      <c r="J560">
        <v>0.24</v>
      </c>
      <c r="K560">
        <v>0.2424</v>
      </c>
      <c r="L560">
        <v>0.6</v>
      </c>
      <c r="M560">
        <v>0.1343</v>
      </c>
      <c r="N560">
        <v>6</v>
      </c>
      <c r="O560">
        <v>55</v>
      </c>
      <c r="P560">
        <v>61</v>
      </c>
    </row>
    <row r="561" spans="1:16" x14ac:dyDescent="0.3">
      <c r="A561">
        <v>560</v>
      </c>
      <c r="B561" s="2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
      <c r="A562">
        <v>561</v>
      </c>
      <c r="B562" s="21">
        <v>40568</v>
      </c>
      <c r="C562">
        <v>1</v>
      </c>
      <c r="D562">
        <v>0</v>
      </c>
      <c r="E562">
        <v>1</v>
      </c>
      <c r="F562">
        <v>13</v>
      </c>
      <c r="G562" t="b">
        <v>0</v>
      </c>
      <c r="H562">
        <v>2</v>
      </c>
      <c r="I562">
        <v>2</v>
      </c>
      <c r="J562">
        <v>0.26</v>
      </c>
      <c r="K562">
        <v>0.2727</v>
      </c>
      <c r="L562">
        <v>0.56000000000000005</v>
      </c>
      <c r="M562">
        <v>0.1343</v>
      </c>
      <c r="N562">
        <v>21</v>
      </c>
      <c r="O562">
        <v>72</v>
      </c>
      <c r="P562">
        <v>93</v>
      </c>
    </row>
    <row r="563" spans="1:16" x14ac:dyDescent="0.3">
      <c r="A563">
        <v>562</v>
      </c>
      <c r="B563" s="21">
        <v>40568</v>
      </c>
      <c r="C563">
        <v>1</v>
      </c>
      <c r="D563">
        <v>0</v>
      </c>
      <c r="E563">
        <v>1</v>
      </c>
      <c r="F563">
        <v>14</v>
      </c>
      <c r="G563" t="b">
        <v>0</v>
      </c>
      <c r="H563">
        <v>2</v>
      </c>
      <c r="I563">
        <v>2</v>
      </c>
      <c r="J563">
        <v>0.3</v>
      </c>
      <c r="K563">
        <v>0.33329999999999999</v>
      </c>
      <c r="L563">
        <v>0.45</v>
      </c>
      <c r="M563">
        <v>0</v>
      </c>
      <c r="N563">
        <v>11</v>
      </c>
      <c r="O563">
        <v>57</v>
      </c>
      <c r="P563">
        <v>68</v>
      </c>
    </row>
    <row r="564" spans="1:16" x14ac:dyDescent="0.3">
      <c r="A564">
        <v>563</v>
      </c>
      <c r="B564" s="21">
        <v>40568</v>
      </c>
      <c r="C564">
        <v>1</v>
      </c>
      <c r="D564">
        <v>0</v>
      </c>
      <c r="E564">
        <v>1</v>
      </c>
      <c r="F564">
        <v>15</v>
      </c>
      <c r="G564" t="b">
        <v>0</v>
      </c>
      <c r="H564">
        <v>2</v>
      </c>
      <c r="I564">
        <v>2</v>
      </c>
      <c r="J564">
        <v>0.32</v>
      </c>
      <c r="K564">
        <v>0.34849999999999998</v>
      </c>
      <c r="L564">
        <v>0.42</v>
      </c>
      <c r="M564">
        <v>0</v>
      </c>
      <c r="N564">
        <v>21</v>
      </c>
      <c r="O564">
        <v>63</v>
      </c>
      <c r="P564">
        <v>84</v>
      </c>
    </row>
    <row r="565" spans="1:16" x14ac:dyDescent="0.3">
      <c r="A565">
        <v>564</v>
      </c>
      <c r="B565" s="21">
        <v>40568</v>
      </c>
      <c r="C565">
        <v>1</v>
      </c>
      <c r="D565">
        <v>0</v>
      </c>
      <c r="E565">
        <v>1</v>
      </c>
      <c r="F565">
        <v>16</v>
      </c>
      <c r="G565" t="b">
        <v>0</v>
      </c>
      <c r="H565">
        <v>2</v>
      </c>
      <c r="I565">
        <v>2</v>
      </c>
      <c r="J565">
        <v>0.32</v>
      </c>
      <c r="K565">
        <v>0.34849999999999998</v>
      </c>
      <c r="L565">
        <v>0.42</v>
      </c>
      <c r="M565">
        <v>0</v>
      </c>
      <c r="N565">
        <v>14</v>
      </c>
      <c r="O565">
        <v>102</v>
      </c>
      <c r="P565">
        <v>116</v>
      </c>
    </row>
    <row r="566" spans="1:16" x14ac:dyDescent="0.3">
      <c r="A566">
        <v>565</v>
      </c>
      <c r="B566" s="21">
        <v>40568</v>
      </c>
      <c r="C566">
        <v>1</v>
      </c>
      <c r="D566">
        <v>0</v>
      </c>
      <c r="E566">
        <v>1</v>
      </c>
      <c r="F566">
        <v>17</v>
      </c>
      <c r="G566" t="b">
        <v>0</v>
      </c>
      <c r="H566">
        <v>2</v>
      </c>
      <c r="I566">
        <v>1</v>
      </c>
      <c r="J566">
        <v>0.3</v>
      </c>
      <c r="K566">
        <v>0.33329999999999999</v>
      </c>
      <c r="L566">
        <v>0.45</v>
      </c>
      <c r="M566">
        <v>0</v>
      </c>
      <c r="N566">
        <v>14</v>
      </c>
      <c r="O566">
        <v>208</v>
      </c>
      <c r="P566">
        <v>222</v>
      </c>
    </row>
    <row r="567" spans="1:16" x14ac:dyDescent="0.3">
      <c r="A567">
        <v>566</v>
      </c>
      <c r="B567" s="21">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
      <c r="A568">
        <v>567</v>
      </c>
      <c r="B568" s="21">
        <v>40568</v>
      </c>
      <c r="C568">
        <v>1</v>
      </c>
      <c r="D568">
        <v>0</v>
      </c>
      <c r="E568">
        <v>1</v>
      </c>
      <c r="F568">
        <v>19</v>
      </c>
      <c r="G568" t="b">
        <v>0</v>
      </c>
      <c r="H568">
        <v>2</v>
      </c>
      <c r="I568">
        <v>2</v>
      </c>
      <c r="J568">
        <v>0.26</v>
      </c>
      <c r="K568">
        <v>0.2576</v>
      </c>
      <c r="L568">
        <v>0.65</v>
      </c>
      <c r="M568">
        <v>0.16420000000000001</v>
      </c>
      <c r="N568">
        <v>13</v>
      </c>
      <c r="O568">
        <v>133</v>
      </c>
      <c r="P568">
        <v>146</v>
      </c>
    </row>
    <row r="569" spans="1:16" x14ac:dyDescent="0.3">
      <c r="A569">
        <v>568</v>
      </c>
      <c r="B569" s="21">
        <v>40568</v>
      </c>
      <c r="C569">
        <v>1</v>
      </c>
      <c r="D569">
        <v>0</v>
      </c>
      <c r="E569">
        <v>1</v>
      </c>
      <c r="F569">
        <v>20</v>
      </c>
      <c r="G569" t="b">
        <v>0</v>
      </c>
      <c r="H569">
        <v>2</v>
      </c>
      <c r="I569">
        <v>1</v>
      </c>
      <c r="J569">
        <v>0.24</v>
      </c>
      <c r="K569">
        <v>0.2273</v>
      </c>
      <c r="L569">
        <v>0.65</v>
      </c>
      <c r="M569">
        <v>0.19400000000000001</v>
      </c>
      <c r="N569">
        <v>16</v>
      </c>
      <c r="O569">
        <v>103</v>
      </c>
      <c r="P569">
        <v>119</v>
      </c>
    </row>
    <row r="570" spans="1:16" x14ac:dyDescent="0.3">
      <c r="A570">
        <v>569</v>
      </c>
      <c r="B570" s="21">
        <v>40568</v>
      </c>
      <c r="C570">
        <v>1</v>
      </c>
      <c r="D570">
        <v>0</v>
      </c>
      <c r="E570">
        <v>1</v>
      </c>
      <c r="F570">
        <v>21</v>
      </c>
      <c r="G570" t="b">
        <v>0</v>
      </c>
      <c r="H570">
        <v>2</v>
      </c>
      <c r="I570">
        <v>1</v>
      </c>
      <c r="J570">
        <v>0.24</v>
      </c>
      <c r="K570">
        <v>0.2273</v>
      </c>
      <c r="L570">
        <v>0.65</v>
      </c>
      <c r="M570">
        <v>0.19400000000000001</v>
      </c>
      <c r="N570">
        <v>5</v>
      </c>
      <c r="O570">
        <v>40</v>
      </c>
      <c r="P570">
        <v>45</v>
      </c>
    </row>
    <row r="571" spans="1:16" x14ac:dyDescent="0.3">
      <c r="A571">
        <v>570</v>
      </c>
      <c r="B571" s="21">
        <v>40568</v>
      </c>
      <c r="C571">
        <v>1</v>
      </c>
      <c r="D571">
        <v>0</v>
      </c>
      <c r="E571">
        <v>1</v>
      </c>
      <c r="F571">
        <v>22</v>
      </c>
      <c r="G571" t="b">
        <v>0</v>
      </c>
      <c r="H571">
        <v>2</v>
      </c>
      <c r="I571">
        <v>1</v>
      </c>
      <c r="J571">
        <v>0.22</v>
      </c>
      <c r="K571">
        <v>0.2273</v>
      </c>
      <c r="L571">
        <v>0.64</v>
      </c>
      <c r="M571">
        <v>0.16420000000000001</v>
      </c>
      <c r="N571">
        <v>4</v>
      </c>
      <c r="O571">
        <v>49</v>
      </c>
      <c r="P571">
        <v>53</v>
      </c>
    </row>
    <row r="572" spans="1:16" x14ac:dyDescent="0.3">
      <c r="A572">
        <v>571</v>
      </c>
      <c r="B572" s="21">
        <v>40568</v>
      </c>
      <c r="C572">
        <v>1</v>
      </c>
      <c r="D572">
        <v>0</v>
      </c>
      <c r="E572">
        <v>1</v>
      </c>
      <c r="F572">
        <v>23</v>
      </c>
      <c r="G572" t="b">
        <v>0</v>
      </c>
      <c r="H572">
        <v>2</v>
      </c>
      <c r="I572">
        <v>2</v>
      </c>
      <c r="J572">
        <v>0.22</v>
      </c>
      <c r="K572">
        <v>0.2273</v>
      </c>
      <c r="L572">
        <v>0.64</v>
      </c>
      <c r="M572">
        <v>0.16420000000000001</v>
      </c>
      <c r="N572">
        <v>3</v>
      </c>
      <c r="O572">
        <v>37</v>
      </c>
      <c r="P572">
        <v>40</v>
      </c>
    </row>
    <row r="573" spans="1:16" x14ac:dyDescent="0.3">
      <c r="A573">
        <v>572</v>
      </c>
      <c r="B573" s="21">
        <v>40569</v>
      </c>
      <c r="C573">
        <v>1</v>
      </c>
      <c r="D573">
        <v>0</v>
      </c>
      <c r="E573">
        <v>1</v>
      </c>
      <c r="F573">
        <v>0</v>
      </c>
      <c r="G573" t="b">
        <v>0</v>
      </c>
      <c r="H573">
        <v>3</v>
      </c>
      <c r="I573">
        <v>2</v>
      </c>
      <c r="J573">
        <v>0.22</v>
      </c>
      <c r="K573">
        <v>0.2273</v>
      </c>
      <c r="L573">
        <v>0.69</v>
      </c>
      <c r="M573">
        <v>0.1343</v>
      </c>
      <c r="N573">
        <v>3</v>
      </c>
      <c r="O573">
        <v>14</v>
      </c>
      <c r="P573">
        <v>17</v>
      </c>
    </row>
    <row r="574" spans="1:16" x14ac:dyDescent="0.3">
      <c r="A574">
        <v>573</v>
      </c>
      <c r="B574" s="21">
        <v>40569</v>
      </c>
      <c r="C574">
        <v>1</v>
      </c>
      <c r="D574">
        <v>0</v>
      </c>
      <c r="E574">
        <v>1</v>
      </c>
      <c r="F574">
        <v>1</v>
      </c>
      <c r="G574" t="b">
        <v>0</v>
      </c>
      <c r="H574">
        <v>3</v>
      </c>
      <c r="I574">
        <v>2</v>
      </c>
      <c r="J574">
        <v>0.24</v>
      </c>
      <c r="K574">
        <v>0.2424</v>
      </c>
      <c r="L574">
        <v>0.65</v>
      </c>
      <c r="M574">
        <v>0.1343</v>
      </c>
      <c r="N574">
        <v>0</v>
      </c>
      <c r="O574">
        <v>5</v>
      </c>
      <c r="P574">
        <v>5</v>
      </c>
    </row>
    <row r="575" spans="1:16" x14ac:dyDescent="0.3">
      <c r="A575">
        <v>574</v>
      </c>
      <c r="B575" s="21">
        <v>40569</v>
      </c>
      <c r="C575">
        <v>1</v>
      </c>
      <c r="D575">
        <v>0</v>
      </c>
      <c r="E575">
        <v>1</v>
      </c>
      <c r="F575">
        <v>2</v>
      </c>
      <c r="G575" t="b">
        <v>0</v>
      </c>
      <c r="H575">
        <v>3</v>
      </c>
      <c r="I575">
        <v>3</v>
      </c>
      <c r="J575">
        <v>0.22</v>
      </c>
      <c r="K575">
        <v>0.2273</v>
      </c>
      <c r="L575">
        <v>0.69</v>
      </c>
      <c r="M575">
        <v>0.19400000000000001</v>
      </c>
      <c r="N575">
        <v>3</v>
      </c>
      <c r="O575">
        <v>7</v>
      </c>
      <c r="P575">
        <v>10</v>
      </c>
    </row>
    <row r="576" spans="1:16" x14ac:dyDescent="0.3">
      <c r="A576">
        <v>575</v>
      </c>
      <c r="B576" s="21">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
      <c r="A577">
        <v>576</v>
      </c>
      <c r="B577" s="21">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
      <c r="A578">
        <v>577</v>
      </c>
      <c r="B578" s="21">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
      <c r="A579">
        <v>578</v>
      </c>
      <c r="B579" s="21">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
      <c r="A580">
        <v>579</v>
      </c>
      <c r="B580" s="21">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
      <c r="A581">
        <v>580</v>
      </c>
      <c r="B581" s="21">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
      <c r="A582">
        <v>581</v>
      </c>
      <c r="B582" s="21">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
      <c r="A583">
        <v>582</v>
      </c>
      <c r="B583" s="21">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
      <c r="A584">
        <v>583</v>
      </c>
      <c r="B584" s="21">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
      <c r="A585">
        <v>584</v>
      </c>
      <c r="B585" s="21">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
      <c r="A586">
        <v>585</v>
      </c>
      <c r="B586" s="21">
        <v>40569</v>
      </c>
      <c r="C586">
        <v>1</v>
      </c>
      <c r="D586">
        <v>0</v>
      </c>
      <c r="E586">
        <v>1</v>
      </c>
      <c r="F586">
        <v>15</v>
      </c>
      <c r="G586" t="b">
        <v>0</v>
      </c>
      <c r="H586">
        <v>3</v>
      </c>
      <c r="I586">
        <v>3</v>
      </c>
      <c r="J586">
        <v>0.22</v>
      </c>
      <c r="K586">
        <v>0.18179999999999999</v>
      </c>
      <c r="L586">
        <v>0.93</v>
      </c>
      <c r="M586">
        <v>0.4627</v>
      </c>
      <c r="N586">
        <v>1</v>
      </c>
      <c r="O586">
        <v>42</v>
      </c>
      <c r="P586">
        <v>43</v>
      </c>
    </row>
    <row r="587" spans="1:16" x14ac:dyDescent="0.3">
      <c r="A587">
        <v>586</v>
      </c>
      <c r="B587" s="21">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
      <c r="A588">
        <v>587</v>
      </c>
      <c r="B588" s="21">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
      <c r="A589">
        <v>588</v>
      </c>
      <c r="B589" s="21">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
      <c r="A590">
        <v>589</v>
      </c>
      <c r="B590" s="21">
        <v>40570</v>
      </c>
      <c r="C590">
        <v>1</v>
      </c>
      <c r="D590">
        <v>0</v>
      </c>
      <c r="E590">
        <v>1</v>
      </c>
      <c r="F590">
        <v>17</v>
      </c>
      <c r="G590" t="b">
        <v>0</v>
      </c>
      <c r="H590">
        <v>4</v>
      </c>
      <c r="I590">
        <v>1</v>
      </c>
      <c r="J590">
        <v>0.22</v>
      </c>
      <c r="K590">
        <v>0.2424</v>
      </c>
      <c r="L590">
        <v>0.55000000000000004</v>
      </c>
      <c r="M590">
        <v>0.1045</v>
      </c>
      <c r="N590">
        <v>2</v>
      </c>
      <c r="O590">
        <v>82</v>
      </c>
      <c r="P590">
        <v>84</v>
      </c>
    </row>
    <row r="591" spans="1:16" x14ac:dyDescent="0.3">
      <c r="A591">
        <v>590</v>
      </c>
      <c r="B591" s="21">
        <v>40570</v>
      </c>
      <c r="C591">
        <v>1</v>
      </c>
      <c r="D591">
        <v>0</v>
      </c>
      <c r="E591">
        <v>1</v>
      </c>
      <c r="F591">
        <v>18</v>
      </c>
      <c r="G591" t="b">
        <v>0</v>
      </c>
      <c r="H591">
        <v>4</v>
      </c>
      <c r="I591">
        <v>1</v>
      </c>
      <c r="J591">
        <v>0.2</v>
      </c>
      <c r="K591">
        <v>0.2273</v>
      </c>
      <c r="L591">
        <v>0.69</v>
      </c>
      <c r="M591">
        <v>8.9599999999999999E-2</v>
      </c>
      <c r="N591">
        <v>3</v>
      </c>
      <c r="O591">
        <v>101</v>
      </c>
      <c r="P591">
        <v>104</v>
      </c>
    </row>
    <row r="592" spans="1:16" x14ac:dyDescent="0.3">
      <c r="A592">
        <v>591</v>
      </c>
      <c r="B592" s="21">
        <v>40570</v>
      </c>
      <c r="C592">
        <v>1</v>
      </c>
      <c r="D592">
        <v>0</v>
      </c>
      <c r="E592">
        <v>1</v>
      </c>
      <c r="F592">
        <v>19</v>
      </c>
      <c r="G592" t="b">
        <v>0</v>
      </c>
      <c r="H592">
        <v>4</v>
      </c>
      <c r="I592">
        <v>1</v>
      </c>
      <c r="J592">
        <v>0.2</v>
      </c>
      <c r="K592">
        <v>0.2273</v>
      </c>
      <c r="L592">
        <v>0.69</v>
      </c>
      <c r="M592">
        <v>8.9599999999999999E-2</v>
      </c>
      <c r="N592">
        <v>3</v>
      </c>
      <c r="O592">
        <v>76</v>
      </c>
      <c r="P592">
        <v>79</v>
      </c>
    </row>
    <row r="593" spans="1:16" x14ac:dyDescent="0.3">
      <c r="A593">
        <v>592</v>
      </c>
      <c r="B593" s="21">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
      <c r="A594">
        <v>593</v>
      </c>
      <c r="B594" s="21">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
      <c r="A595">
        <v>594</v>
      </c>
      <c r="B595" s="21">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
      <c r="A596">
        <v>595</v>
      </c>
      <c r="B596" s="21">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
      <c r="A597">
        <v>596</v>
      </c>
      <c r="B597" s="21">
        <v>40571</v>
      </c>
      <c r="C597">
        <v>1</v>
      </c>
      <c r="D597">
        <v>0</v>
      </c>
      <c r="E597">
        <v>1</v>
      </c>
      <c r="F597">
        <v>0</v>
      </c>
      <c r="G597" t="b">
        <v>0</v>
      </c>
      <c r="H597">
        <v>5</v>
      </c>
      <c r="I597">
        <v>2</v>
      </c>
      <c r="J597">
        <v>0.2</v>
      </c>
      <c r="K597">
        <v>0.21210000000000001</v>
      </c>
      <c r="L597">
        <v>0.75</v>
      </c>
      <c r="M597">
        <v>0.1343</v>
      </c>
      <c r="N597">
        <v>0</v>
      </c>
      <c r="O597">
        <v>9</v>
      </c>
      <c r="P597">
        <v>9</v>
      </c>
    </row>
    <row r="598" spans="1:16" x14ac:dyDescent="0.3">
      <c r="A598">
        <v>597</v>
      </c>
      <c r="B598" s="21">
        <v>40571</v>
      </c>
      <c r="C598">
        <v>1</v>
      </c>
      <c r="D598">
        <v>0</v>
      </c>
      <c r="E598">
        <v>1</v>
      </c>
      <c r="F598">
        <v>1</v>
      </c>
      <c r="G598" t="b">
        <v>0</v>
      </c>
      <c r="H598">
        <v>5</v>
      </c>
      <c r="I598">
        <v>2</v>
      </c>
      <c r="J598">
        <v>0.2</v>
      </c>
      <c r="K598">
        <v>0.21210000000000001</v>
      </c>
      <c r="L598">
        <v>0.75</v>
      </c>
      <c r="M598">
        <v>0.1343</v>
      </c>
      <c r="N598">
        <v>1</v>
      </c>
      <c r="O598">
        <v>2</v>
      </c>
      <c r="P598">
        <v>3</v>
      </c>
    </row>
    <row r="599" spans="1:16" x14ac:dyDescent="0.3">
      <c r="A599">
        <v>598</v>
      </c>
      <c r="B599" s="21">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
      <c r="A600">
        <v>599</v>
      </c>
      <c r="B600" s="21">
        <v>40571</v>
      </c>
      <c r="C600">
        <v>1</v>
      </c>
      <c r="D600">
        <v>0</v>
      </c>
      <c r="E600">
        <v>1</v>
      </c>
      <c r="F600">
        <v>3</v>
      </c>
      <c r="G600" t="b">
        <v>0</v>
      </c>
      <c r="H600">
        <v>5</v>
      </c>
      <c r="I600">
        <v>2</v>
      </c>
      <c r="J600">
        <v>0.2</v>
      </c>
      <c r="K600">
        <v>0.2273</v>
      </c>
      <c r="L600">
        <v>0.75</v>
      </c>
      <c r="M600">
        <v>0.1045</v>
      </c>
      <c r="N600">
        <v>1</v>
      </c>
      <c r="O600">
        <v>0</v>
      </c>
      <c r="P600">
        <v>1</v>
      </c>
    </row>
    <row r="601" spans="1:16" x14ac:dyDescent="0.3">
      <c r="A601">
        <v>600</v>
      </c>
      <c r="B601" s="21">
        <v>40571</v>
      </c>
      <c r="C601">
        <v>1</v>
      </c>
      <c r="D601">
        <v>0</v>
      </c>
      <c r="E601">
        <v>1</v>
      </c>
      <c r="F601">
        <v>5</v>
      </c>
      <c r="G601" t="b">
        <v>0</v>
      </c>
      <c r="H601">
        <v>5</v>
      </c>
      <c r="I601">
        <v>2</v>
      </c>
      <c r="J601">
        <v>0.18</v>
      </c>
      <c r="K601">
        <v>0.21210000000000001</v>
      </c>
      <c r="L601">
        <v>0.8</v>
      </c>
      <c r="M601">
        <v>0.1045</v>
      </c>
      <c r="N601">
        <v>0</v>
      </c>
      <c r="O601">
        <v>4</v>
      </c>
      <c r="P601">
        <v>4</v>
      </c>
    </row>
    <row r="602" spans="1:16" x14ac:dyDescent="0.3">
      <c r="A602">
        <v>601</v>
      </c>
      <c r="B602" s="21">
        <v>40571</v>
      </c>
      <c r="C602">
        <v>1</v>
      </c>
      <c r="D602">
        <v>0</v>
      </c>
      <c r="E602">
        <v>1</v>
      </c>
      <c r="F602">
        <v>6</v>
      </c>
      <c r="G602" t="b">
        <v>0</v>
      </c>
      <c r="H602">
        <v>5</v>
      </c>
      <c r="I602">
        <v>2</v>
      </c>
      <c r="J602">
        <v>0.18</v>
      </c>
      <c r="K602">
        <v>0.19700000000000001</v>
      </c>
      <c r="L602">
        <v>0.8</v>
      </c>
      <c r="M602">
        <v>0.1343</v>
      </c>
      <c r="N602">
        <v>0</v>
      </c>
      <c r="O602">
        <v>16</v>
      </c>
      <c r="P602">
        <v>16</v>
      </c>
    </row>
    <row r="603" spans="1:16" x14ac:dyDescent="0.3">
      <c r="A603">
        <v>602</v>
      </c>
      <c r="B603" s="21">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
      <c r="A604">
        <v>603</v>
      </c>
      <c r="B604" s="21">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
      <c r="A605">
        <v>604</v>
      </c>
      <c r="B605" s="21">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
      <c r="A606">
        <v>605</v>
      </c>
      <c r="B606" s="21">
        <v>40571</v>
      </c>
      <c r="C606">
        <v>1</v>
      </c>
      <c r="D606">
        <v>0</v>
      </c>
      <c r="E606">
        <v>1</v>
      </c>
      <c r="F606">
        <v>10</v>
      </c>
      <c r="G606" t="b">
        <v>0</v>
      </c>
      <c r="H606">
        <v>5</v>
      </c>
      <c r="I606">
        <v>3</v>
      </c>
      <c r="J606">
        <v>0.18</v>
      </c>
      <c r="K606">
        <v>0.21210000000000001</v>
      </c>
      <c r="L606">
        <v>0.86</v>
      </c>
      <c r="M606">
        <v>0.1045</v>
      </c>
      <c r="N606">
        <v>0</v>
      </c>
      <c r="O606">
        <v>49</v>
      </c>
      <c r="P606">
        <v>49</v>
      </c>
    </row>
    <row r="607" spans="1:16" x14ac:dyDescent="0.3">
      <c r="A607">
        <v>606</v>
      </c>
      <c r="B607" s="21">
        <v>40571</v>
      </c>
      <c r="C607">
        <v>1</v>
      </c>
      <c r="D607">
        <v>0</v>
      </c>
      <c r="E607">
        <v>1</v>
      </c>
      <c r="F607">
        <v>11</v>
      </c>
      <c r="G607" t="b">
        <v>0</v>
      </c>
      <c r="H607">
        <v>5</v>
      </c>
      <c r="I607">
        <v>3</v>
      </c>
      <c r="J607">
        <v>0.18</v>
      </c>
      <c r="K607">
        <v>0.21210000000000001</v>
      </c>
      <c r="L607">
        <v>0.93</v>
      </c>
      <c r="M607">
        <v>0.1045</v>
      </c>
      <c r="N607">
        <v>0</v>
      </c>
      <c r="O607">
        <v>30</v>
      </c>
      <c r="P607">
        <v>30</v>
      </c>
    </row>
    <row r="608" spans="1:16" x14ac:dyDescent="0.3">
      <c r="A608">
        <v>607</v>
      </c>
      <c r="B608" s="21">
        <v>40571</v>
      </c>
      <c r="C608">
        <v>1</v>
      </c>
      <c r="D608">
        <v>0</v>
      </c>
      <c r="E608">
        <v>1</v>
      </c>
      <c r="F608">
        <v>12</v>
      </c>
      <c r="G608" t="b">
        <v>0</v>
      </c>
      <c r="H608">
        <v>5</v>
      </c>
      <c r="I608">
        <v>3</v>
      </c>
      <c r="J608">
        <v>0.18</v>
      </c>
      <c r="K608">
        <v>0.21210000000000001</v>
      </c>
      <c r="L608">
        <v>0.93</v>
      </c>
      <c r="M608">
        <v>0.1045</v>
      </c>
      <c r="N608">
        <v>1</v>
      </c>
      <c r="O608">
        <v>28</v>
      </c>
      <c r="P608">
        <v>29</v>
      </c>
    </row>
    <row r="609" spans="1:16" x14ac:dyDescent="0.3">
      <c r="A609">
        <v>608</v>
      </c>
      <c r="B609" s="21">
        <v>40571</v>
      </c>
      <c r="C609">
        <v>1</v>
      </c>
      <c r="D609">
        <v>0</v>
      </c>
      <c r="E609">
        <v>1</v>
      </c>
      <c r="F609">
        <v>13</v>
      </c>
      <c r="G609" t="b">
        <v>0</v>
      </c>
      <c r="H609">
        <v>5</v>
      </c>
      <c r="I609">
        <v>3</v>
      </c>
      <c r="J609">
        <v>0.18</v>
      </c>
      <c r="K609">
        <v>0.21210000000000001</v>
      </c>
      <c r="L609">
        <v>0.93</v>
      </c>
      <c r="M609">
        <v>0.1045</v>
      </c>
      <c r="N609">
        <v>0</v>
      </c>
      <c r="O609">
        <v>31</v>
      </c>
      <c r="P609">
        <v>31</v>
      </c>
    </row>
    <row r="610" spans="1:16" x14ac:dyDescent="0.3">
      <c r="A610">
        <v>609</v>
      </c>
      <c r="B610" s="21">
        <v>40571</v>
      </c>
      <c r="C610">
        <v>1</v>
      </c>
      <c r="D610">
        <v>0</v>
      </c>
      <c r="E610">
        <v>1</v>
      </c>
      <c r="F610">
        <v>14</v>
      </c>
      <c r="G610" t="b">
        <v>0</v>
      </c>
      <c r="H610">
        <v>5</v>
      </c>
      <c r="I610">
        <v>3</v>
      </c>
      <c r="J610">
        <v>0.22</v>
      </c>
      <c r="K610">
        <v>0.2727</v>
      </c>
      <c r="L610">
        <v>0.8</v>
      </c>
      <c r="M610">
        <v>0</v>
      </c>
      <c r="N610">
        <v>2</v>
      </c>
      <c r="O610">
        <v>36</v>
      </c>
      <c r="P610">
        <v>38</v>
      </c>
    </row>
    <row r="611" spans="1:16" x14ac:dyDescent="0.3">
      <c r="A611">
        <v>610</v>
      </c>
      <c r="B611" s="21">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88211-A533-45B7-BB05-3422539D1CCB}">
  <sheetPr codeName="Sheet5"/>
  <dimension ref="A1:P611"/>
  <sheetViews>
    <sheetView workbookViewId="0">
      <selection activeCell="I2" sqref="A1:P611"/>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21.5546875" bestFit="1" customWidth="1"/>
    <col min="18" max="18" width="21.21875" bestFit="1" customWidth="1"/>
    <col min="19" max="19" width="19.6640625" bestFit="1" customWidth="1"/>
    <col min="20" max="20" width="25" bestFit="1" customWidth="1"/>
    <col min="21" max="21" width="21" bestFit="1" customWidth="1"/>
    <col min="22" max="22" width="24.21875" bestFit="1" customWidth="1"/>
    <col min="23" max="23" width="18.332031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s="21">
        <v>40544</v>
      </c>
      <c r="C2">
        <v>1</v>
      </c>
      <c r="D2">
        <v>0</v>
      </c>
      <c r="E2">
        <v>1</v>
      </c>
      <c r="F2">
        <v>0</v>
      </c>
      <c r="G2" t="b">
        <v>0</v>
      </c>
      <c r="H2">
        <v>6</v>
      </c>
      <c r="I2">
        <v>1</v>
      </c>
      <c r="J2">
        <v>0.24</v>
      </c>
      <c r="K2">
        <v>0.28789999999999999</v>
      </c>
      <c r="L2">
        <v>0.81</v>
      </c>
      <c r="M2">
        <v>0</v>
      </c>
      <c r="N2">
        <v>3</v>
      </c>
      <c r="O2">
        <v>13</v>
      </c>
      <c r="P2">
        <v>16</v>
      </c>
    </row>
    <row r="3" spans="1:16" x14ac:dyDescent="0.3">
      <c r="A3">
        <v>2</v>
      </c>
      <c r="B3" s="21">
        <v>40544</v>
      </c>
      <c r="C3">
        <v>1</v>
      </c>
      <c r="D3">
        <v>0</v>
      </c>
      <c r="E3">
        <v>1</v>
      </c>
      <c r="F3">
        <v>1</v>
      </c>
      <c r="G3" t="b">
        <v>0</v>
      </c>
      <c r="H3">
        <v>6</v>
      </c>
      <c r="I3">
        <v>1</v>
      </c>
      <c r="J3">
        <v>0.22</v>
      </c>
      <c r="K3">
        <v>0.2727</v>
      </c>
      <c r="L3">
        <v>0.8</v>
      </c>
      <c r="M3">
        <v>0</v>
      </c>
      <c r="N3">
        <v>8</v>
      </c>
      <c r="O3">
        <v>32</v>
      </c>
      <c r="P3">
        <v>40</v>
      </c>
    </row>
    <row r="4" spans="1:16" x14ac:dyDescent="0.3">
      <c r="A4">
        <v>3</v>
      </c>
      <c r="B4" s="21">
        <v>40544</v>
      </c>
      <c r="C4">
        <v>1</v>
      </c>
      <c r="D4">
        <v>0</v>
      </c>
      <c r="E4">
        <v>1</v>
      </c>
      <c r="F4">
        <v>2</v>
      </c>
      <c r="G4" t="b">
        <v>0</v>
      </c>
      <c r="H4">
        <v>6</v>
      </c>
      <c r="I4">
        <v>1</v>
      </c>
      <c r="J4">
        <v>0.22</v>
      </c>
      <c r="K4">
        <v>0.2727</v>
      </c>
      <c r="L4">
        <v>0.8</v>
      </c>
      <c r="M4">
        <v>0</v>
      </c>
      <c r="N4">
        <v>5</v>
      </c>
      <c r="O4">
        <v>27</v>
      </c>
      <c r="P4">
        <v>32</v>
      </c>
    </row>
    <row r="5" spans="1:16" x14ac:dyDescent="0.3">
      <c r="A5">
        <v>4</v>
      </c>
      <c r="B5" s="21">
        <v>40544</v>
      </c>
      <c r="C5">
        <v>1</v>
      </c>
      <c r="D5">
        <v>0</v>
      </c>
      <c r="E5">
        <v>1</v>
      </c>
      <c r="F5">
        <v>3</v>
      </c>
      <c r="G5" t="b">
        <v>0</v>
      </c>
      <c r="H5">
        <v>6</v>
      </c>
      <c r="I5">
        <v>1</v>
      </c>
      <c r="J5">
        <v>0.24</v>
      </c>
      <c r="K5">
        <v>0.28789999999999999</v>
      </c>
      <c r="L5">
        <v>0.75</v>
      </c>
      <c r="M5">
        <v>0</v>
      </c>
      <c r="N5">
        <v>3</v>
      </c>
      <c r="O5">
        <v>10</v>
      </c>
      <c r="P5">
        <v>13</v>
      </c>
    </row>
    <row r="6" spans="1:16" x14ac:dyDescent="0.3">
      <c r="A6">
        <v>5</v>
      </c>
      <c r="B6" s="21">
        <v>40544</v>
      </c>
      <c r="C6">
        <v>1</v>
      </c>
      <c r="D6">
        <v>0</v>
      </c>
      <c r="E6">
        <v>1</v>
      </c>
      <c r="F6">
        <v>4</v>
      </c>
      <c r="G6" t="b">
        <v>0</v>
      </c>
      <c r="H6">
        <v>6</v>
      </c>
      <c r="I6">
        <v>1</v>
      </c>
      <c r="J6">
        <v>0.24</v>
      </c>
      <c r="K6">
        <v>0.28789999999999999</v>
      </c>
      <c r="L6">
        <v>0.75</v>
      </c>
      <c r="M6">
        <v>0</v>
      </c>
      <c r="N6">
        <v>0</v>
      </c>
      <c r="O6">
        <v>1</v>
      </c>
      <c r="P6">
        <v>1</v>
      </c>
    </row>
    <row r="7" spans="1:16" x14ac:dyDescent="0.3">
      <c r="A7">
        <v>6</v>
      </c>
      <c r="B7" s="21">
        <v>40544</v>
      </c>
      <c r="C7">
        <v>1</v>
      </c>
      <c r="D7">
        <v>0</v>
      </c>
      <c r="E7">
        <v>1</v>
      </c>
      <c r="F7">
        <v>5</v>
      </c>
      <c r="G7" t="b">
        <v>0</v>
      </c>
      <c r="H7">
        <v>6</v>
      </c>
      <c r="I7">
        <v>2</v>
      </c>
      <c r="J7">
        <v>0.24</v>
      </c>
      <c r="K7">
        <v>0.2576</v>
      </c>
      <c r="L7">
        <v>0.75</v>
      </c>
      <c r="M7">
        <v>8.9599999999999999E-2</v>
      </c>
      <c r="N7">
        <v>0</v>
      </c>
      <c r="O7">
        <v>1</v>
      </c>
      <c r="P7">
        <v>1</v>
      </c>
    </row>
    <row r="8" spans="1:16" x14ac:dyDescent="0.3">
      <c r="A8">
        <v>7</v>
      </c>
      <c r="B8" s="21">
        <v>40544</v>
      </c>
      <c r="C8">
        <v>1</v>
      </c>
      <c r="D8">
        <v>0</v>
      </c>
      <c r="E8">
        <v>1</v>
      </c>
      <c r="F8">
        <v>6</v>
      </c>
      <c r="G8" t="b">
        <v>0</v>
      </c>
      <c r="H8">
        <v>6</v>
      </c>
      <c r="I8">
        <v>1</v>
      </c>
      <c r="J8">
        <v>0.22</v>
      </c>
      <c r="K8">
        <v>0.2727</v>
      </c>
      <c r="L8">
        <v>0.8</v>
      </c>
      <c r="M8">
        <v>0</v>
      </c>
      <c r="N8">
        <v>2</v>
      </c>
      <c r="O8">
        <v>0</v>
      </c>
      <c r="P8">
        <v>2</v>
      </c>
    </row>
    <row r="9" spans="1:16" x14ac:dyDescent="0.3">
      <c r="A9">
        <v>8</v>
      </c>
      <c r="B9" s="21">
        <v>40544</v>
      </c>
      <c r="C9">
        <v>1</v>
      </c>
      <c r="D9">
        <v>0</v>
      </c>
      <c r="E9">
        <v>1</v>
      </c>
      <c r="F9">
        <v>7</v>
      </c>
      <c r="G9" t="b">
        <v>0</v>
      </c>
      <c r="H9">
        <v>6</v>
      </c>
      <c r="I9">
        <v>1</v>
      </c>
      <c r="J9">
        <v>0.2</v>
      </c>
      <c r="K9">
        <v>0.2576</v>
      </c>
      <c r="L9">
        <v>0.86</v>
      </c>
      <c r="M9">
        <v>0</v>
      </c>
      <c r="N9">
        <v>1</v>
      </c>
      <c r="O9">
        <v>2</v>
      </c>
      <c r="P9">
        <v>3</v>
      </c>
    </row>
    <row r="10" spans="1:16" x14ac:dyDescent="0.3">
      <c r="A10">
        <v>9</v>
      </c>
      <c r="B10" s="21">
        <v>40544</v>
      </c>
      <c r="C10">
        <v>1</v>
      </c>
      <c r="D10">
        <v>0</v>
      </c>
      <c r="E10">
        <v>1</v>
      </c>
      <c r="F10">
        <v>8</v>
      </c>
      <c r="G10" t="b">
        <v>0</v>
      </c>
      <c r="H10">
        <v>6</v>
      </c>
      <c r="I10">
        <v>1</v>
      </c>
      <c r="J10">
        <v>0.24</v>
      </c>
      <c r="L10">
        <v>0.75</v>
      </c>
      <c r="M10">
        <v>0</v>
      </c>
      <c r="N10">
        <v>1</v>
      </c>
      <c r="O10">
        <v>7</v>
      </c>
      <c r="P10">
        <v>8</v>
      </c>
    </row>
    <row r="11" spans="1:16" x14ac:dyDescent="0.3">
      <c r="A11">
        <v>10</v>
      </c>
      <c r="B11" s="21">
        <v>40544</v>
      </c>
      <c r="C11">
        <v>1</v>
      </c>
      <c r="D11">
        <v>0</v>
      </c>
      <c r="E11">
        <v>1</v>
      </c>
      <c r="F11">
        <v>9</v>
      </c>
      <c r="G11" t="b">
        <v>0</v>
      </c>
      <c r="H11">
        <v>6</v>
      </c>
      <c r="I11">
        <v>1</v>
      </c>
      <c r="J11">
        <v>0.32</v>
      </c>
      <c r="K11">
        <v>0.34849999999999998</v>
      </c>
      <c r="L11">
        <v>0.76</v>
      </c>
      <c r="M11">
        <v>0</v>
      </c>
      <c r="N11">
        <v>8</v>
      </c>
      <c r="O11">
        <v>6</v>
      </c>
      <c r="P11">
        <v>14</v>
      </c>
    </row>
    <row r="12" spans="1:16" x14ac:dyDescent="0.3">
      <c r="A12">
        <v>11</v>
      </c>
      <c r="B12" s="21">
        <v>40544</v>
      </c>
      <c r="C12">
        <v>1</v>
      </c>
      <c r="D12">
        <v>0</v>
      </c>
      <c r="E12">
        <v>1</v>
      </c>
      <c r="F12">
        <v>10</v>
      </c>
      <c r="G12" t="b">
        <v>0</v>
      </c>
      <c r="H12">
        <v>6</v>
      </c>
      <c r="I12">
        <v>1</v>
      </c>
      <c r="J12">
        <v>0.38</v>
      </c>
      <c r="K12">
        <v>0.39389999999999997</v>
      </c>
      <c r="L12">
        <v>0.76</v>
      </c>
      <c r="M12">
        <v>0.25369999999999998</v>
      </c>
      <c r="N12">
        <v>12</v>
      </c>
      <c r="O12">
        <v>24</v>
      </c>
      <c r="P12">
        <v>36</v>
      </c>
    </row>
    <row r="13" spans="1:16" x14ac:dyDescent="0.3">
      <c r="A13">
        <v>12</v>
      </c>
      <c r="B13" s="21">
        <v>40544</v>
      </c>
      <c r="C13">
        <v>1</v>
      </c>
      <c r="D13">
        <v>0</v>
      </c>
      <c r="E13">
        <v>1</v>
      </c>
      <c r="F13">
        <v>11</v>
      </c>
      <c r="G13" t="b">
        <v>0</v>
      </c>
      <c r="H13">
        <v>6</v>
      </c>
      <c r="I13">
        <v>1</v>
      </c>
      <c r="J13">
        <v>0.36</v>
      </c>
      <c r="K13">
        <v>0.33329999999999999</v>
      </c>
      <c r="L13">
        <v>0.81</v>
      </c>
      <c r="M13">
        <v>0.28360000000000002</v>
      </c>
      <c r="N13">
        <v>26</v>
      </c>
      <c r="O13">
        <v>30</v>
      </c>
      <c r="P13">
        <v>56</v>
      </c>
    </row>
    <row r="14" spans="1:16" x14ac:dyDescent="0.3">
      <c r="A14">
        <v>13</v>
      </c>
      <c r="B14" s="21">
        <v>40544</v>
      </c>
      <c r="C14">
        <v>1</v>
      </c>
      <c r="D14">
        <v>0</v>
      </c>
      <c r="E14">
        <v>1</v>
      </c>
      <c r="F14">
        <v>12</v>
      </c>
      <c r="G14" t="b">
        <v>0</v>
      </c>
      <c r="H14">
        <v>6</v>
      </c>
      <c r="I14">
        <v>1</v>
      </c>
      <c r="J14">
        <v>0.42</v>
      </c>
      <c r="K14">
        <v>0.42420000000000002</v>
      </c>
      <c r="L14">
        <v>0.77</v>
      </c>
      <c r="M14">
        <v>0.28360000000000002</v>
      </c>
      <c r="N14">
        <v>29</v>
      </c>
      <c r="O14">
        <v>55</v>
      </c>
      <c r="P14">
        <v>84</v>
      </c>
    </row>
    <row r="15" spans="1:16" x14ac:dyDescent="0.3">
      <c r="A15">
        <v>14</v>
      </c>
      <c r="B15" s="21">
        <v>40544</v>
      </c>
      <c r="C15">
        <v>1</v>
      </c>
      <c r="D15">
        <v>0</v>
      </c>
      <c r="E15">
        <v>1</v>
      </c>
      <c r="F15">
        <v>13</v>
      </c>
      <c r="G15" t="b">
        <v>0</v>
      </c>
      <c r="H15">
        <v>6</v>
      </c>
      <c r="I15">
        <v>2</v>
      </c>
      <c r="J15">
        <v>0.46</v>
      </c>
      <c r="K15">
        <v>0.45450000000000002</v>
      </c>
      <c r="L15">
        <v>0.72</v>
      </c>
      <c r="M15">
        <v>0.29849999999999999</v>
      </c>
      <c r="N15">
        <v>47</v>
      </c>
      <c r="O15">
        <v>47</v>
      </c>
      <c r="P15">
        <v>94</v>
      </c>
    </row>
    <row r="16" spans="1:16" x14ac:dyDescent="0.3">
      <c r="A16">
        <v>15</v>
      </c>
      <c r="B16" s="21">
        <v>40544</v>
      </c>
      <c r="C16">
        <v>1</v>
      </c>
      <c r="D16">
        <v>0</v>
      </c>
      <c r="E16">
        <v>1</v>
      </c>
      <c r="F16">
        <v>14</v>
      </c>
      <c r="G16" t="b">
        <v>0</v>
      </c>
      <c r="H16">
        <v>6</v>
      </c>
      <c r="I16">
        <v>2</v>
      </c>
      <c r="J16">
        <v>0.46</v>
      </c>
      <c r="K16">
        <v>0.45450000000000002</v>
      </c>
      <c r="L16">
        <v>0.72</v>
      </c>
      <c r="M16">
        <v>0.28360000000000002</v>
      </c>
      <c r="N16">
        <v>35</v>
      </c>
      <c r="O16">
        <v>71</v>
      </c>
      <c r="P16">
        <v>106</v>
      </c>
    </row>
    <row r="17" spans="1:16" x14ac:dyDescent="0.3">
      <c r="A17">
        <v>16</v>
      </c>
      <c r="B17" s="21">
        <v>40544</v>
      </c>
      <c r="C17">
        <v>1</v>
      </c>
      <c r="D17">
        <v>0</v>
      </c>
      <c r="E17">
        <v>1</v>
      </c>
      <c r="F17">
        <v>15</v>
      </c>
      <c r="G17" t="b">
        <v>0</v>
      </c>
      <c r="H17">
        <v>6</v>
      </c>
      <c r="I17">
        <v>2</v>
      </c>
      <c r="J17">
        <v>0.44</v>
      </c>
      <c r="K17">
        <v>0.43940000000000001</v>
      </c>
      <c r="L17">
        <v>0.77</v>
      </c>
      <c r="M17">
        <v>0.29849999999999999</v>
      </c>
      <c r="N17">
        <v>40</v>
      </c>
      <c r="O17">
        <v>70</v>
      </c>
      <c r="P17">
        <v>110</v>
      </c>
    </row>
    <row r="18" spans="1:16" x14ac:dyDescent="0.3">
      <c r="A18">
        <v>17</v>
      </c>
      <c r="B18" s="21">
        <v>40544</v>
      </c>
      <c r="C18">
        <v>1</v>
      </c>
      <c r="D18">
        <v>0</v>
      </c>
      <c r="E18">
        <v>1</v>
      </c>
      <c r="F18">
        <v>16</v>
      </c>
      <c r="G18" t="b">
        <v>0</v>
      </c>
      <c r="H18">
        <v>6</v>
      </c>
      <c r="I18">
        <v>2</v>
      </c>
      <c r="J18">
        <v>0.42</v>
      </c>
      <c r="K18">
        <v>0.42420000000000002</v>
      </c>
      <c r="L18">
        <v>0.82</v>
      </c>
      <c r="M18">
        <v>0.29849999999999999</v>
      </c>
      <c r="N18">
        <v>41</v>
      </c>
      <c r="O18">
        <v>52</v>
      </c>
      <c r="P18">
        <v>93</v>
      </c>
    </row>
    <row r="19" spans="1:16" x14ac:dyDescent="0.3">
      <c r="A19">
        <v>18</v>
      </c>
      <c r="B19" s="21">
        <v>40544</v>
      </c>
      <c r="C19">
        <v>1</v>
      </c>
      <c r="D19">
        <v>0</v>
      </c>
      <c r="E19">
        <v>1</v>
      </c>
      <c r="F19">
        <v>17</v>
      </c>
      <c r="G19" t="b">
        <v>0</v>
      </c>
      <c r="H19">
        <v>6</v>
      </c>
      <c r="I19">
        <v>2</v>
      </c>
      <c r="J19">
        <v>0.44</v>
      </c>
      <c r="L19">
        <v>0.82</v>
      </c>
      <c r="M19">
        <v>0.28360000000000002</v>
      </c>
      <c r="N19">
        <v>15</v>
      </c>
      <c r="O19">
        <v>52</v>
      </c>
      <c r="P19">
        <v>67</v>
      </c>
    </row>
    <row r="20" spans="1:16" x14ac:dyDescent="0.3">
      <c r="A20">
        <v>19</v>
      </c>
      <c r="B20" s="21">
        <v>40544</v>
      </c>
      <c r="C20">
        <v>1</v>
      </c>
      <c r="D20">
        <v>0</v>
      </c>
      <c r="E20">
        <v>1</v>
      </c>
      <c r="F20">
        <v>18</v>
      </c>
      <c r="G20" t="b">
        <v>0</v>
      </c>
      <c r="H20">
        <v>6</v>
      </c>
      <c r="I20">
        <v>3</v>
      </c>
      <c r="J20">
        <v>0.42</v>
      </c>
      <c r="K20">
        <v>0.42420000000000002</v>
      </c>
      <c r="L20">
        <v>0.88</v>
      </c>
      <c r="M20">
        <v>0.25369999999999998</v>
      </c>
      <c r="N20">
        <v>9</v>
      </c>
      <c r="O20">
        <v>26</v>
      </c>
      <c r="P20">
        <v>35</v>
      </c>
    </row>
    <row r="21" spans="1:16" x14ac:dyDescent="0.3">
      <c r="A21">
        <v>20</v>
      </c>
      <c r="B21" s="21">
        <v>40544</v>
      </c>
      <c r="C21">
        <v>1</v>
      </c>
      <c r="D21">
        <v>0</v>
      </c>
      <c r="E21">
        <v>1</v>
      </c>
      <c r="F21">
        <v>19</v>
      </c>
      <c r="G21" t="b">
        <v>0</v>
      </c>
      <c r="H21">
        <v>6</v>
      </c>
      <c r="I21">
        <v>3</v>
      </c>
      <c r="J21">
        <v>0.42</v>
      </c>
      <c r="K21">
        <v>0.42420000000000002</v>
      </c>
      <c r="L21">
        <v>0.88</v>
      </c>
      <c r="M21">
        <v>0.25369999999999998</v>
      </c>
      <c r="N21">
        <v>6</v>
      </c>
      <c r="O21">
        <v>31</v>
      </c>
      <c r="P21">
        <v>37</v>
      </c>
    </row>
    <row r="22" spans="1:16" x14ac:dyDescent="0.3">
      <c r="A22">
        <v>21</v>
      </c>
      <c r="B22" s="21">
        <v>40544</v>
      </c>
      <c r="C22">
        <v>1</v>
      </c>
      <c r="D22">
        <v>0</v>
      </c>
      <c r="E22">
        <v>1</v>
      </c>
      <c r="F22">
        <v>20</v>
      </c>
      <c r="G22" t="b">
        <v>0</v>
      </c>
      <c r="H22">
        <v>6</v>
      </c>
      <c r="I22">
        <v>2</v>
      </c>
      <c r="J22">
        <v>0.4</v>
      </c>
      <c r="K22">
        <v>0.40910000000000002</v>
      </c>
      <c r="L22">
        <v>0.87</v>
      </c>
      <c r="M22">
        <v>0.25369999999999998</v>
      </c>
      <c r="N22">
        <v>11</v>
      </c>
      <c r="O22">
        <v>25</v>
      </c>
      <c r="P22">
        <v>36</v>
      </c>
    </row>
    <row r="23" spans="1:16" x14ac:dyDescent="0.3">
      <c r="A23">
        <v>22</v>
      </c>
      <c r="B23" s="21">
        <v>40544</v>
      </c>
      <c r="C23">
        <v>1</v>
      </c>
      <c r="D23">
        <v>0</v>
      </c>
      <c r="E23">
        <v>1</v>
      </c>
      <c r="F23">
        <v>21</v>
      </c>
      <c r="G23" t="b">
        <v>0</v>
      </c>
      <c r="H23">
        <v>6</v>
      </c>
      <c r="I23">
        <v>2</v>
      </c>
      <c r="J23">
        <v>0.4</v>
      </c>
      <c r="K23">
        <v>0.40910000000000002</v>
      </c>
      <c r="L23">
        <v>0.87</v>
      </c>
      <c r="M23">
        <v>0.19400000000000001</v>
      </c>
      <c r="N23">
        <v>3</v>
      </c>
      <c r="O23">
        <v>31</v>
      </c>
      <c r="P23">
        <v>34</v>
      </c>
    </row>
    <row r="24" spans="1:16" x14ac:dyDescent="0.3">
      <c r="A24">
        <v>23</v>
      </c>
      <c r="B24" s="21">
        <v>40544</v>
      </c>
      <c r="C24">
        <v>1</v>
      </c>
      <c r="D24">
        <v>0</v>
      </c>
      <c r="E24">
        <v>1</v>
      </c>
      <c r="F24">
        <v>22</v>
      </c>
      <c r="G24" t="b">
        <v>0</v>
      </c>
      <c r="H24">
        <v>6</v>
      </c>
      <c r="I24">
        <v>2</v>
      </c>
      <c r="J24">
        <v>0.4</v>
      </c>
      <c r="K24">
        <v>0.40910000000000002</v>
      </c>
      <c r="L24">
        <v>0.94</v>
      </c>
      <c r="M24">
        <v>0.22389999999999999</v>
      </c>
      <c r="N24">
        <v>11</v>
      </c>
      <c r="O24">
        <v>17</v>
      </c>
      <c r="P24">
        <v>28</v>
      </c>
    </row>
    <row r="25" spans="1:16" x14ac:dyDescent="0.3">
      <c r="A25">
        <v>24</v>
      </c>
      <c r="B25" s="21">
        <v>40544</v>
      </c>
      <c r="C25">
        <v>1</v>
      </c>
      <c r="D25">
        <v>0</v>
      </c>
      <c r="E25">
        <v>1</v>
      </c>
      <c r="F25">
        <v>23</v>
      </c>
      <c r="G25" t="b">
        <v>0</v>
      </c>
      <c r="H25">
        <v>6</v>
      </c>
      <c r="I25">
        <v>2</v>
      </c>
      <c r="J25">
        <v>0.46</v>
      </c>
      <c r="L25">
        <v>0.88</v>
      </c>
      <c r="M25">
        <v>0.29849999999999999</v>
      </c>
      <c r="N25">
        <v>15</v>
      </c>
      <c r="O25">
        <v>24</v>
      </c>
      <c r="P25">
        <v>39</v>
      </c>
    </row>
    <row r="26" spans="1:16" x14ac:dyDescent="0.3">
      <c r="A26">
        <v>25</v>
      </c>
      <c r="B26" s="21">
        <v>40545</v>
      </c>
      <c r="C26">
        <v>1</v>
      </c>
      <c r="D26">
        <v>0</v>
      </c>
      <c r="E26">
        <v>1</v>
      </c>
      <c r="F26">
        <v>0</v>
      </c>
      <c r="G26" t="b">
        <v>0</v>
      </c>
      <c r="H26">
        <v>0</v>
      </c>
      <c r="I26">
        <v>2</v>
      </c>
      <c r="J26">
        <v>0.46</v>
      </c>
      <c r="K26">
        <v>0.45450000000000002</v>
      </c>
      <c r="L26">
        <v>0.88</v>
      </c>
      <c r="M26">
        <v>0.29849999999999999</v>
      </c>
      <c r="N26">
        <v>4</v>
      </c>
      <c r="O26">
        <v>13</v>
      </c>
      <c r="P26">
        <v>17</v>
      </c>
    </row>
    <row r="27" spans="1:16" x14ac:dyDescent="0.3">
      <c r="A27">
        <v>26</v>
      </c>
      <c r="B27" s="21">
        <v>40545</v>
      </c>
      <c r="C27">
        <v>1</v>
      </c>
      <c r="D27">
        <v>0</v>
      </c>
      <c r="E27">
        <v>1</v>
      </c>
      <c r="F27">
        <v>1</v>
      </c>
      <c r="G27" t="b">
        <v>0</v>
      </c>
      <c r="H27">
        <v>0</v>
      </c>
      <c r="I27">
        <v>2</v>
      </c>
      <c r="J27">
        <v>0.44</v>
      </c>
      <c r="K27">
        <v>0.43940000000000001</v>
      </c>
      <c r="L27">
        <v>0.94</v>
      </c>
      <c r="M27">
        <v>0.25369999999999998</v>
      </c>
      <c r="N27">
        <v>1</v>
      </c>
      <c r="O27">
        <v>16</v>
      </c>
      <c r="P27">
        <v>17</v>
      </c>
    </row>
    <row r="28" spans="1:16" x14ac:dyDescent="0.3">
      <c r="A28">
        <v>27</v>
      </c>
      <c r="B28" s="21">
        <v>40545</v>
      </c>
      <c r="C28">
        <v>1</v>
      </c>
      <c r="D28">
        <v>0</v>
      </c>
      <c r="E28">
        <v>1</v>
      </c>
      <c r="F28">
        <v>2</v>
      </c>
      <c r="G28" t="b">
        <v>0</v>
      </c>
      <c r="H28">
        <v>0</v>
      </c>
      <c r="I28">
        <v>2</v>
      </c>
      <c r="J28">
        <v>0.42</v>
      </c>
      <c r="K28">
        <v>0.42420000000000002</v>
      </c>
      <c r="L28">
        <v>1</v>
      </c>
      <c r="M28">
        <v>0.28360000000000002</v>
      </c>
      <c r="N28">
        <v>1</v>
      </c>
      <c r="O28">
        <v>8</v>
      </c>
      <c r="P28">
        <v>9</v>
      </c>
    </row>
    <row r="29" spans="1:16" x14ac:dyDescent="0.3">
      <c r="A29">
        <v>28</v>
      </c>
      <c r="B29" s="21">
        <v>40545</v>
      </c>
      <c r="C29">
        <v>1</v>
      </c>
      <c r="D29">
        <v>0</v>
      </c>
      <c r="E29">
        <v>1</v>
      </c>
      <c r="F29">
        <v>3</v>
      </c>
      <c r="G29" t="b">
        <v>0</v>
      </c>
      <c r="H29">
        <v>0</v>
      </c>
      <c r="I29">
        <v>2</v>
      </c>
      <c r="J29">
        <v>0.46</v>
      </c>
      <c r="K29">
        <v>0.45450000000000002</v>
      </c>
      <c r="L29">
        <v>0.94</v>
      </c>
      <c r="M29">
        <v>0.19400000000000001</v>
      </c>
      <c r="N29">
        <v>2</v>
      </c>
      <c r="O29">
        <v>4</v>
      </c>
      <c r="P29">
        <v>6</v>
      </c>
    </row>
    <row r="30" spans="1:16" x14ac:dyDescent="0.3">
      <c r="A30">
        <v>29</v>
      </c>
      <c r="B30" s="21">
        <v>40545</v>
      </c>
      <c r="C30">
        <v>1</v>
      </c>
      <c r="D30">
        <v>0</v>
      </c>
      <c r="E30">
        <v>1</v>
      </c>
      <c r="F30">
        <v>4</v>
      </c>
      <c r="G30" t="b">
        <v>0</v>
      </c>
      <c r="H30">
        <v>0</v>
      </c>
      <c r="I30">
        <v>2</v>
      </c>
      <c r="J30">
        <v>0.46</v>
      </c>
      <c r="L30">
        <v>0.94</v>
      </c>
      <c r="M30">
        <v>0.19400000000000001</v>
      </c>
      <c r="N30">
        <v>2</v>
      </c>
      <c r="O30">
        <v>1</v>
      </c>
      <c r="P30">
        <v>3</v>
      </c>
    </row>
    <row r="31" spans="1:16" x14ac:dyDescent="0.3">
      <c r="A31">
        <v>30</v>
      </c>
      <c r="B31" s="21">
        <v>40545</v>
      </c>
      <c r="C31">
        <v>1</v>
      </c>
      <c r="D31">
        <v>0</v>
      </c>
      <c r="E31">
        <v>1</v>
      </c>
      <c r="F31">
        <v>6</v>
      </c>
      <c r="G31" t="b">
        <v>0</v>
      </c>
      <c r="H31">
        <v>0</v>
      </c>
      <c r="I31">
        <v>3</v>
      </c>
      <c r="J31">
        <v>0.42</v>
      </c>
      <c r="K31">
        <v>0.42420000000000002</v>
      </c>
      <c r="L31">
        <v>0.77</v>
      </c>
      <c r="M31">
        <v>0.29849999999999999</v>
      </c>
      <c r="N31">
        <v>0</v>
      </c>
      <c r="O31">
        <v>2</v>
      </c>
      <c r="P31">
        <v>2</v>
      </c>
    </row>
    <row r="32" spans="1:16" x14ac:dyDescent="0.3">
      <c r="A32">
        <v>31</v>
      </c>
      <c r="B32" s="21">
        <v>40545</v>
      </c>
      <c r="C32">
        <v>1</v>
      </c>
      <c r="D32">
        <v>0</v>
      </c>
      <c r="E32">
        <v>1</v>
      </c>
      <c r="F32">
        <v>7</v>
      </c>
      <c r="G32" t="b">
        <v>0</v>
      </c>
      <c r="H32">
        <v>0</v>
      </c>
      <c r="I32">
        <v>2</v>
      </c>
      <c r="J32">
        <v>0.4</v>
      </c>
      <c r="K32">
        <v>0.40910000000000002</v>
      </c>
      <c r="L32">
        <v>0.76</v>
      </c>
      <c r="M32">
        <v>0.19400000000000001</v>
      </c>
      <c r="N32">
        <v>0</v>
      </c>
      <c r="O32">
        <v>1</v>
      </c>
      <c r="P32">
        <v>1</v>
      </c>
    </row>
    <row r="33" spans="1:16" x14ac:dyDescent="0.3">
      <c r="A33">
        <v>32</v>
      </c>
      <c r="B33" s="21">
        <v>40545</v>
      </c>
      <c r="C33">
        <v>1</v>
      </c>
      <c r="D33">
        <v>0</v>
      </c>
      <c r="E33">
        <v>1</v>
      </c>
      <c r="F33">
        <v>8</v>
      </c>
      <c r="G33" t="b">
        <v>0</v>
      </c>
      <c r="H33">
        <v>0</v>
      </c>
      <c r="I33">
        <v>3</v>
      </c>
      <c r="J33">
        <v>0.4</v>
      </c>
      <c r="K33">
        <v>0.40910000000000002</v>
      </c>
      <c r="L33">
        <v>0.71</v>
      </c>
      <c r="M33">
        <v>0.22389999999999999</v>
      </c>
      <c r="N33">
        <v>0</v>
      </c>
      <c r="O33">
        <v>8</v>
      </c>
      <c r="P33">
        <v>8</v>
      </c>
    </row>
    <row r="34" spans="1:16" x14ac:dyDescent="0.3">
      <c r="A34">
        <v>33</v>
      </c>
      <c r="B34" s="21">
        <v>40545</v>
      </c>
      <c r="C34">
        <v>1</v>
      </c>
      <c r="D34">
        <v>0</v>
      </c>
      <c r="E34">
        <v>1</v>
      </c>
      <c r="F34">
        <v>9</v>
      </c>
      <c r="G34" t="b">
        <v>0</v>
      </c>
      <c r="H34">
        <v>0</v>
      </c>
      <c r="I34">
        <v>2</v>
      </c>
      <c r="J34">
        <v>0.38</v>
      </c>
      <c r="L34">
        <v>0.76</v>
      </c>
      <c r="M34">
        <v>0.22389999999999999</v>
      </c>
      <c r="N34">
        <v>1</v>
      </c>
      <c r="O34">
        <v>19</v>
      </c>
      <c r="P34">
        <v>20</v>
      </c>
    </row>
    <row r="35" spans="1:16" x14ac:dyDescent="0.3">
      <c r="A35">
        <v>34</v>
      </c>
      <c r="B35" s="21">
        <v>40545</v>
      </c>
      <c r="C35">
        <v>1</v>
      </c>
      <c r="D35">
        <v>0</v>
      </c>
      <c r="E35">
        <v>1</v>
      </c>
      <c r="F35">
        <v>10</v>
      </c>
      <c r="G35" t="b">
        <v>0</v>
      </c>
      <c r="H35">
        <v>0</v>
      </c>
      <c r="I35">
        <v>2</v>
      </c>
      <c r="J35">
        <v>0.36</v>
      </c>
      <c r="K35">
        <v>0.34849999999999998</v>
      </c>
      <c r="L35">
        <v>0.81</v>
      </c>
      <c r="M35">
        <v>0.22389999999999999</v>
      </c>
      <c r="N35">
        <v>7</v>
      </c>
      <c r="O35">
        <v>46</v>
      </c>
      <c r="P35">
        <v>53</v>
      </c>
    </row>
    <row r="36" spans="1:16" x14ac:dyDescent="0.3">
      <c r="A36">
        <v>35</v>
      </c>
      <c r="B36" s="21">
        <v>40545</v>
      </c>
      <c r="C36">
        <v>1</v>
      </c>
      <c r="D36">
        <v>0</v>
      </c>
      <c r="E36">
        <v>1</v>
      </c>
      <c r="F36">
        <v>11</v>
      </c>
      <c r="G36" t="b">
        <v>0</v>
      </c>
      <c r="H36">
        <v>0</v>
      </c>
      <c r="I36">
        <v>2</v>
      </c>
      <c r="J36">
        <v>0.36</v>
      </c>
      <c r="K36">
        <v>0.33329999999999999</v>
      </c>
      <c r="L36">
        <v>0.71</v>
      </c>
      <c r="M36">
        <v>0.25369999999999998</v>
      </c>
      <c r="N36">
        <v>16</v>
      </c>
      <c r="O36">
        <v>54</v>
      </c>
      <c r="P36">
        <v>70</v>
      </c>
    </row>
    <row r="37" spans="1:16" x14ac:dyDescent="0.3">
      <c r="A37">
        <v>36</v>
      </c>
      <c r="B37" s="21">
        <v>40545</v>
      </c>
      <c r="C37">
        <v>1</v>
      </c>
      <c r="D37">
        <v>0</v>
      </c>
      <c r="E37">
        <v>1</v>
      </c>
      <c r="F37">
        <v>12</v>
      </c>
      <c r="G37" t="b">
        <v>0</v>
      </c>
      <c r="H37">
        <v>0</v>
      </c>
      <c r="I37">
        <v>2</v>
      </c>
      <c r="J37">
        <v>0.36</v>
      </c>
      <c r="K37">
        <v>0.33329999999999999</v>
      </c>
      <c r="L37">
        <v>0.66</v>
      </c>
      <c r="M37">
        <v>0.29849999999999999</v>
      </c>
      <c r="N37">
        <v>20</v>
      </c>
      <c r="O37">
        <v>73</v>
      </c>
      <c r="P37">
        <v>93</v>
      </c>
    </row>
    <row r="38" spans="1:16" x14ac:dyDescent="0.3">
      <c r="A38">
        <v>37</v>
      </c>
      <c r="B38" s="21">
        <v>40545</v>
      </c>
      <c r="C38">
        <v>1</v>
      </c>
      <c r="D38">
        <v>0</v>
      </c>
      <c r="E38">
        <v>1</v>
      </c>
      <c r="F38">
        <v>13</v>
      </c>
      <c r="G38" t="b">
        <v>0</v>
      </c>
      <c r="H38">
        <v>0</v>
      </c>
      <c r="I38">
        <v>2</v>
      </c>
      <c r="J38">
        <v>0.36</v>
      </c>
      <c r="K38">
        <v>0.34849999999999998</v>
      </c>
      <c r="L38">
        <v>0.66</v>
      </c>
      <c r="M38">
        <v>0.1343</v>
      </c>
      <c r="N38">
        <v>11</v>
      </c>
      <c r="O38">
        <v>64</v>
      </c>
      <c r="P38">
        <v>75</v>
      </c>
    </row>
    <row r="39" spans="1:16" x14ac:dyDescent="0.3">
      <c r="A39">
        <v>38</v>
      </c>
      <c r="B39" s="21">
        <v>40545</v>
      </c>
      <c r="C39">
        <v>1</v>
      </c>
      <c r="D39">
        <v>0</v>
      </c>
      <c r="E39">
        <v>1</v>
      </c>
      <c r="F39">
        <v>14</v>
      </c>
      <c r="G39" t="b">
        <v>0</v>
      </c>
      <c r="H39">
        <v>0</v>
      </c>
      <c r="I39">
        <v>3</v>
      </c>
      <c r="J39">
        <v>0.36</v>
      </c>
      <c r="L39">
        <v>0.76</v>
      </c>
      <c r="M39">
        <v>0.19400000000000001</v>
      </c>
      <c r="N39">
        <v>4</v>
      </c>
      <c r="O39">
        <v>55</v>
      </c>
      <c r="P39">
        <v>59</v>
      </c>
    </row>
    <row r="40" spans="1:16" x14ac:dyDescent="0.3">
      <c r="A40">
        <v>39</v>
      </c>
      <c r="B40" s="21">
        <v>40545</v>
      </c>
      <c r="C40">
        <v>1</v>
      </c>
      <c r="D40">
        <v>0</v>
      </c>
      <c r="E40">
        <v>1</v>
      </c>
      <c r="F40">
        <v>15</v>
      </c>
      <c r="G40" t="b">
        <v>0</v>
      </c>
      <c r="H40">
        <v>0</v>
      </c>
      <c r="I40">
        <v>3</v>
      </c>
      <c r="J40">
        <v>0.34</v>
      </c>
      <c r="K40">
        <v>0.33329999999999999</v>
      </c>
      <c r="L40">
        <v>0.81</v>
      </c>
      <c r="M40">
        <v>0.16420000000000001</v>
      </c>
      <c r="N40">
        <v>19</v>
      </c>
      <c r="O40">
        <v>55</v>
      </c>
      <c r="P40">
        <v>74</v>
      </c>
    </row>
    <row r="41" spans="1:16" x14ac:dyDescent="0.3">
      <c r="A41">
        <v>40</v>
      </c>
      <c r="B41" s="21">
        <v>40545</v>
      </c>
      <c r="C41">
        <v>1</v>
      </c>
      <c r="D41">
        <v>0</v>
      </c>
      <c r="E41">
        <v>1</v>
      </c>
      <c r="F41">
        <v>16</v>
      </c>
      <c r="G41" t="b">
        <v>0</v>
      </c>
      <c r="H41">
        <v>0</v>
      </c>
      <c r="I41">
        <v>3</v>
      </c>
      <c r="J41">
        <v>0.34</v>
      </c>
      <c r="K41">
        <v>0.33329999999999999</v>
      </c>
      <c r="L41">
        <v>0.71</v>
      </c>
      <c r="M41">
        <v>0.16420000000000001</v>
      </c>
      <c r="N41">
        <v>9</v>
      </c>
      <c r="O41">
        <v>67</v>
      </c>
      <c r="P41">
        <v>76</v>
      </c>
    </row>
    <row r="42" spans="1:16" x14ac:dyDescent="0.3">
      <c r="A42">
        <v>41</v>
      </c>
      <c r="B42" s="21">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
      <c r="A43">
        <v>42</v>
      </c>
      <c r="B43" s="21">
        <v>40545</v>
      </c>
      <c r="C43">
        <v>1</v>
      </c>
      <c r="D43">
        <v>0</v>
      </c>
      <c r="E43">
        <v>1</v>
      </c>
      <c r="F43">
        <v>18</v>
      </c>
      <c r="G43" t="b">
        <v>0</v>
      </c>
      <c r="H43">
        <v>0</v>
      </c>
      <c r="I43">
        <v>2</v>
      </c>
      <c r="J43">
        <v>0.36</v>
      </c>
      <c r="K43">
        <v>0.33329999999999999</v>
      </c>
      <c r="L43">
        <v>0.46</v>
      </c>
      <c r="M43">
        <v>0.32840000000000003</v>
      </c>
      <c r="N43">
        <v>10</v>
      </c>
      <c r="O43">
        <v>43</v>
      </c>
      <c r="P43">
        <v>53</v>
      </c>
    </row>
    <row r="44" spans="1:16" x14ac:dyDescent="0.3">
      <c r="A44">
        <v>43</v>
      </c>
      <c r="B44" s="21">
        <v>40545</v>
      </c>
      <c r="C44">
        <v>1</v>
      </c>
      <c r="D44">
        <v>0</v>
      </c>
      <c r="E44">
        <v>1</v>
      </c>
      <c r="F44">
        <v>19</v>
      </c>
      <c r="G44" t="b">
        <v>0</v>
      </c>
      <c r="H44">
        <v>0</v>
      </c>
      <c r="I44">
        <v>1</v>
      </c>
      <c r="J44">
        <v>0.32</v>
      </c>
      <c r="K44">
        <v>0.28789999999999999</v>
      </c>
      <c r="L44">
        <v>0.42</v>
      </c>
      <c r="M44">
        <v>0.44779999999999998</v>
      </c>
      <c r="N44">
        <v>1</v>
      </c>
      <c r="O44">
        <v>29</v>
      </c>
      <c r="P44">
        <v>30</v>
      </c>
    </row>
    <row r="45" spans="1:16" x14ac:dyDescent="0.3">
      <c r="A45">
        <v>44</v>
      </c>
      <c r="B45" s="21">
        <v>40545</v>
      </c>
      <c r="C45">
        <v>1</v>
      </c>
      <c r="D45">
        <v>0</v>
      </c>
      <c r="E45">
        <v>1</v>
      </c>
      <c r="F45">
        <v>20</v>
      </c>
      <c r="G45" t="b">
        <v>0</v>
      </c>
      <c r="H45">
        <v>0</v>
      </c>
      <c r="I45">
        <v>1</v>
      </c>
      <c r="J45">
        <v>0.3</v>
      </c>
      <c r="L45">
        <v>0.39</v>
      </c>
      <c r="M45">
        <v>0.35820000000000002</v>
      </c>
      <c r="N45">
        <v>5</v>
      </c>
      <c r="O45">
        <v>17</v>
      </c>
      <c r="P45">
        <v>22</v>
      </c>
    </row>
    <row r="46" spans="1:16" x14ac:dyDescent="0.3">
      <c r="A46">
        <v>45</v>
      </c>
      <c r="B46" s="21">
        <v>40545</v>
      </c>
      <c r="C46">
        <v>1</v>
      </c>
      <c r="D46">
        <v>0</v>
      </c>
      <c r="E46">
        <v>1</v>
      </c>
      <c r="F46">
        <v>21</v>
      </c>
      <c r="G46" t="b">
        <v>0</v>
      </c>
      <c r="H46">
        <v>0</v>
      </c>
      <c r="I46">
        <v>1</v>
      </c>
      <c r="J46">
        <v>0.26</v>
      </c>
      <c r="K46">
        <v>0.2273</v>
      </c>
      <c r="L46">
        <v>0.44</v>
      </c>
      <c r="M46">
        <v>0.32840000000000003</v>
      </c>
      <c r="N46">
        <v>11</v>
      </c>
      <c r="O46">
        <v>20</v>
      </c>
      <c r="P46">
        <v>31</v>
      </c>
    </row>
    <row r="47" spans="1:16" x14ac:dyDescent="0.3">
      <c r="A47">
        <v>46</v>
      </c>
      <c r="B47" s="21">
        <v>40545</v>
      </c>
      <c r="C47">
        <v>1</v>
      </c>
      <c r="D47">
        <v>0</v>
      </c>
      <c r="E47">
        <v>1</v>
      </c>
      <c r="F47">
        <v>22</v>
      </c>
      <c r="G47" t="b">
        <v>0</v>
      </c>
      <c r="H47">
        <v>0</v>
      </c>
      <c r="I47">
        <v>1</v>
      </c>
      <c r="J47">
        <v>0.24</v>
      </c>
      <c r="K47">
        <v>0.21210000000000001</v>
      </c>
      <c r="L47">
        <v>0.44</v>
      </c>
      <c r="M47">
        <v>0.29849999999999999</v>
      </c>
      <c r="N47">
        <v>0</v>
      </c>
      <c r="O47">
        <v>9</v>
      </c>
      <c r="P47">
        <v>9</v>
      </c>
    </row>
    <row r="48" spans="1:16" x14ac:dyDescent="0.3">
      <c r="A48">
        <v>47</v>
      </c>
      <c r="B48" s="21">
        <v>40545</v>
      </c>
      <c r="C48">
        <v>1</v>
      </c>
      <c r="D48">
        <v>0</v>
      </c>
      <c r="E48">
        <v>1</v>
      </c>
      <c r="F48">
        <v>23</v>
      </c>
      <c r="G48" t="b">
        <v>0</v>
      </c>
      <c r="H48">
        <v>0</v>
      </c>
      <c r="I48">
        <v>1</v>
      </c>
      <c r="J48">
        <v>0.22</v>
      </c>
      <c r="K48">
        <v>0.2273</v>
      </c>
      <c r="L48">
        <v>0.47</v>
      </c>
      <c r="M48">
        <v>0.16420000000000001</v>
      </c>
      <c r="N48">
        <v>0</v>
      </c>
      <c r="O48">
        <v>8</v>
      </c>
      <c r="P48">
        <v>8</v>
      </c>
    </row>
    <row r="49" spans="1:16" x14ac:dyDescent="0.3">
      <c r="A49">
        <v>48</v>
      </c>
      <c r="B49" s="21">
        <v>40546</v>
      </c>
      <c r="C49">
        <v>1</v>
      </c>
      <c r="D49">
        <v>0</v>
      </c>
      <c r="E49">
        <v>1</v>
      </c>
      <c r="F49">
        <v>0</v>
      </c>
      <c r="G49" t="b">
        <v>0</v>
      </c>
      <c r="H49">
        <v>1</v>
      </c>
      <c r="I49">
        <v>1</v>
      </c>
      <c r="J49">
        <v>0.22</v>
      </c>
      <c r="K49">
        <v>0.19700000000000001</v>
      </c>
      <c r="L49">
        <v>0.44</v>
      </c>
      <c r="M49">
        <v>0.35820000000000002</v>
      </c>
      <c r="N49">
        <v>0</v>
      </c>
      <c r="O49">
        <v>5</v>
      </c>
      <c r="P49">
        <v>5</v>
      </c>
    </row>
    <row r="50" spans="1:16" x14ac:dyDescent="0.3">
      <c r="A50">
        <v>49</v>
      </c>
      <c r="B50" s="21">
        <v>40546</v>
      </c>
      <c r="C50">
        <v>1</v>
      </c>
      <c r="D50">
        <v>0</v>
      </c>
      <c r="E50">
        <v>1</v>
      </c>
      <c r="F50">
        <v>1</v>
      </c>
      <c r="G50" t="b">
        <v>0</v>
      </c>
      <c r="H50">
        <v>1</v>
      </c>
      <c r="I50">
        <v>1</v>
      </c>
      <c r="J50">
        <v>0.2</v>
      </c>
      <c r="L50">
        <v>0.44</v>
      </c>
      <c r="M50">
        <v>0.41789999999999999</v>
      </c>
      <c r="N50">
        <v>0</v>
      </c>
      <c r="O50">
        <v>2</v>
      </c>
      <c r="P50">
        <v>2</v>
      </c>
    </row>
    <row r="51" spans="1:16" x14ac:dyDescent="0.3">
      <c r="A51">
        <v>50</v>
      </c>
      <c r="B51" s="21">
        <v>40546</v>
      </c>
      <c r="C51">
        <v>1</v>
      </c>
      <c r="D51">
        <v>0</v>
      </c>
      <c r="E51">
        <v>1</v>
      </c>
      <c r="F51">
        <v>4</v>
      </c>
      <c r="G51" t="b">
        <v>0</v>
      </c>
      <c r="H51">
        <v>1</v>
      </c>
      <c r="I51">
        <v>1</v>
      </c>
      <c r="J51">
        <v>0.16</v>
      </c>
      <c r="K51">
        <v>0.13639999999999999</v>
      </c>
      <c r="L51">
        <v>0.47</v>
      </c>
      <c r="M51">
        <v>0.3881</v>
      </c>
      <c r="N51">
        <v>0</v>
      </c>
      <c r="O51">
        <v>1</v>
      </c>
      <c r="P51">
        <v>1</v>
      </c>
    </row>
    <row r="52" spans="1:16" x14ac:dyDescent="0.3">
      <c r="A52">
        <v>51</v>
      </c>
      <c r="B52" s="21">
        <v>40546</v>
      </c>
      <c r="C52">
        <v>1</v>
      </c>
      <c r="D52">
        <v>0</v>
      </c>
      <c r="E52">
        <v>1</v>
      </c>
      <c r="F52">
        <v>5</v>
      </c>
      <c r="G52" t="b">
        <v>0</v>
      </c>
      <c r="H52">
        <v>1</v>
      </c>
      <c r="I52">
        <v>1</v>
      </c>
      <c r="J52">
        <v>0.16</v>
      </c>
      <c r="K52">
        <v>0.13639999999999999</v>
      </c>
      <c r="L52">
        <v>0.47</v>
      </c>
      <c r="M52">
        <v>0.28360000000000002</v>
      </c>
      <c r="N52">
        <v>0</v>
      </c>
      <c r="O52">
        <v>3</v>
      </c>
      <c r="P52">
        <v>3</v>
      </c>
    </row>
    <row r="53" spans="1:16" x14ac:dyDescent="0.3">
      <c r="A53">
        <v>52</v>
      </c>
      <c r="B53" s="21">
        <v>40546</v>
      </c>
      <c r="C53">
        <v>1</v>
      </c>
      <c r="D53">
        <v>0</v>
      </c>
      <c r="E53">
        <v>1</v>
      </c>
      <c r="F53">
        <v>6</v>
      </c>
      <c r="G53" t="b">
        <v>0</v>
      </c>
      <c r="H53">
        <v>1</v>
      </c>
      <c r="I53">
        <v>1</v>
      </c>
      <c r="J53">
        <v>0.14000000000000001</v>
      </c>
      <c r="K53">
        <v>0.1061</v>
      </c>
      <c r="L53">
        <v>0.5</v>
      </c>
      <c r="M53">
        <v>0.3881</v>
      </c>
      <c r="N53">
        <v>0</v>
      </c>
      <c r="O53">
        <v>30</v>
      </c>
      <c r="P53">
        <v>30</v>
      </c>
    </row>
    <row r="54" spans="1:16" x14ac:dyDescent="0.3">
      <c r="A54">
        <v>53</v>
      </c>
      <c r="B54" s="21">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
      <c r="A55">
        <v>54</v>
      </c>
      <c r="B55" s="21">
        <v>40546</v>
      </c>
      <c r="C55">
        <v>1</v>
      </c>
      <c r="D55">
        <v>0</v>
      </c>
      <c r="E55">
        <v>1</v>
      </c>
      <c r="F55">
        <v>8</v>
      </c>
      <c r="G55" t="b">
        <v>0</v>
      </c>
      <c r="H55">
        <v>1</v>
      </c>
      <c r="I55">
        <v>1</v>
      </c>
      <c r="J55">
        <v>0.14000000000000001</v>
      </c>
      <c r="K55">
        <v>0.1212</v>
      </c>
      <c r="L55">
        <v>0.5</v>
      </c>
      <c r="M55">
        <v>0.28360000000000002</v>
      </c>
      <c r="N55">
        <v>1</v>
      </c>
      <c r="O55">
        <v>153</v>
      </c>
      <c r="P55">
        <v>154</v>
      </c>
    </row>
    <row r="56" spans="1:16" x14ac:dyDescent="0.3">
      <c r="A56">
        <v>55</v>
      </c>
      <c r="B56" s="21">
        <v>40546</v>
      </c>
      <c r="C56">
        <v>1</v>
      </c>
      <c r="D56">
        <v>0</v>
      </c>
      <c r="E56">
        <v>1</v>
      </c>
      <c r="F56">
        <v>9</v>
      </c>
      <c r="G56" t="b">
        <v>0</v>
      </c>
      <c r="H56">
        <v>1</v>
      </c>
      <c r="I56">
        <v>1</v>
      </c>
      <c r="J56">
        <v>0.16</v>
      </c>
      <c r="K56">
        <v>0.13639999999999999</v>
      </c>
      <c r="L56">
        <v>0.43</v>
      </c>
      <c r="M56">
        <v>0.3881</v>
      </c>
      <c r="N56">
        <v>7</v>
      </c>
      <c r="O56">
        <v>81</v>
      </c>
      <c r="P56">
        <v>88</v>
      </c>
    </row>
    <row r="57" spans="1:16" x14ac:dyDescent="0.3">
      <c r="A57">
        <v>56</v>
      </c>
      <c r="B57" s="21">
        <v>40546</v>
      </c>
      <c r="C57">
        <v>1</v>
      </c>
      <c r="D57">
        <v>0</v>
      </c>
      <c r="E57">
        <v>1</v>
      </c>
      <c r="F57">
        <v>10</v>
      </c>
      <c r="G57" t="b">
        <v>0</v>
      </c>
      <c r="H57">
        <v>1</v>
      </c>
      <c r="I57">
        <v>1</v>
      </c>
      <c r="J57">
        <v>0.18</v>
      </c>
      <c r="K57">
        <v>0.16669999999999999</v>
      </c>
      <c r="L57">
        <v>0.43</v>
      </c>
      <c r="M57">
        <v>0.25369999999999998</v>
      </c>
      <c r="N57">
        <v>11</v>
      </c>
      <c r="O57">
        <v>33</v>
      </c>
      <c r="P57">
        <v>44</v>
      </c>
    </row>
    <row r="58" spans="1:16" x14ac:dyDescent="0.3">
      <c r="A58">
        <v>57</v>
      </c>
      <c r="B58" s="21">
        <v>40546</v>
      </c>
      <c r="C58">
        <v>1</v>
      </c>
      <c r="D58">
        <v>0</v>
      </c>
      <c r="E58">
        <v>1</v>
      </c>
      <c r="F58">
        <v>11</v>
      </c>
      <c r="G58" t="b">
        <v>0</v>
      </c>
      <c r="H58">
        <v>1</v>
      </c>
      <c r="I58">
        <v>1</v>
      </c>
      <c r="J58">
        <v>0.2</v>
      </c>
      <c r="K58">
        <v>0.18179999999999999</v>
      </c>
      <c r="L58">
        <v>0.4</v>
      </c>
      <c r="M58">
        <v>0.32840000000000003</v>
      </c>
      <c r="N58">
        <v>10</v>
      </c>
      <c r="O58">
        <v>41</v>
      </c>
      <c r="P58">
        <v>51</v>
      </c>
    </row>
    <row r="59" spans="1:16" x14ac:dyDescent="0.3">
      <c r="A59">
        <v>58</v>
      </c>
      <c r="B59" s="21">
        <v>40546</v>
      </c>
      <c r="C59">
        <v>1</v>
      </c>
      <c r="D59">
        <v>0</v>
      </c>
      <c r="E59">
        <v>1</v>
      </c>
      <c r="F59">
        <v>12</v>
      </c>
      <c r="G59" t="b">
        <v>0</v>
      </c>
      <c r="H59">
        <v>1</v>
      </c>
      <c r="I59">
        <v>1</v>
      </c>
      <c r="J59">
        <v>0.22</v>
      </c>
      <c r="K59">
        <v>0.21210000000000001</v>
      </c>
      <c r="L59">
        <v>0.35</v>
      </c>
      <c r="M59">
        <v>0.29849999999999999</v>
      </c>
      <c r="N59">
        <v>13</v>
      </c>
      <c r="O59">
        <v>48</v>
      </c>
      <c r="P59">
        <v>61</v>
      </c>
    </row>
    <row r="60" spans="1:16" x14ac:dyDescent="0.3">
      <c r="A60">
        <v>59</v>
      </c>
      <c r="B60" s="21">
        <v>40546</v>
      </c>
      <c r="C60">
        <v>1</v>
      </c>
      <c r="D60">
        <v>0</v>
      </c>
      <c r="E60">
        <v>1</v>
      </c>
      <c r="F60">
        <v>13</v>
      </c>
      <c r="G60" t="b">
        <v>0</v>
      </c>
      <c r="H60">
        <v>1</v>
      </c>
      <c r="I60">
        <v>1</v>
      </c>
      <c r="J60">
        <v>0.24</v>
      </c>
      <c r="L60">
        <v>0.35</v>
      </c>
      <c r="M60">
        <v>0.28360000000000002</v>
      </c>
      <c r="N60">
        <v>8</v>
      </c>
      <c r="O60">
        <v>53</v>
      </c>
      <c r="P60">
        <v>61</v>
      </c>
    </row>
    <row r="61" spans="1:16" x14ac:dyDescent="0.3">
      <c r="A61">
        <v>60</v>
      </c>
      <c r="B61" s="21">
        <v>40546</v>
      </c>
      <c r="C61">
        <v>1</v>
      </c>
      <c r="D61">
        <v>0</v>
      </c>
      <c r="E61">
        <v>1</v>
      </c>
      <c r="F61">
        <v>14</v>
      </c>
      <c r="G61" t="b">
        <v>0</v>
      </c>
      <c r="H61">
        <v>1</v>
      </c>
      <c r="I61">
        <v>1</v>
      </c>
      <c r="J61">
        <v>0.26</v>
      </c>
      <c r="K61">
        <v>0.2424</v>
      </c>
      <c r="L61">
        <v>0.3</v>
      </c>
      <c r="M61">
        <v>0.28360000000000002</v>
      </c>
      <c r="N61">
        <v>11</v>
      </c>
      <c r="O61">
        <v>66</v>
      </c>
      <c r="P61">
        <v>77</v>
      </c>
    </row>
    <row r="62" spans="1:16" x14ac:dyDescent="0.3">
      <c r="A62">
        <v>61</v>
      </c>
      <c r="B62" s="21">
        <v>40546</v>
      </c>
      <c r="C62">
        <v>1</v>
      </c>
      <c r="D62">
        <v>0</v>
      </c>
      <c r="E62">
        <v>1</v>
      </c>
      <c r="F62">
        <v>15</v>
      </c>
      <c r="G62" t="b">
        <v>0</v>
      </c>
      <c r="H62">
        <v>1</v>
      </c>
      <c r="I62">
        <v>1</v>
      </c>
      <c r="J62">
        <v>0.26</v>
      </c>
      <c r="K62">
        <v>0.2424</v>
      </c>
      <c r="L62">
        <v>0.3</v>
      </c>
      <c r="M62">
        <v>0.25369999999999998</v>
      </c>
      <c r="N62">
        <v>14</v>
      </c>
      <c r="O62">
        <v>58</v>
      </c>
      <c r="P62">
        <v>72</v>
      </c>
    </row>
    <row r="63" spans="1:16" x14ac:dyDescent="0.3">
      <c r="A63">
        <v>62</v>
      </c>
      <c r="B63" s="21">
        <v>40546</v>
      </c>
      <c r="C63">
        <v>1</v>
      </c>
      <c r="D63">
        <v>0</v>
      </c>
      <c r="E63">
        <v>1</v>
      </c>
      <c r="F63">
        <v>16</v>
      </c>
      <c r="G63" t="b">
        <v>0</v>
      </c>
      <c r="H63">
        <v>1</v>
      </c>
      <c r="I63">
        <v>1</v>
      </c>
      <c r="J63">
        <v>0.26</v>
      </c>
      <c r="K63">
        <v>0.2424</v>
      </c>
      <c r="L63">
        <v>0.3</v>
      </c>
      <c r="M63">
        <v>0.25369999999999998</v>
      </c>
      <c r="N63">
        <v>9</v>
      </c>
      <c r="O63">
        <v>67</v>
      </c>
      <c r="P63">
        <v>76</v>
      </c>
    </row>
    <row r="64" spans="1:16" x14ac:dyDescent="0.3">
      <c r="A64">
        <v>63</v>
      </c>
      <c r="B64" s="21">
        <v>40546</v>
      </c>
      <c r="C64">
        <v>1</v>
      </c>
      <c r="D64">
        <v>0</v>
      </c>
      <c r="E64">
        <v>1</v>
      </c>
      <c r="F64">
        <v>17</v>
      </c>
      <c r="G64" t="b">
        <v>0</v>
      </c>
      <c r="H64">
        <v>1</v>
      </c>
      <c r="I64">
        <v>1</v>
      </c>
      <c r="J64">
        <v>0.24</v>
      </c>
      <c r="K64">
        <v>0.2273</v>
      </c>
      <c r="L64">
        <v>0.3</v>
      </c>
      <c r="M64">
        <v>0.22389999999999999</v>
      </c>
      <c r="N64">
        <v>11</v>
      </c>
      <c r="O64">
        <v>146</v>
      </c>
      <c r="P64">
        <v>157</v>
      </c>
    </row>
    <row r="65" spans="1:16" x14ac:dyDescent="0.3">
      <c r="A65">
        <v>64</v>
      </c>
      <c r="B65" s="21">
        <v>40546</v>
      </c>
      <c r="C65">
        <v>1</v>
      </c>
      <c r="D65">
        <v>0</v>
      </c>
      <c r="E65">
        <v>1</v>
      </c>
      <c r="F65">
        <v>18</v>
      </c>
      <c r="G65" t="b">
        <v>0</v>
      </c>
      <c r="H65">
        <v>1</v>
      </c>
      <c r="I65">
        <v>1</v>
      </c>
      <c r="J65">
        <v>0.24</v>
      </c>
      <c r="K65">
        <v>0.2576</v>
      </c>
      <c r="L65">
        <v>0.32</v>
      </c>
      <c r="M65">
        <v>0.1045</v>
      </c>
      <c r="N65">
        <v>9</v>
      </c>
      <c r="O65">
        <v>148</v>
      </c>
      <c r="P65">
        <v>157</v>
      </c>
    </row>
    <row r="66" spans="1:16" x14ac:dyDescent="0.3">
      <c r="A66">
        <v>65</v>
      </c>
      <c r="B66" s="21">
        <v>40546</v>
      </c>
      <c r="C66">
        <v>1</v>
      </c>
      <c r="D66">
        <v>0</v>
      </c>
      <c r="E66">
        <v>1</v>
      </c>
      <c r="F66">
        <v>19</v>
      </c>
      <c r="G66" t="b">
        <v>0</v>
      </c>
      <c r="H66">
        <v>1</v>
      </c>
      <c r="I66">
        <v>1</v>
      </c>
      <c r="J66">
        <v>0.2</v>
      </c>
      <c r="K66">
        <v>0.2576</v>
      </c>
      <c r="L66">
        <v>0.47</v>
      </c>
      <c r="M66">
        <v>0</v>
      </c>
      <c r="N66">
        <v>8</v>
      </c>
      <c r="O66">
        <v>102</v>
      </c>
      <c r="P66">
        <v>110</v>
      </c>
    </row>
    <row r="67" spans="1:16" x14ac:dyDescent="0.3">
      <c r="A67">
        <v>66</v>
      </c>
      <c r="B67" s="21">
        <v>40546</v>
      </c>
      <c r="C67">
        <v>1</v>
      </c>
      <c r="D67">
        <v>0</v>
      </c>
      <c r="E67">
        <v>1</v>
      </c>
      <c r="F67">
        <v>20</v>
      </c>
      <c r="G67" t="b">
        <v>0</v>
      </c>
      <c r="H67">
        <v>1</v>
      </c>
      <c r="I67">
        <v>1</v>
      </c>
      <c r="J67">
        <v>0.2</v>
      </c>
      <c r="L67">
        <v>0.47</v>
      </c>
      <c r="M67">
        <v>0.1045</v>
      </c>
      <c r="N67">
        <v>3</v>
      </c>
      <c r="O67">
        <v>49</v>
      </c>
      <c r="P67">
        <v>52</v>
      </c>
    </row>
    <row r="68" spans="1:16" x14ac:dyDescent="0.3">
      <c r="A68">
        <v>67</v>
      </c>
      <c r="B68" s="21">
        <v>40546</v>
      </c>
      <c r="C68">
        <v>1</v>
      </c>
      <c r="D68">
        <v>0</v>
      </c>
      <c r="E68">
        <v>1</v>
      </c>
      <c r="F68">
        <v>21</v>
      </c>
      <c r="G68" t="b">
        <v>0</v>
      </c>
      <c r="H68">
        <v>1</v>
      </c>
      <c r="I68">
        <v>1</v>
      </c>
      <c r="J68">
        <v>0.18</v>
      </c>
      <c r="K68">
        <v>0.19700000000000001</v>
      </c>
      <c r="L68">
        <v>0.64</v>
      </c>
      <c r="M68">
        <v>0.1343</v>
      </c>
      <c r="N68">
        <v>3</v>
      </c>
      <c r="O68">
        <v>49</v>
      </c>
      <c r="P68">
        <v>52</v>
      </c>
    </row>
    <row r="69" spans="1:16" x14ac:dyDescent="0.3">
      <c r="A69">
        <v>68</v>
      </c>
      <c r="B69" s="21">
        <v>40546</v>
      </c>
      <c r="C69">
        <v>1</v>
      </c>
      <c r="D69">
        <v>0</v>
      </c>
      <c r="E69">
        <v>1</v>
      </c>
      <c r="F69">
        <v>22</v>
      </c>
      <c r="G69" t="b">
        <v>0</v>
      </c>
      <c r="H69">
        <v>1</v>
      </c>
      <c r="I69">
        <v>1</v>
      </c>
      <c r="J69">
        <v>0.14000000000000001</v>
      </c>
      <c r="K69">
        <v>0.1515</v>
      </c>
      <c r="L69">
        <v>0.69</v>
      </c>
      <c r="M69">
        <v>0.1343</v>
      </c>
      <c r="N69">
        <v>0</v>
      </c>
      <c r="O69">
        <v>20</v>
      </c>
      <c r="P69">
        <v>20</v>
      </c>
    </row>
    <row r="70" spans="1:16" x14ac:dyDescent="0.3">
      <c r="A70">
        <v>69</v>
      </c>
      <c r="B70" s="21">
        <v>40546</v>
      </c>
      <c r="C70">
        <v>1</v>
      </c>
      <c r="D70">
        <v>0</v>
      </c>
      <c r="E70">
        <v>1</v>
      </c>
      <c r="F70">
        <v>23</v>
      </c>
      <c r="G70" t="b">
        <v>0</v>
      </c>
      <c r="H70">
        <v>1</v>
      </c>
      <c r="I70">
        <v>1</v>
      </c>
      <c r="J70">
        <v>0.18</v>
      </c>
      <c r="K70">
        <v>0.21210000000000001</v>
      </c>
      <c r="L70">
        <v>0.55000000000000004</v>
      </c>
      <c r="M70">
        <v>0.1045</v>
      </c>
      <c r="N70">
        <v>1</v>
      </c>
      <c r="O70">
        <v>11</v>
      </c>
      <c r="P70">
        <v>12</v>
      </c>
    </row>
    <row r="71" spans="1:16" x14ac:dyDescent="0.3">
      <c r="A71">
        <v>70</v>
      </c>
      <c r="B71" s="21">
        <v>40547</v>
      </c>
      <c r="C71">
        <v>1</v>
      </c>
      <c r="D71">
        <v>0</v>
      </c>
      <c r="E71">
        <v>1</v>
      </c>
      <c r="F71">
        <v>0</v>
      </c>
      <c r="G71" t="b">
        <v>0</v>
      </c>
      <c r="H71">
        <v>2</v>
      </c>
      <c r="I71">
        <v>1</v>
      </c>
      <c r="J71">
        <v>0.16</v>
      </c>
      <c r="L71">
        <v>0.55000000000000004</v>
      </c>
      <c r="M71">
        <v>0.1045</v>
      </c>
      <c r="N71">
        <v>0</v>
      </c>
      <c r="O71">
        <v>5</v>
      </c>
      <c r="P71">
        <v>5</v>
      </c>
    </row>
    <row r="72" spans="1:16" x14ac:dyDescent="0.3">
      <c r="A72">
        <v>71</v>
      </c>
      <c r="B72" s="21">
        <v>40547</v>
      </c>
      <c r="C72">
        <v>1</v>
      </c>
      <c r="D72">
        <v>0</v>
      </c>
      <c r="E72">
        <v>1</v>
      </c>
      <c r="F72">
        <v>1</v>
      </c>
      <c r="G72" t="b">
        <v>0</v>
      </c>
      <c r="H72">
        <v>2</v>
      </c>
      <c r="I72">
        <v>1</v>
      </c>
      <c r="J72">
        <v>0.16</v>
      </c>
      <c r="K72">
        <v>0.18179999999999999</v>
      </c>
      <c r="L72">
        <v>0.59</v>
      </c>
      <c r="M72">
        <v>0.1045</v>
      </c>
      <c r="N72">
        <v>0</v>
      </c>
      <c r="O72">
        <v>2</v>
      </c>
      <c r="P72">
        <v>2</v>
      </c>
    </row>
    <row r="73" spans="1:16" x14ac:dyDescent="0.3">
      <c r="A73">
        <v>72</v>
      </c>
      <c r="B73" s="21">
        <v>40547</v>
      </c>
      <c r="C73">
        <v>1</v>
      </c>
      <c r="D73">
        <v>0</v>
      </c>
      <c r="E73">
        <v>1</v>
      </c>
      <c r="F73">
        <v>2</v>
      </c>
      <c r="G73" t="b">
        <v>0</v>
      </c>
      <c r="H73">
        <v>2</v>
      </c>
      <c r="I73">
        <v>1</v>
      </c>
      <c r="J73">
        <v>0.14000000000000001</v>
      </c>
      <c r="K73">
        <v>0.1515</v>
      </c>
      <c r="L73">
        <v>0.63</v>
      </c>
      <c r="M73">
        <v>0.1343</v>
      </c>
      <c r="N73">
        <v>0</v>
      </c>
      <c r="O73">
        <v>1</v>
      </c>
      <c r="P73">
        <v>1</v>
      </c>
    </row>
    <row r="74" spans="1:16" x14ac:dyDescent="0.3">
      <c r="A74">
        <v>73</v>
      </c>
      <c r="B74" s="21">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
      <c r="A75">
        <v>74</v>
      </c>
      <c r="B75" s="21">
        <v>40547</v>
      </c>
      <c r="C75">
        <v>1</v>
      </c>
      <c r="D75">
        <v>0</v>
      </c>
      <c r="E75">
        <v>1</v>
      </c>
      <c r="F75">
        <v>5</v>
      </c>
      <c r="G75" t="b">
        <v>0</v>
      </c>
      <c r="H75">
        <v>2</v>
      </c>
      <c r="I75">
        <v>1</v>
      </c>
      <c r="J75">
        <v>0.12</v>
      </c>
      <c r="K75">
        <v>0.1515</v>
      </c>
      <c r="L75">
        <v>0.68</v>
      </c>
      <c r="M75">
        <v>0.1045</v>
      </c>
      <c r="N75">
        <v>0</v>
      </c>
      <c r="O75">
        <v>4</v>
      </c>
      <c r="P75">
        <v>4</v>
      </c>
    </row>
    <row r="76" spans="1:16" x14ac:dyDescent="0.3">
      <c r="A76">
        <v>75</v>
      </c>
      <c r="B76" s="21">
        <v>40547</v>
      </c>
      <c r="C76">
        <v>1</v>
      </c>
      <c r="D76">
        <v>0</v>
      </c>
      <c r="E76">
        <v>1</v>
      </c>
      <c r="F76">
        <v>6</v>
      </c>
      <c r="G76" t="b">
        <v>0</v>
      </c>
      <c r="H76">
        <v>2</v>
      </c>
      <c r="I76">
        <v>1</v>
      </c>
      <c r="J76">
        <v>0.12</v>
      </c>
      <c r="K76">
        <v>0.1515</v>
      </c>
      <c r="L76">
        <v>0.74</v>
      </c>
      <c r="M76">
        <v>0.1045</v>
      </c>
      <c r="N76">
        <v>0</v>
      </c>
      <c r="O76">
        <v>36</v>
      </c>
      <c r="P76">
        <v>36</v>
      </c>
    </row>
    <row r="77" spans="1:16" x14ac:dyDescent="0.3">
      <c r="A77">
        <v>76</v>
      </c>
      <c r="B77" s="21">
        <v>40547</v>
      </c>
      <c r="C77">
        <v>1</v>
      </c>
      <c r="D77">
        <v>0</v>
      </c>
      <c r="E77">
        <v>1</v>
      </c>
      <c r="F77">
        <v>7</v>
      </c>
      <c r="G77" t="b">
        <v>0</v>
      </c>
      <c r="H77">
        <v>2</v>
      </c>
      <c r="I77">
        <v>1</v>
      </c>
      <c r="J77">
        <v>0.12</v>
      </c>
      <c r="K77">
        <v>0.1515</v>
      </c>
      <c r="L77">
        <v>0.74</v>
      </c>
      <c r="M77">
        <v>0.1343</v>
      </c>
      <c r="N77">
        <v>2</v>
      </c>
      <c r="O77">
        <v>92</v>
      </c>
      <c r="P77">
        <v>94</v>
      </c>
    </row>
    <row r="78" spans="1:16" x14ac:dyDescent="0.3">
      <c r="A78">
        <v>77</v>
      </c>
      <c r="B78" s="21">
        <v>40547</v>
      </c>
      <c r="C78">
        <v>1</v>
      </c>
      <c r="D78">
        <v>0</v>
      </c>
      <c r="E78">
        <v>1</v>
      </c>
      <c r="F78">
        <v>8</v>
      </c>
      <c r="G78" t="b">
        <v>0</v>
      </c>
      <c r="H78">
        <v>2</v>
      </c>
      <c r="I78">
        <v>1</v>
      </c>
      <c r="J78">
        <v>0.14000000000000001</v>
      </c>
      <c r="K78">
        <v>0.1515</v>
      </c>
      <c r="L78">
        <v>0.69</v>
      </c>
      <c r="M78">
        <v>0.16420000000000001</v>
      </c>
      <c r="N78">
        <v>2</v>
      </c>
      <c r="O78">
        <v>177</v>
      </c>
      <c r="P78">
        <v>179</v>
      </c>
    </row>
    <row r="79" spans="1:16" x14ac:dyDescent="0.3">
      <c r="A79">
        <v>78</v>
      </c>
      <c r="B79" s="21">
        <v>40547</v>
      </c>
      <c r="C79">
        <v>1</v>
      </c>
      <c r="D79">
        <v>0</v>
      </c>
      <c r="E79">
        <v>1</v>
      </c>
      <c r="F79">
        <v>9</v>
      </c>
      <c r="G79" t="b">
        <v>0</v>
      </c>
      <c r="H79">
        <v>2</v>
      </c>
      <c r="I79">
        <v>1</v>
      </c>
      <c r="J79">
        <v>0.16</v>
      </c>
      <c r="K79">
        <v>0.1515</v>
      </c>
      <c r="L79">
        <v>0.64</v>
      </c>
      <c r="M79">
        <v>0.22389999999999999</v>
      </c>
      <c r="N79">
        <v>2</v>
      </c>
      <c r="O79">
        <v>98</v>
      </c>
      <c r="P79">
        <v>100</v>
      </c>
    </row>
    <row r="80" spans="1:16" x14ac:dyDescent="0.3">
      <c r="A80">
        <v>79</v>
      </c>
      <c r="B80" s="21">
        <v>40547</v>
      </c>
      <c r="C80">
        <v>1</v>
      </c>
      <c r="D80">
        <v>0</v>
      </c>
      <c r="E80">
        <v>1</v>
      </c>
      <c r="F80">
        <v>10</v>
      </c>
      <c r="G80" t="b">
        <v>0</v>
      </c>
      <c r="H80">
        <v>2</v>
      </c>
      <c r="I80">
        <v>2</v>
      </c>
      <c r="J80">
        <v>0.16</v>
      </c>
      <c r="K80">
        <v>0.13639999999999999</v>
      </c>
      <c r="L80">
        <v>0.69</v>
      </c>
      <c r="M80">
        <v>0.32840000000000003</v>
      </c>
      <c r="N80">
        <v>5</v>
      </c>
      <c r="O80">
        <v>37</v>
      </c>
      <c r="P80">
        <v>42</v>
      </c>
    </row>
    <row r="81" spans="1:16" x14ac:dyDescent="0.3">
      <c r="A81">
        <v>80</v>
      </c>
      <c r="B81" s="21">
        <v>40547</v>
      </c>
      <c r="C81">
        <v>1</v>
      </c>
      <c r="D81">
        <v>0</v>
      </c>
      <c r="E81">
        <v>1</v>
      </c>
      <c r="F81">
        <v>11</v>
      </c>
      <c r="G81" t="b">
        <v>0</v>
      </c>
      <c r="H81">
        <v>2</v>
      </c>
      <c r="I81">
        <v>1</v>
      </c>
      <c r="J81">
        <v>0.22</v>
      </c>
      <c r="K81">
        <v>0.21210000000000001</v>
      </c>
      <c r="L81">
        <v>0.51</v>
      </c>
      <c r="M81">
        <v>0.29849999999999999</v>
      </c>
      <c r="N81">
        <v>7</v>
      </c>
      <c r="O81">
        <v>50</v>
      </c>
      <c r="P81">
        <v>57</v>
      </c>
    </row>
    <row r="82" spans="1:16" x14ac:dyDescent="0.3">
      <c r="A82">
        <v>81</v>
      </c>
      <c r="B82" s="21">
        <v>40547</v>
      </c>
      <c r="C82">
        <v>1</v>
      </c>
      <c r="D82">
        <v>0</v>
      </c>
      <c r="E82">
        <v>1</v>
      </c>
      <c r="F82">
        <v>12</v>
      </c>
      <c r="G82" t="b">
        <v>0</v>
      </c>
      <c r="H82">
        <v>2</v>
      </c>
      <c r="I82">
        <v>1</v>
      </c>
      <c r="J82">
        <v>0.22</v>
      </c>
      <c r="K82">
        <v>0.2273</v>
      </c>
      <c r="L82">
        <v>0.51</v>
      </c>
      <c r="M82">
        <v>0.16420000000000001</v>
      </c>
      <c r="N82">
        <v>12</v>
      </c>
      <c r="O82">
        <v>66</v>
      </c>
      <c r="P82">
        <v>78</v>
      </c>
    </row>
    <row r="83" spans="1:16" x14ac:dyDescent="0.3">
      <c r="A83">
        <v>82</v>
      </c>
      <c r="B83" s="21">
        <v>40547</v>
      </c>
      <c r="C83">
        <v>1</v>
      </c>
      <c r="D83">
        <v>0</v>
      </c>
      <c r="E83">
        <v>1</v>
      </c>
      <c r="F83">
        <v>13</v>
      </c>
      <c r="G83" t="b">
        <v>0</v>
      </c>
      <c r="H83">
        <v>2</v>
      </c>
      <c r="I83">
        <v>1</v>
      </c>
      <c r="J83">
        <v>0.24</v>
      </c>
      <c r="K83">
        <v>0.2273</v>
      </c>
      <c r="L83">
        <v>0.56000000000000005</v>
      </c>
      <c r="M83">
        <v>0.19400000000000001</v>
      </c>
      <c r="N83">
        <v>18</v>
      </c>
      <c r="O83">
        <v>79</v>
      </c>
      <c r="P83">
        <v>97</v>
      </c>
    </row>
    <row r="84" spans="1:16" x14ac:dyDescent="0.3">
      <c r="A84">
        <v>83</v>
      </c>
      <c r="B84" s="21">
        <v>40547</v>
      </c>
      <c r="C84">
        <v>1</v>
      </c>
      <c r="D84">
        <v>0</v>
      </c>
      <c r="E84">
        <v>1</v>
      </c>
      <c r="F84">
        <v>14</v>
      </c>
      <c r="G84" t="b">
        <v>0</v>
      </c>
      <c r="H84">
        <v>2</v>
      </c>
      <c r="I84">
        <v>1</v>
      </c>
      <c r="J84">
        <v>0.26</v>
      </c>
      <c r="K84">
        <v>0.2576</v>
      </c>
      <c r="L84">
        <v>0.52</v>
      </c>
      <c r="M84">
        <v>0.22389999999999999</v>
      </c>
      <c r="N84">
        <v>9</v>
      </c>
      <c r="O84">
        <v>54</v>
      </c>
      <c r="P84">
        <v>63</v>
      </c>
    </row>
    <row r="85" spans="1:16" x14ac:dyDescent="0.3">
      <c r="A85">
        <v>84</v>
      </c>
      <c r="B85" s="21">
        <v>40547</v>
      </c>
      <c r="C85">
        <v>1</v>
      </c>
      <c r="D85">
        <v>0</v>
      </c>
      <c r="E85">
        <v>1</v>
      </c>
      <c r="F85">
        <v>15</v>
      </c>
      <c r="G85" t="b">
        <v>0</v>
      </c>
      <c r="H85">
        <v>2</v>
      </c>
      <c r="I85">
        <v>1</v>
      </c>
      <c r="J85">
        <v>0.28000000000000003</v>
      </c>
      <c r="K85">
        <v>0.2727</v>
      </c>
      <c r="L85">
        <v>0.52</v>
      </c>
      <c r="M85">
        <v>0.25369999999999998</v>
      </c>
      <c r="N85">
        <v>17</v>
      </c>
      <c r="O85">
        <v>48</v>
      </c>
      <c r="P85">
        <v>65</v>
      </c>
    </row>
    <row r="86" spans="1:16" x14ac:dyDescent="0.3">
      <c r="A86">
        <v>85</v>
      </c>
      <c r="B86" s="21">
        <v>40547</v>
      </c>
      <c r="C86">
        <v>1</v>
      </c>
      <c r="D86">
        <v>0</v>
      </c>
      <c r="E86">
        <v>1</v>
      </c>
      <c r="F86">
        <v>16</v>
      </c>
      <c r="G86" t="b">
        <v>0</v>
      </c>
      <c r="H86">
        <v>2</v>
      </c>
      <c r="I86">
        <v>1</v>
      </c>
      <c r="J86">
        <v>0.3</v>
      </c>
      <c r="K86">
        <v>0.28789999999999999</v>
      </c>
      <c r="L86">
        <v>0.49</v>
      </c>
      <c r="M86">
        <v>0.25369999999999998</v>
      </c>
      <c r="N86">
        <v>15</v>
      </c>
      <c r="O86">
        <v>68</v>
      </c>
      <c r="P86">
        <v>83</v>
      </c>
    </row>
    <row r="87" spans="1:16" x14ac:dyDescent="0.3">
      <c r="A87">
        <v>86</v>
      </c>
      <c r="B87" s="21">
        <v>40547</v>
      </c>
      <c r="C87">
        <v>1</v>
      </c>
      <c r="D87">
        <v>0</v>
      </c>
      <c r="E87">
        <v>1</v>
      </c>
      <c r="F87">
        <v>17</v>
      </c>
      <c r="G87" t="b">
        <v>0</v>
      </c>
      <c r="H87">
        <v>2</v>
      </c>
      <c r="I87">
        <v>1</v>
      </c>
      <c r="J87">
        <v>0.28000000000000003</v>
      </c>
      <c r="K87">
        <v>0.2727</v>
      </c>
      <c r="L87">
        <v>0.48</v>
      </c>
      <c r="M87">
        <v>0.22389999999999999</v>
      </c>
      <c r="N87">
        <v>10</v>
      </c>
      <c r="O87">
        <v>202</v>
      </c>
      <c r="P87">
        <v>212</v>
      </c>
    </row>
    <row r="88" spans="1:16" x14ac:dyDescent="0.3">
      <c r="A88">
        <v>87</v>
      </c>
      <c r="B88" s="21">
        <v>40547</v>
      </c>
      <c r="C88">
        <v>1</v>
      </c>
      <c r="D88">
        <v>0</v>
      </c>
      <c r="E88">
        <v>1</v>
      </c>
      <c r="F88">
        <v>18</v>
      </c>
      <c r="G88" t="b">
        <v>0</v>
      </c>
      <c r="H88">
        <v>2</v>
      </c>
      <c r="I88">
        <v>1</v>
      </c>
      <c r="J88">
        <v>0.26</v>
      </c>
      <c r="K88">
        <v>0.2576</v>
      </c>
      <c r="L88">
        <v>0.48</v>
      </c>
      <c r="M88">
        <v>0.19400000000000001</v>
      </c>
      <c r="N88">
        <v>3</v>
      </c>
      <c r="O88">
        <v>179</v>
      </c>
      <c r="P88">
        <v>182</v>
      </c>
    </row>
    <row r="89" spans="1:16" x14ac:dyDescent="0.3">
      <c r="A89">
        <v>88</v>
      </c>
      <c r="B89" s="21">
        <v>40547</v>
      </c>
      <c r="C89">
        <v>1</v>
      </c>
      <c r="D89">
        <v>0</v>
      </c>
      <c r="E89">
        <v>1</v>
      </c>
      <c r="F89">
        <v>19</v>
      </c>
      <c r="G89" t="b">
        <v>0</v>
      </c>
      <c r="H89">
        <v>2</v>
      </c>
      <c r="I89">
        <v>1</v>
      </c>
      <c r="J89">
        <v>0.24</v>
      </c>
      <c r="K89">
        <v>0.2576</v>
      </c>
      <c r="L89">
        <v>0.48</v>
      </c>
      <c r="M89">
        <v>0.1045</v>
      </c>
      <c r="N89">
        <v>2</v>
      </c>
      <c r="O89">
        <v>110</v>
      </c>
      <c r="P89">
        <v>112</v>
      </c>
    </row>
    <row r="90" spans="1:16" x14ac:dyDescent="0.3">
      <c r="A90">
        <v>89</v>
      </c>
      <c r="B90" s="21">
        <v>40547</v>
      </c>
      <c r="C90">
        <v>1</v>
      </c>
      <c r="D90">
        <v>0</v>
      </c>
      <c r="E90">
        <v>1</v>
      </c>
      <c r="F90">
        <v>20</v>
      </c>
      <c r="G90" t="b">
        <v>0</v>
      </c>
      <c r="H90">
        <v>2</v>
      </c>
      <c r="I90">
        <v>1</v>
      </c>
      <c r="J90">
        <v>0.24</v>
      </c>
      <c r="K90">
        <v>0.2576</v>
      </c>
      <c r="L90">
        <v>0.48</v>
      </c>
      <c r="M90">
        <v>0.1045</v>
      </c>
      <c r="N90">
        <v>1</v>
      </c>
      <c r="O90">
        <v>53</v>
      </c>
      <c r="P90">
        <v>54</v>
      </c>
    </row>
    <row r="91" spans="1:16" x14ac:dyDescent="0.3">
      <c r="A91">
        <v>90</v>
      </c>
      <c r="B91" s="21">
        <v>40547</v>
      </c>
      <c r="C91">
        <v>1</v>
      </c>
      <c r="D91">
        <v>0</v>
      </c>
      <c r="E91">
        <v>1</v>
      </c>
      <c r="F91">
        <v>21</v>
      </c>
      <c r="G91" t="b">
        <v>0</v>
      </c>
      <c r="H91">
        <v>2</v>
      </c>
      <c r="I91">
        <v>1</v>
      </c>
      <c r="J91">
        <v>0.22</v>
      </c>
      <c r="K91">
        <v>0.2727</v>
      </c>
      <c r="L91">
        <v>0.64</v>
      </c>
      <c r="M91">
        <v>0</v>
      </c>
      <c r="N91">
        <v>0</v>
      </c>
      <c r="O91">
        <v>48</v>
      </c>
      <c r="P91">
        <v>48</v>
      </c>
    </row>
    <row r="92" spans="1:16" x14ac:dyDescent="0.3">
      <c r="A92">
        <v>91</v>
      </c>
      <c r="B92" s="21">
        <v>40547</v>
      </c>
      <c r="C92">
        <v>1</v>
      </c>
      <c r="D92">
        <v>0</v>
      </c>
      <c r="E92">
        <v>1</v>
      </c>
      <c r="F92">
        <v>22</v>
      </c>
      <c r="G92" t="b">
        <v>0</v>
      </c>
      <c r="H92">
        <v>2</v>
      </c>
      <c r="I92">
        <v>1</v>
      </c>
      <c r="J92">
        <v>0.22</v>
      </c>
      <c r="K92">
        <v>0.2576</v>
      </c>
      <c r="L92">
        <v>0.64</v>
      </c>
      <c r="M92">
        <v>8.9599999999999999E-2</v>
      </c>
      <c r="N92">
        <v>1</v>
      </c>
      <c r="O92">
        <v>34</v>
      </c>
      <c r="P92">
        <v>35</v>
      </c>
    </row>
    <row r="93" spans="1:16" x14ac:dyDescent="0.3">
      <c r="A93">
        <v>92</v>
      </c>
      <c r="B93" s="21">
        <v>40547</v>
      </c>
      <c r="C93">
        <v>1</v>
      </c>
      <c r="D93">
        <v>0</v>
      </c>
      <c r="E93">
        <v>1</v>
      </c>
      <c r="F93">
        <v>23</v>
      </c>
      <c r="G93" t="b">
        <v>0</v>
      </c>
      <c r="H93">
        <v>2</v>
      </c>
      <c r="I93">
        <v>1</v>
      </c>
      <c r="J93">
        <v>0.2</v>
      </c>
      <c r="K93">
        <v>0.2273</v>
      </c>
      <c r="L93">
        <v>0.69</v>
      </c>
      <c r="M93">
        <v>8.9599999999999999E-2</v>
      </c>
      <c r="N93">
        <v>2</v>
      </c>
      <c r="O93">
        <v>9</v>
      </c>
      <c r="P93">
        <v>11</v>
      </c>
    </row>
    <row r="94" spans="1:16" x14ac:dyDescent="0.3">
      <c r="A94">
        <v>93</v>
      </c>
      <c r="B94" s="21">
        <v>40548</v>
      </c>
      <c r="C94">
        <v>1</v>
      </c>
      <c r="D94">
        <v>0</v>
      </c>
      <c r="E94">
        <v>1</v>
      </c>
      <c r="F94">
        <v>0</v>
      </c>
      <c r="G94" t="b">
        <v>0</v>
      </c>
      <c r="H94">
        <v>3</v>
      </c>
      <c r="I94">
        <v>1</v>
      </c>
      <c r="J94">
        <v>0.2</v>
      </c>
      <c r="K94">
        <v>0.2576</v>
      </c>
      <c r="L94">
        <v>0.64</v>
      </c>
      <c r="M94">
        <v>0</v>
      </c>
      <c r="N94">
        <v>0</v>
      </c>
      <c r="O94">
        <v>6</v>
      </c>
      <c r="P94">
        <v>6</v>
      </c>
    </row>
    <row r="95" spans="1:16" x14ac:dyDescent="0.3">
      <c r="A95">
        <v>94</v>
      </c>
      <c r="B95" s="21">
        <v>40548</v>
      </c>
      <c r="C95">
        <v>1</v>
      </c>
      <c r="D95">
        <v>0</v>
      </c>
      <c r="E95">
        <v>1</v>
      </c>
      <c r="F95">
        <v>1</v>
      </c>
      <c r="G95" t="b">
        <v>0</v>
      </c>
      <c r="H95">
        <v>3</v>
      </c>
      <c r="I95">
        <v>1</v>
      </c>
      <c r="J95">
        <v>0.16</v>
      </c>
      <c r="K95">
        <v>0.19700000000000001</v>
      </c>
      <c r="L95">
        <v>0.74</v>
      </c>
      <c r="M95">
        <v>8.9599999999999999E-2</v>
      </c>
      <c r="N95">
        <v>0</v>
      </c>
      <c r="O95">
        <v>6</v>
      </c>
      <c r="P95">
        <v>6</v>
      </c>
    </row>
    <row r="96" spans="1:16" x14ac:dyDescent="0.3">
      <c r="A96">
        <v>95</v>
      </c>
      <c r="B96" s="21">
        <v>40548</v>
      </c>
      <c r="C96">
        <v>1</v>
      </c>
      <c r="D96">
        <v>0</v>
      </c>
      <c r="E96">
        <v>1</v>
      </c>
      <c r="F96">
        <v>2</v>
      </c>
      <c r="G96" t="b">
        <v>0</v>
      </c>
      <c r="H96">
        <v>3</v>
      </c>
      <c r="I96">
        <v>1</v>
      </c>
      <c r="J96">
        <v>0.16</v>
      </c>
      <c r="K96">
        <v>0.19700000000000001</v>
      </c>
      <c r="L96">
        <v>0.74</v>
      </c>
      <c r="M96">
        <v>8.9599999999999999E-2</v>
      </c>
      <c r="N96">
        <v>0</v>
      </c>
      <c r="O96">
        <v>2</v>
      </c>
      <c r="P96">
        <v>2</v>
      </c>
    </row>
    <row r="97" spans="1:16" x14ac:dyDescent="0.3">
      <c r="A97">
        <v>96</v>
      </c>
      <c r="B97" s="21">
        <v>40548</v>
      </c>
      <c r="C97">
        <v>1</v>
      </c>
      <c r="D97">
        <v>0</v>
      </c>
      <c r="E97">
        <v>1</v>
      </c>
      <c r="F97">
        <v>4</v>
      </c>
      <c r="G97" t="b">
        <v>0</v>
      </c>
      <c r="H97">
        <v>3</v>
      </c>
      <c r="I97">
        <v>1</v>
      </c>
      <c r="J97">
        <v>0.24</v>
      </c>
      <c r="K97">
        <v>0.2273</v>
      </c>
      <c r="L97">
        <v>0.48</v>
      </c>
      <c r="M97">
        <v>0.22389999999999999</v>
      </c>
      <c r="N97">
        <v>0</v>
      </c>
      <c r="O97">
        <v>2</v>
      </c>
      <c r="P97">
        <v>2</v>
      </c>
    </row>
    <row r="98" spans="1:16" x14ac:dyDescent="0.3">
      <c r="A98">
        <v>97</v>
      </c>
      <c r="B98" s="21">
        <v>40548</v>
      </c>
      <c r="C98">
        <v>1</v>
      </c>
      <c r="D98">
        <v>0</v>
      </c>
      <c r="E98">
        <v>1</v>
      </c>
      <c r="F98">
        <v>5</v>
      </c>
      <c r="G98" t="b">
        <v>0</v>
      </c>
      <c r="H98">
        <v>3</v>
      </c>
      <c r="I98">
        <v>1</v>
      </c>
      <c r="J98">
        <v>0.22</v>
      </c>
      <c r="K98">
        <v>0.2273</v>
      </c>
      <c r="L98">
        <v>0.47</v>
      </c>
      <c r="M98">
        <v>0.16420000000000001</v>
      </c>
      <c r="N98">
        <v>0</v>
      </c>
      <c r="O98">
        <v>3</v>
      </c>
      <c r="P98">
        <v>3</v>
      </c>
    </row>
    <row r="99" spans="1:16" x14ac:dyDescent="0.3">
      <c r="A99">
        <v>98</v>
      </c>
      <c r="B99" s="21">
        <v>40548</v>
      </c>
      <c r="C99">
        <v>1</v>
      </c>
      <c r="D99">
        <v>0</v>
      </c>
      <c r="E99">
        <v>1</v>
      </c>
      <c r="F99">
        <v>6</v>
      </c>
      <c r="G99" t="b">
        <v>0</v>
      </c>
      <c r="H99">
        <v>3</v>
      </c>
      <c r="I99">
        <v>1</v>
      </c>
      <c r="J99">
        <v>0.2</v>
      </c>
      <c r="K99">
        <v>0.19700000000000001</v>
      </c>
      <c r="L99">
        <v>0.47</v>
      </c>
      <c r="M99">
        <v>0.22389999999999999</v>
      </c>
      <c r="N99">
        <v>0</v>
      </c>
      <c r="O99">
        <v>33</v>
      </c>
      <c r="P99">
        <v>33</v>
      </c>
    </row>
    <row r="100" spans="1:16" x14ac:dyDescent="0.3">
      <c r="A100">
        <v>99</v>
      </c>
      <c r="B100" s="21">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
      <c r="A101">
        <v>100</v>
      </c>
      <c r="B101" s="21">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
      <c r="A102">
        <v>101</v>
      </c>
      <c r="B102" s="21">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
      <c r="A103">
        <v>102</v>
      </c>
      <c r="B103" s="21">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
      <c r="A104">
        <v>103</v>
      </c>
      <c r="B104" s="21">
        <v>40548</v>
      </c>
      <c r="C104">
        <v>1</v>
      </c>
      <c r="D104">
        <v>0</v>
      </c>
      <c r="E104">
        <v>1</v>
      </c>
      <c r="F104">
        <v>11</v>
      </c>
      <c r="G104" t="b">
        <v>0</v>
      </c>
      <c r="H104">
        <v>3</v>
      </c>
      <c r="I104">
        <v>1</v>
      </c>
      <c r="J104">
        <v>0.26</v>
      </c>
      <c r="K104">
        <v>0.2273</v>
      </c>
      <c r="L104">
        <v>0.33</v>
      </c>
      <c r="M104">
        <v>0.32840000000000003</v>
      </c>
      <c r="N104">
        <v>12</v>
      </c>
      <c r="O104">
        <v>34</v>
      </c>
      <c r="P104">
        <v>46</v>
      </c>
    </row>
    <row r="105" spans="1:16" x14ac:dyDescent="0.3">
      <c r="A105">
        <v>104</v>
      </c>
      <c r="B105" s="21">
        <v>40548</v>
      </c>
      <c r="C105">
        <v>1</v>
      </c>
      <c r="D105">
        <v>0</v>
      </c>
      <c r="E105">
        <v>1</v>
      </c>
      <c r="F105">
        <v>12</v>
      </c>
      <c r="G105" t="b">
        <v>0</v>
      </c>
      <c r="H105">
        <v>3</v>
      </c>
      <c r="I105">
        <v>1</v>
      </c>
      <c r="J105">
        <v>0.26</v>
      </c>
      <c r="K105">
        <v>0.2273</v>
      </c>
      <c r="L105">
        <v>0.33</v>
      </c>
      <c r="M105">
        <v>0.32840000000000003</v>
      </c>
      <c r="N105">
        <v>5</v>
      </c>
      <c r="O105">
        <v>74</v>
      </c>
      <c r="P105">
        <v>79</v>
      </c>
    </row>
    <row r="106" spans="1:16" x14ac:dyDescent="0.3">
      <c r="A106">
        <v>105</v>
      </c>
      <c r="B106" s="21">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
      <c r="A107">
        <v>106</v>
      </c>
      <c r="B107" s="2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
      <c r="A108">
        <v>107</v>
      </c>
      <c r="B108" s="2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
      <c r="A109">
        <v>108</v>
      </c>
      <c r="B109" s="2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
      <c r="A110">
        <v>109</v>
      </c>
      <c r="B110" s="21">
        <v>40548</v>
      </c>
      <c r="C110">
        <v>1</v>
      </c>
      <c r="D110">
        <v>0</v>
      </c>
      <c r="E110">
        <v>1</v>
      </c>
      <c r="F110">
        <v>17</v>
      </c>
      <c r="G110" t="b">
        <v>0</v>
      </c>
      <c r="H110">
        <v>3</v>
      </c>
      <c r="I110">
        <v>1</v>
      </c>
      <c r="J110">
        <v>0.24</v>
      </c>
      <c r="K110">
        <v>0.2273</v>
      </c>
      <c r="L110">
        <v>0.38</v>
      </c>
      <c r="M110">
        <v>0.19400000000000001</v>
      </c>
      <c r="N110">
        <v>4</v>
      </c>
      <c r="O110">
        <v>186</v>
      </c>
      <c r="P110">
        <v>190</v>
      </c>
    </row>
    <row r="111" spans="1:16" x14ac:dyDescent="0.3">
      <c r="A111">
        <v>110</v>
      </c>
      <c r="B111" s="21">
        <v>40548</v>
      </c>
      <c r="C111">
        <v>1</v>
      </c>
      <c r="D111">
        <v>0</v>
      </c>
      <c r="E111">
        <v>1</v>
      </c>
      <c r="F111">
        <v>18</v>
      </c>
      <c r="G111" t="b">
        <v>0</v>
      </c>
      <c r="H111">
        <v>3</v>
      </c>
      <c r="I111">
        <v>1</v>
      </c>
      <c r="J111">
        <v>0.24</v>
      </c>
      <c r="K111">
        <v>0.2424</v>
      </c>
      <c r="L111">
        <v>0.38</v>
      </c>
      <c r="M111">
        <v>0.1343</v>
      </c>
      <c r="N111">
        <v>3</v>
      </c>
      <c r="O111">
        <v>166</v>
      </c>
      <c r="P111">
        <v>169</v>
      </c>
    </row>
    <row r="112" spans="1:16" x14ac:dyDescent="0.3">
      <c r="A112">
        <v>111</v>
      </c>
      <c r="B112" s="21">
        <v>40548</v>
      </c>
      <c r="C112">
        <v>1</v>
      </c>
      <c r="D112">
        <v>0</v>
      </c>
      <c r="E112">
        <v>1</v>
      </c>
      <c r="F112">
        <v>19</v>
      </c>
      <c r="G112" t="b">
        <v>0</v>
      </c>
      <c r="H112">
        <v>3</v>
      </c>
      <c r="I112">
        <v>1</v>
      </c>
      <c r="J112">
        <v>0.24</v>
      </c>
      <c r="K112">
        <v>0.2576</v>
      </c>
      <c r="L112">
        <v>0.38</v>
      </c>
      <c r="M112">
        <v>0.1045</v>
      </c>
      <c r="N112">
        <v>5</v>
      </c>
      <c r="O112">
        <v>127</v>
      </c>
      <c r="P112">
        <v>132</v>
      </c>
    </row>
    <row r="113" spans="1:16" x14ac:dyDescent="0.3">
      <c r="A113">
        <v>112</v>
      </c>
      <c r="B113" s="21">
        <v>40548</v>
      </c>
      <c r="C113">
        <v>1</v>
      </c>
      <c r="D113">
        <v>0</v>
      </c>
      <c r="E113">
        <v>1</v>
      </c>
      <c r="F113">
        <v>20</v>
      </c>
      <c r="G113" t="b">
        <v>0</v>
      </c>
      <c r="H113">
        <v>3</v>
      </c>
      <c r="I113">
        <v>1</v>
      </c>
      <c r="J113">
        <v>0.22</v>
      </c>
      <c r="K113">
        <v>0.2273</v>
      </c>
      <c r="L113">
        <v>0.47</v>
      </c>
      <c r="M113">
        <v>0.16420000000000001</v>
      </c>
      <c r="N113">
        <v>7</v>
      </c>
      <c r="O113">
        <v>82</v>
      </c>
      <c r="P113">
        <v>89</v>
      </c>
    </row>
    <row r="114" spans="1:16" x14ac:dyDescent="0.3">
      <c r="A114">
        <v>113</v>
      </c>
      <c r="B114" s="21">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
      <c r="A115">
        <v>114</v>
      </c>
      <c r="B115" s="21">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
      <c r="A116">
        <v>115</v>
      </c>
      <c r="B116" s="21">
        <v>40548</v>
      </c>
      <c r="C116">
        <v>1</v>
      </c>
      <c r="D116">
        <v>0</v>
      </c>
      <c r="E116">
        <v>1</v>
      </c>
      <c r="F116">
        <v>23</v>
      </c>
      <c r="G116" t="b">
        <v>0</v>
      </c>
      <c r="H116">
        <v>3</v>
      </c>
      <c r="I116">
        <v>1</v>
      </c>
      <c r="J116">
        <v>0.2</v>
      </c>
      <c r="K116">
        <v>0.2576</v>
      </c>
      <c r="L116">
        <v>0.47</v>
      </c>
      <c r="M116">
        <v>0</v>
      </c>
      <c r="N116">
        <v>1</v>
      </c>
      <c r="O116">
        <v>18</v>
      </c>
      <c r="P116">
        <v>19</v>
      </c>
    </row>
    <row r="117" spans="1:16" x14ac:dyDescent="0.3">
      <c r="A117">
        <v>116</v>
      </c>
      <c r="B117" s="21">
        <v>40549</v>
      </c>
      <c r="C117">
        <v>1</v>
      </c>
      <c r="D117">
        <v>0</v>
      </c>
      <c r="E117">
        <v>1</v>
      </c>
      <c r="F117">
        <v>0</v>
      </c>
      <c r="G117" t="b">
        <v>0</v>
      </c>
      <c r="H117">
        <v>4</v>
      </c>
      <c r="I117">
        <v>1</v>
      </c>
      <c r="J117">
        <v>0.18</v>
      </c>
      <c r="K117">
        <v>0.2424</v>
      </c>
      <c r="L117">
        <v>0.55000000000000004</v>
      </c>
      <c r="M117">
        <v>0</v>
      </c>
      <c r="N117">
        <v>0</v>
      </c>
      <c r="O117">
        <v>11</v>
      </c>
      <c r="P117">
        <v>11</v>
      </c>
    </row>
    <row r="118" spans="1:16" x14ac:dyDescent="0.3">
      <c r="A118">
        <v>117</v>
      </c>
      <c r="B118" s="21">
        <v>40549</v>
      </c>
      <c r="C118">
        <v>1</v>
      </c>
      <c r="D118">
        <v>0</v>
      </c>
      <c r="E118">
        <v>1</v>
      </c>
      <c r="F118">
        <v>1</v>
      </c>
      <c r="G118" t="b">
        <v>0</v>
      </c>
      <c r="H118">
        <v>4</v>
      </c>
      <c r="I118">
        <v>1</v>
      </c>
      <c r="J118">
        <v>0.16</v>
      </c>
      <c r="K118">
        <v>0.2273</v>
      </c>
      <c r="L118">
        <v>0.64</v>
      </c>
      <c r="M118">
        <v>0</v>
      </c>
      <c r="N118">
        <v>0</v>
      </c>
      <c r="O118">
        <v>4</v>
      </c>
      <c r="P118">
        <v>4</v>
      </c>
    </row>
    <row r="119" spans="1:16" x14ac:dyDescent="0.3">
      <c r="A119">
        <v>118</v>
      </c>
      <c r="B119" s="21">
        <v>40549</v>
      </c>
      <c r="C119">
        <v>1</v>
      </c>
      <c r="D119">
        <v>0</v>
      </c>
      <c r="E119">
        <v>1</v>
      </c>
      <c r="F119">
        <v>2</v>
      </c>
      <c r="G119" t="b">
        <v>0</v>
      </c>
      <c r="H119">
        <v>4</v>
      </c>
      <c r="I119">
        <v>1</v>
      </c>
      <c r="J119">
        <v>0.16</v>
      </c>
      <c r="K119">
        <v>0.2273</v>
      </c>
      <c r="L119">
        <v>0.64</v>
      </c>
      <c r="M119">
        <v>0</v>
      </c>
      <c r="N119">
        <v>0</v>
      </c>
      <c r="O119">
        <v>2</v>
      </c>
      <c r="P119">
        <v>2</v>
      </c>
    </row>
    <row r="120" spans="1:16" x14ac:dyDescent="0.3">
      <c r="A120">
        <v>119</v>
      </c>
      <c r="B120" s="21">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
      <c r="A121">
        <v>120</v>
      </c>
      <c r="B121" s="2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
      <c r="A122">
        <v>121</v>
      </c>
      <c r="B122" s="21">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
      <c r="A123">
        <v>122</v>
      </c>
      <c r="B123" s="21">
        <v>40549</v>
      </c>
      <c r="C123">
        <v>1</v>
      </c>
      <c r="D123">
        <v>0</v>
      </c>
      <c r="E123">
        <v>1</v>
      </c>
      <c r="F123">
        <v>7</v>
      </c>
      <c r="G123" t="b">
        <v>0</v>
      </c>
      <c r="H123">
        <v>4</v>
      </c>
      <c r="I123">
        <v>2</v>
      </c>
      <c r="J123">
        <v>0.16</v>
      </c>
      <c r="K123">
        <v>0.2273</v>
      </c>
      <c r="L123">
        <v>0.59</v>
      </c>
      <c r="M123">
        <v>0</v>
      </c>
      <c r="N123">
        <v>0</v>
      </c>
      <c r="O123">
        <v>95</v>
      </c>
      <c r="P123">
        <v>95</v>
      </c>
    </row>
    <row r="124" spans="1:16" x14ac:dyDescent="0.3">
      <c r="A124">
        <v>123</v>
      </c>
      <c r="B124" s="21">
        <v>40549</v>
      </c>
      <c r="C124">
        <v>1</v>
      </c>
      <c r="D124">
        <v>0</v>
      </c>
      <c r="E124">
        <v>1</v>
      </c>
      <c r="F124">
        <v>8</v>
      </c>
      <c r="G124" t="b">
        <v>0</v>
      </c>
      <c r="H124">
        <v>4</v>
      </c>
      <c r="I124">
        <v>1</v>
      </c>
      <c r="J124">
        <v>0.16</v>
      </c>
      <c r="K124">
        <v>0.2273</v>
      </c>
      <c r="L124">
        <v>0.59</v>
      </c>
      <c r="M124">
        <v>0</v>
      </c>
      <c r="N124">
        <v>3</v>
      </c>
      <c r="O124">
        <v>216</v>
      </c>
      <c r="P124">
        <v>219</v>
      </c>
    </row>
    <row r="125" spans="1:16" x14ac:dyDescent="0.3">
      <c r="A125">
        <v>124</v>
      </c>
      <c r="B125" s="21">
        <v>40549</v>
      </c>
      <c r="C125">
        <v>1</v>
      </c>
      <c r="D125">
        <v>0</v>
      </c>
      <c r="E125">
        <v>1</v>
      </c>
      <c r="F125">
        <v>9</v>
      </c>
      <c r="G125" t="b">
        <v>0</v>
      </c>
      <c r="H125">
        <v>4</v>
      </c>
      <c r="I125">
        <v>2</v>
      </c>
      <c r="J125">
        <v>0.18</v>
      </c>
      <c r="K125">
        <v>0.2424</v>
      </c>
      <c r="L125">
        <v>0.51</v>
      </c>
      <c r="M125">
        <v>0</v>
      </c>
      <c r="N125">
        <v>6</v>
      </c>
      <c r="O125">
        <v>116</v>
      </c>
      <c r="P125">
        <v>122</v>
      </c>
    </row>
    <row r="126" spans="1:16" x14ac:dyDescent="0.3">
      <c r="A126">
        <v>125</v>
      </c>
      <c r="B126" s="21">
        <v>40549</v>
      </c>
      <c r="C126">
        <v>1</v>
      </c>
      <c r="D126">
        <v>0</v>
      </c>
      <c r="E126">
        <v>1</v>
      </c>
      <c r="F126">
        <v>10</v>
      </c>
      <c r="G126" t="b">
        <v>0</v>
      </c>
      <c r="H126">
        <v>4</v>
      </c>
      <c r="I126">
        <v>1</v>
      </c>
      <c r="J126">
        <v>0.2</v>
      </c>
      <c r="K126">
        <v>0.2576</v>
      </c>
      <c r="L126">
        <v>0.47</v>
      </c>
      <c r="M126">
        <v>0</v>
      </c>
      <c r="N126">
        <v>3</v>
      </c>
      <c r="O126">
        <v>42</v>
      </c>
      <c r="P126">
        <v>45</v>
      </c>
    </row>
    <row r="127" spans="1:16" x14ac:dyDescent="0.3">
      <c r="A127">
        <v>126</v>
      </c>
      <c r="B127" s="21">
        <v>40549</v>
      </c>
      <c r="C127">
        <v>1</v>
      </c>
      <c r="D127">
        <v>0</v>
      </c>
      <c r="E127">
        <v>1</v>
      </c>
      <c r="F127">
        <v>11</v>
      </c>
      <c r="G127" t="b">
        <v>0</v>
      </c>
      <c r="H127">
        <v>4</v>
      </c>
      <c r="I127">
        <v>1</v>
      </c>
      <c r="J127">
        <v>0.22</v>
      </c>
      <c r="K127">
        <v>0.2576</v>
      </c>
      <c r="L127">
        <v>0.44</v>
      </c>
      <c r="M127">
        <v>8.9599999999999999E-2</v>
      </c>
      <c r="N127">
        <v>2</v>
      </c>
      <c r="O127">
        <v>57</v>
      </c>
      <c r="P127">
        <v>59</v>
      </c>
    </row>
    <row r="128" spans="1:16" x14ac:dyDescent="0.3">
      <c r="A128">
        <v>127</v>
      </c>
      <c r="B128" s="21">
        <v>40549</v>
      </c>
      <c r="C128">
        <v>1</v>
      </c>
      <c r="D128">
        <v>0</v>
      </c>
      <c r="E128">
        <v>1</v>
      </c>
      <c r="F128">
        <v>12</v>
      </c>
      <c r="G128" t="b">
        <v>0</v>
      </c>
      <c r="H128">
        <v>4</v>
      </c>
      <c r="I128">
        <v>1</v>
      </c>
      <c r="J128">
        <v>0.26</v>
      </c>
      <c r="K128">
        <v>0.28789999999999999</v>
      </c>
      <c r="L128">
        <v>0.35</v>
      </c>
      <c r="M128">
        <v>0</v>
      </c>
      <c r="N128">
        <v>6</v>
      </c>
      <c r="O128">
        <v>78</v>
      </c>
      <c r="P128">
        <v>84</v>
      </c>
    </row>
    <row r="129" spans="1:16" x14ac:dyDescent="0.3">
      <c r="A129">
        <v>128</v>
      </c>
      <c r="B129" s="21">
        <v>40549</v>
      </c>
      <c r="C129">
        <v>1</v>
      </c>
      <c r="D129">
        <v>0</v>
      </c>
      <c r="E129">
        <v>1</v>
      </c>
      <c r="F129">
        <v>13</v>
      </c>
      <c r="G129" t="b">
        <v>0</v>
      </c>
      <c r="H129">
        <v>4</v>
      </c>
      <c r="I129">
        <v>1</v>
      </c>
      <c r="J129">
        <v>0.26</v>
      </c>
      <c r="K129">
        <v>0.2727</v>
      </c>
      <c r="L129">
        <v>0.35</v>
      </c>
      <c r="M129">
        <v>0.1045</v>
      </c>
      <c r="N129">
        <v>12</v>
      </c>
      <c r="O129">
        <v>55</v>
      </c>
      <c r="P129">
        <v>67</v>
      </c>
    </row>
    <row r="130" spans="1:16" x14ac:dyDescent="0.3">
      <c r="A130">
        <v>129</v>
      </c>
      <c r="B130" s="21">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
      <c r="A131">
        <v>130</v>
      </c>
      <c r="B131" s="21">
        <v>40549</v>
      </c>
      <c r="C131">
        <v>1</v>
      </c>
      <c r="D131">
        <v>0</v>
      </c>
      <c r="E131">
        <v>1</v>
      </c>
      <c r="F131">
        <v>15</v>
      </c>
      <c r="G131" t="b">
        <v>0</v>
      </c>
      <c r="H131">
        <v>4</v>
      </c>
      <c r="I131">
        <v>1</v>
      </c>
      <c r="J131">
        <v>0.28000000000000003</v>
      </c>
      <c r="K131">
        <v>0.2727</v>
      </c>
      <c r="L131">
        <v>0.36</v>
      </c>
      <c r="M131">
        <v>0</v>
      </c>
      <c r="N131">
        <v>8</v>
      </c>
      <c r="O131">
        <v>54</v>
      </c>
      <c r="P131">
        <v>62</v>
      </c>
    </row>
    <row r="132" spans="1:16" x14ac:dyDescent="0.3">
      <c r="A132">
        <v>131</v>
      </c>
      <c r="B132" s="21">
        <v>40549</v>
      </c>
      <c r="C132">
        <v>1</v>
      </c>
      <c r="D132">
        <v>0</v>
      </c>
      <c r="E132">
        <v>1</v>
      </c>
      <c r="F132">
        <v>16</v>
      </c>
      <c r="G132" t="b">
        <v>0</v>
      </c>
      <c r="H132">
        <v>4</v>
      </c>
      <c r="I132">
        <v>1</v>
      </c>
      <c r="J132">
        <v>0.26</v>
      </c>
      <c r="K132">
        <v>0.2576</v>
      </c>
      <c r="L132">
        <v>0.38</v>
      </c>
      <c r="M132">
        <v>0.16420000000000001</v>
      </c>
      <c r="N132">
        <v>12</v>
      </c>
      <c r="O132">
        <v>74</v>
      </c>
      <c r="P132">
        <v>86</v>
      </c>
    </row>
    <row r="133" spans="1:16" x14ac:dyDescent="0.3">
      <c r="A133">
        <v>132</v>
      </c>
      <c r="B133" s="21">
        <v>40549</v>
      </c>
      <c r="C133">
        <v>1</v>
      </c>
      <c r="D133">
        <v>0</v>
      </c>
      <c r="E133">
        <v>1</v>
      </c>
      <c r="F133">
        <v>17</v>
      </c>
      <c r="G133" t="b">
        <v>0</v>
      </c>
      <c r="H133">
        <v>4</v>
      </c>
      <c r="I133">
        <v>1</v>
      </c>
      <c r="J133">
        <v>0.22</v>
      </c>
      <c r="K133">
        <v>0.2273</v>
      </c>
      <c r="L133">
        <v>0.51</v>
      </c>
      <c r="M133">
        <v>0.16420000000000001</v>
      </c>
      <c r="N133">
        <v>9</v>
      </c>
      <c r="O133">
        <v>163</v>
      </c>
      <c r="P133">
        <v>172</v>
      </c>
    </row>
    <row r="134" spans="1:16" x14ac:dyDescent="0.3">
      <c r="A134">
        <v>133</v>
      </c>
      <c r="B134" s="21">
        <v>40549</v>
      </c>
      <c r="C134">
        <v>1</v>
      </c>
      <c r="D134">
        <v>0</v>
      </c>
      <c r="E134">
        <v>1</v>
      </c>
      <c r="F134">
        <v>18</v>
      </c>
      <c r="G134" t="b">
        <v>0</v>
      </c>
      <c r="H134">
        <v>4</v>
      </c>
      <c r="I134">
        <v>1</v>
      </c>
      <c r="J134">
        <v>0.22</v>
      </c>
      <c r="K134">
        <v>0.2273</v>
      </c>
      <c r="L134">
        <v>0.51</v>
      </c>
      <c r="M134">
        <v>0.1343</v>
      </c>
      <c r="N134">
        <v>5</v>
      </c>
      <c r="O134">
        <v>158</v>
      </c>
      <c r="P134">
        <v>163</v>
      </c>
    </row>
    <row r="135" spans="1:16" x14ac:dyDescent="0.3">
      <c r="A135">
        <v>134</v>
      </c>
      <c r="B135" s="21">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
      <c r="A136">
        <v>135</v>
      </c>
      <c r="B136" s="21">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
      <c r="A137">
        <v>136</v>
      </c>
      <c r="B137" s="2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
      <c r="A138">
        <v>137</v>
      </c>
      <c r="B138" s="21">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
      <c r="A139">
        <v>138</v>
      </c>
      <c r="B139" s="21">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
      <c r="A140">
        <v>139</v>
      </c>
      <c r="B140" s="21">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
      <c r="A141">
        <v>140</v>
      </c>
      <c r="B141" s="21">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
      <c r="A142">
        <v>141</v>
      </c>
      <c r="B142" s="21">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
      <c r="A143">
        <v>142</v>
      </c>
      <c r="B143" s="21">
        <v>40550</v>
      </c>
      <c r="C143">
        <v>1</v>
      </c>
      <c r="D143">
        <v>0</v>
      </c>
      <c r="E143">
        <v>1</v>
      </c>
      <c r="F143">
        <v>4</v>
      </c>
      <c r="G143" t="b">
        <v>0</v>
      </c>
      <c r="H143">
        <v>5</v>
      </c>
      <c r="I143">
        <v>2</v>
      </c>
      <c r="J143">
        <v>0.2</v>
      </c>
      <c r="K143">
        <v>0.21210000000000001</v>
      </c>
      <c r="L143">
        <v>0.69</v>
      </c>
      <c r="M143">
        <v>0.1343</v>
      </c>
      <c r="N143">
        <v>0</v>
      </c>
      <c r="O143">
        <v>1</v>
      </c>
      <c r="P143">
        <v>1</v>
      </c>
    </row>
    <row r="144" spans="1:16" x14ac:dyDescent="0.3">
      <c r="A144">
        <v>143</v>
      </c>
      <c r="B144" s="21">
        <v>40550</v>
      </c>
      <c r="C144">
        <v>1</v>
      </c>
      <c r="D144">
        <v>0</v>
      </c>
      <c r="E144">
        <v>1</v>
      </c>
      <c r="F144">
        <v>5</v>
      </c>
      <c r="G144" t="b">
        <v>0</v>
      </c>
      <c r="H144">
        <v>5</v>
      </c>
      <c r="I144">
        <v>3</v>
      </c>
      <c r="J144">
        <v>0.22</v>
      </c>
      <c r="K144">
        <v>0.2727</v>
      </c>
      <c r="L144">
        <v>0.55000000000000004</v>
      </c>
      <c r="M144">
        <v>0</v>
      </c>
      <c r="N144">
        <v>0</v>
      </c>
      <c r="O144">
        <v>5</v>
      </c>
      <c r="P144">
        <v>5</v>
      </c>
    </row>
    <row r="145" spans="1:16" x14ac:dyDescent="0.3">
      <c r="A145">
        <v>144</v>
      </c>
      <c r="B145" s="21">
        <v>40550</v>
      </c>
      <c r="C145">
        <v>1</v>
      </c>
      <c r="D145">
        <v>0</v>
      </c>
      <c r="E145">
        <v>1</v>
      </c>
      <c r="F145">
        <v>6</v>
      </c>
      <c r="G145" t="b">
        <v>0</v>
      </c>
      <c r="H145">
        <v>5</v>
      </c>
      <c r="I145">
        <v>2</v>
      </c>
      <c r="J145">
        <v>0.2</v>
      </c>
      <c r="K145">
        <v>0.2576</v>
      </c>
      <c r="L145">
        <v>0.69</v>
      </c>
      <c r="M145">
        <v>0</v>
      </c>
      <c r="N145">
        <v>8</v>
      </c>
      <c r="O145">
        <v>26</v>
      </c>
      <c r="P145">
        <v>34</v>
      </c>
    </row>
    <row r="146" spans="1:16" x14ac:dyDescent="0.3">
      <c r="A146">
        <v>145</v>
      </c>
      <c r="B146" s="21">
        <v>40550</v>
      </c>
      <c r="C146">
        <v>1</v>
      </c>
      <c r="D146">
        <v>0</v>
      </c>
      <c r="E146">
        <v>1</v>
      </c>
      <c r="F146">
        <v>7</v>
      </c>
      <c r="G146" t="b">
        <v>0</v>
      </c>
      <c r="H146">
        <v>5</v>
      </c>
      <c r="I146">
        <v>1</v>
      </c>
      <c r="J146">
        <v>0.2</v>
      </c>
      <c r="K146">
        <v>0.21210000000000001</v>
      </c>
      <c r="L146">
        <v>0.69</v>
      </c>
      <c r="M146">
        <v>0.1343</v>
      </c>
      <c r="N146">
        <v>8</v>
      </c>
      <c r="O146">
        <v>76</v>
      </c>
      <c r="P146">
        <v>84</v>
      </c>
    </row>
    <row r="147" spans="1:16" x14ac:dyDescent="0.3">
      <c r="A147">
        <v>146</v>
      </c>
      <c r="B147" s="21">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
      <c r="A148">
        <v>147</v>
      </c>
      <c r="B148" s="21">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
      <c r="A149">
        <v>148</v>
      </c>
      <c r="B149" s="21">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
      <c r="A150">
        <v>149</v>
      </c>
      <c r="B150" s="21">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
      <c r="A151">
        <v>150</v>
      </c>
      <c r="B151" s="21">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
      <c r="A152">
        <v>151</v>
      </c>
      <c r="B152" s="21">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
      <c r="A153">
        <v>152</v>
      </c>
      <c r="B153" s="21">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
      <c r="A154">
        <v>153</v>
      </c>
      <c r="B154" s="21">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
      <c r="A155">
        <v>154</v>
      </c>
      <c r="B155" s="21">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
      <c r="A156">
        <v>155</v>
      </c>
      <c r="B156" s="21">
        <v>40550</v>
      </c>
      <c r="C156">
        <v>1</v>
      </c>
      <c r="D156">
        <v>0</v>
      </c>
      <c r="E156">
        <v>1</v>
      </c>
      <c r="F156">
        <v>17</v>
      </c>
      <c r="G156" t="b">
        <v>0</v>
      </c>
      <c r="H156">
        <v>5</v>
      </c>
      <c r="I156">
        <v>2</v>
      </c>
      <c r="J156">
        <v>0.2</v>
      </c>
      <c r="K156">
        <v>0.2576</v>
      </c>
      <c r="L156">
        <v>0.37</v>
      </c>
      <c r="M156">
        <v>0</v>
      </c>
      <c r="N156">
        <v>9</v>
      </c>
      <c r="O156">
        <v>178</v>
      </c>
      <c r="P156">
        <v>187</v>
      </c>
    </row>
    <row r="157" spans="1:16" x14ac:dyDescent="0.3">
      <c r="A157">
        <v>156</v>
      </c>
      <c r="B157" s="21">
        <v>40550</v>
      </c>
      <c r="C157">
        <v>1</v>
      </c>
      <c r="D157">
        <v>0</v>
      </c>
      <c r="E157">
        <v>1</v>
      </c>
      <c r="F157">
        <v>18</v>
      </c>
      <c r="G157" t="b">
        <v>0</v>
      </c>
      <c r="H157">
        <v>5</v>
      </c>
      <c r="I157">
        <v>1</v>
      </c>
      <c r="J157">
        <v>0.2</v>
      </c>
      <c r="K157">
        <v>0.2273</v>
      </c>
      <c r="L157">
        <v>0.4</v>
      </c>
      <c r="M157">
        <v>8.9599999999999999E-2</v>
      </c>
      <c r="N157">
        <v>7</v>
      </c>
      <c r="O157">
        <v>116</v>
      </c>
      <c r="P157">
        <v>123</v>
      </c>
    </row>
    <row r="158" spans="1:16" x14ac:dyDescent="0.3">
      <c r="A158">
        <v>157</v>
      </c>
      <c r="B158" s="2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
      <c r="A159">
        <v>158</v>
      </c>
      <c r="B159" s="21">
        <v>40550</v>
      </c>
      <c r="C159">
        <v>1</v>
      </c>
      <c r="D159">
        <v>0</v>
      </c>
      <c r="E159">
        <v>1</v>
      </c>
      <c r="F159">
        <v>20</v>
      </c>
      <c r="G159" t="b">
        <v>0</v>
      </c>
      <c r="H159">
        <v>5</v>
      </c>
      <c r="I159">
        <v>1</v>
      </c>
      <c r="J159">
        <v>0.18</v>
      </c>
      <c r="K159">
        <v>0.21210000000000001</v>
      </c>
      <c r="L159">
        <v>0.47</v>
      </c>
      <c r="M159">
        <v>0.1045</v>
      </c>
      <c r="N159">
        <v>1</v>
      </c>
      <c r="O159">
        <v>50</v>
      </c>
      <c r="P159">
        <v>51</v>
      </c>
    </row>
    <row r="160" spans="1:16" x14ac:dyDescent="0.3">
      <c r="A160">
        <v>159</v>
      </c>
      <c r="B160" s="21">
        <v>40550</v>
      </c>
      <c r="C160">
        <v>1</v>
      </c>
      <c r="D160">
        <v>0</v>
      </c>
      <c r="E160">
        <v>1</v>
      </c>
      <c r="F160">
        <v>21</v>
      </c>
      <c r="G160" t="b">
        <v>0</v>
      </c>
      <c r="H160">
        <v>5</v>
      </c>
      <c r="I160">
        <v>1</v>
      </c>
      <c r="J160">
        <v>0.18</v>
      </c>
      <c r="K160">
        <v>0.19700000000000001</v>
      </c>
      <c r="L160">
        <v>0.47</v>
      </c>
      <c r="M160">
        <v>0.1343</v>
      </c>
      <c r="N160">
        <v>0</v>
      </c>
      <c r="O160">
        <v>39</v>
      </c>
      <c r="P160">
        <v>39</v>
      </c>
    </row>
    <row r="161" spans="1:16" x14ac:dyDescent="0.3">
      <c r="A161">
        <v>160</v>
      </c>
      <c r="B161" s="21">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
      <c r="A162">
        <v>161</v>
      </c>
      <c r="B162" s="21">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
      <c r="A163">
        <v>162</v>
      </c>
      <c r="B163" s="21">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
      <c r="A164">
        <v>163</v>
      </c>
      <c r="B164" s="2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
      <c r="A165">
        <v>164</v>
      </c>
      <c r="B165" s="21">
        <v>40551</v>
      </c>
      <c r="C165">
        <v>1</v>
      </c>
      <c r="D165">
        <v>0</v>
      </c>
      <c r="E165">
        <v>1</v>
      </c>
      <c r="F165">
        <v>2</v>
      </c>
      <c r="G165" t="b">
        <v>0</v>
      </c>
      <c r="H165">
        <v>6</v>
      </c>
      <c r="I165">
        <v>2</v>
      </c>
      <c r="J165">
        <v>0.18</v>
      </c>
      <c r="K165">
        <v>0.2424</v>
      </c>
      <c r="L165">
        <v>0.55000000000000004</v>
      </c>
      <c r="M165">
        <v>0</v>
      </c>
      <c r="N165">
        <v>3</v>
      </c>
      <c r="O165">
        <v>13</v>
      </c>
      <c r="P165">
        <v>16</v>
      </c>
    </row>
    <row r="166" spans="1:16" x14ac:dyDescent="0.3">
      <c r="A166">
        <v>165</v>
      </c>
      <c r="B166" s="2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
      <c r="A167">
        <v>166</v>
      </c>
      <c r="B167" s="2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
      <c r="A168">
        <v>167</v>
      </c>
      <c r="B168" s="21">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
      <c r="A169">
        <v>168</v>
      </c>
      <c r="B169" s="21">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
      <c r="A170">
        <v>169</v>
      </c>
      <c r="B170" s="21">
        <v>40551</v>
      </c>
      <c r="C170">
        <v>1</v>
      </c>
      <c r="D170">
        <v>0</v>
      </c>
      <c r="E170">
        <v>1</v>
      </c>
      <c r="F170">
        <v>7</v>
      </c>
      <c r="G170" t="b">
        <v>0</v>
      </c>
      <c r="H170">
        <v>6</v>
      </c>
      <c r="I170">
        <v>2</v>
      </c>
      <c r="J170">
        <v>0.16</v>
      </c>
      <c r="K170">
        <v>0.18179999999999999</v>
      </c>
      <c r="L170">
        <v>0.74</v>
      </c>
      <c r="M170">
        <v>0.1045</v>
      </c>
      <c r="N170">
        <v>1</v>
      </c>
      <c r="O170">
        <v>8</v>
      </c>
      <c r="P170">
        <v>9</v>
      </c>
    </row>
    <row r="171" spans="1:16" x14ac:dyDescent="0.3">
      <c r="A171">
        <v>170</v>
      </c>
      <c r="B171" s="21">
        <v>40551</v>
      </c>
      <c r="C171">
        <v>1</v>
      </c>
      <c r="D171">
        <v>0</v>
      </c>
      <c r="E171">
        <v>1</v>
      </c>
      <c r="F171">
        <v>8</v>
      </c>
      <c r="G171" t="b">
        <v>0</v>
      </c>
      <c r="H171">
        <v>6</v>
      </c>
      <c r="I171">
        <v>3</v>
      </c>
      <c r="J171">
        <v>0.16</v>
      </c>
      <c r="K171">
        <v>0.18179999999999999</v>
      </c>
      <c r="L171">
        <v>0.93</v>
      </c>
      <c r="M171">
        <v>0.1045</v>
      </c>
      <c r="N171">
        <v>0</v>
      </c>
      <c r="O171">
        <v>15</v>
      </c>
      <c r="P171">
        <v>15</v>
      </c>
    </row>
    <row r="172" spans="1:16" x14ac:dyDescent="0.3">
      <c r="A172">
        <v>171</v>
      </c>
      <c r="B172" s="21">
        <v>40551</v>
      </c>
      <c r="C172">
        <v>1</v>
      </c>
      <c r="D172">
        <v>0</v>
      </c>
      <c r="E172">
        <v>1</v>
      </c>
      <c r="F172">
        <v>9</v>
      </c>
      <c r="G172" t="b">
        <v>0</v>
      </c>
      <c r="H172">
        <v>6</v>
      </c>
      <c r="I172">
        <v>3</v>
      </c>
      <c r="J172">
        <v>0.16</v>
      </c>
      <c r="K172">
        <v>0.18179999999999999</v>
      </c>
      <c r="L172">
        <v>0.93</v>
      </c>
      <c r="M172">
        <v>0.1045</v>
      </c>
      <c r="N172">
        <v>0</v>
      </c>
      <c r="O172">
        <v>20</v>
      </c>
      <c r="P172">
        <v>20</v>
      </c>
    </row>
    <row r="173" spans="1:16" x14ac:dyDescent="0.3">
      <c r="A173">
        <v>172</v>
      </c>
      <c r="B173" s="21">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
      <c r="A174">
        <v>173</v>
      </c>
      <c r="B174" s="21">
        <v>40551</v>
      </c>
      <c r="C174">
        <v>1</v>
      </c>
      <c r="D174">
        <v>0</v>
      </c>
      <c r="E174">
        <v>1</v>
      </c>
      <c r="F174">
        <v>11</v>
      </c>
      <c r="G174" t="b">
        <v>0</v>
      </c>
      <c r="H174">
        <v>6</v>
      </c>
      <c r="I174">
        <v>2</v>
      </c>
      <c r="J174">
        <v>0.2</v>
      </c>
      <c r="K174">
        <v>0.18179999999999999</v>
      </c>
      <c r="L174">
        <v>0.69</v>
      </c>
      <c r="M174">
        <v>0.3881</v>
      </c>
      <c r="N174">
        <v>2</v>
      </c>
      <c r="O174">
        <v>60</v>
      </c>
      <c r="P174">
        <v>62</v>
      </c>
    </row>
    <row r="175" spans="1:16" x14ac:dyDescent="0.3">
      <c r="A175">
        <v>174</v>
      </c>
      <c r="B175" s="21">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
      <c r="A176">
        <v>175</v>
      </c>
      <c r="B176" s="21">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
      <c r="A177">
        <v>176</v>
      </c>
      <c r="B177" s="21">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
      <c r="A178">
        <v>177</v>
      </c>
      <c r="B178" s="21">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
      <c r="A179">
        <v>178</v>
      </c>
      <c r="B179" s="2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
      <c r="A180">
        <v>179</v>
      </c>
      <c r="B180" s="21">
        <v>40551</v>
      </c>
      <c r="C180">
        <v>1</v>
      </c>
      <c r="D180">
        <v>0</v>
      </c>
      <c r="E180">
        <v>1</v>
      </c>
      <c r="F180">
        <v>17</v>
      </c>
      <c r="G180" t="b">
        <v>0</v>
      </c>
      <c r="H180">
        <v>6</v>
      </c>
      <c r="I180">
        <v>1</v>
      </c>
      <c r="J180">
        <v>0.16</v>
      </c>
      <c r="K180">
        <v>0.1212</v>
      </c>
      <c r="L180">
        <v>0.37</v>
      </c>
      <c r="M180">
        <v>0.55220000000000002</v>
      </c>
      <c r="N180">
        <v>5</v>
      </c>
      <c r="O180">
        <v>64</v>
      </c>
      <c r="P180">
        <v>69</v>
      </c>
    </row>
    <row r="181" spans="1:16" x14ac:dyDescent="0.3">
      <c r="A181">
        <v>180</v>
      </c>
      <c r="B181" s="21">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
      <c r="A182">
        <v>181</v>
      </c>
      <c r="B182" s="21">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
      <c r="A183">
        <v>182</v>
      </c>
      <c r="B183" s="21">
        <v>40551</v>
      </c>
      <c r="C183">
        <v>1</v>
      </c>
      <c r="D183">
        <v>0</v>
      </c>
      <c r="E183">
        <v>1</v>
      </c>
      <c r="F183">
        <v>20</v>
      </c>
      <c r="G183" t="b">
        <v>0</v>
      </c>
      <c r="H183">
        <v>6</v>
      </c>
      <c r="I183">
        <v>1</v>
      </c>
      <c r="J183">
        <v>0.12</v>
      </c>
      <c r="K183">
        <v>0.1212</v>
      </c>
      <c r="L183">
        <v>0.36</v>
      </c>
      <c r="M183">
        <v>0.25369999999999998</v>
      </c>
      <c r="N183">
        <v>0</v>
      </c>
      <c r="O183">
        <v>28</v>
      </c>
      <c r="P183">
        <v>28</v>
      </c>
    </row>
    <row r="184" spans="1:16" x14ac:dyDescent="0.3">
      <c r="A184">
        <v>183</v>
      </c>
      <c r="B184" s="21">
        <v>40551</v>
      </c>
      <c r="C184">
        <v>1</v>
      </c>
      <c r="D184">
        <v>0</v>
      </c>
      <c r="E184">
        <v>1</v>
      </c>
      <c r="F184">
        <v>21</v>
      </c>
      <c r="G184" t="b">
        <v>0</v>
      </c>
      <c r="H184">
        <v>6</v>
      </c>
      <c r="I184">
        <v>1</v>
      </c>
      <c r="J184">
        <v>0.12</v>
      </c>
      <c r="K184">
        <v>0.1061</v>
      </c>
      <c r="L184">
        <v>0.39</v>
      </c>
      <c r="M184">
        <v>0.35820000000000002</v>
      </c>
      <c r="N184">
        <v>2</v>
      </c>
      <c r="O184">
        <v>35</v>
      </c>
      <c r="P184">
        <v>37</v>
      </c>
    </row>
    <row r="185" spans="1:16" x14ac:dyDescent="0.3">
      <c r="A185">
        <v>184</v>
      </c>
      <c r="B185" s="21">
        <v>40551</v>
      </c>
      <c r="C185">
        <v>1</v>
      </c>
      <c r="D185">
        <v>0</v>
      </c>
      <c r="E185">
        <v>1</v>
      </c>
      <c r="F185">
        <v>22</v>
      </c>
      <c r="G185" t="b">
        <v>0</v>
      </c>
      <c r="H185">
        <v>6</v>
      </c>
      <c r="I185">
        <v>1</v>
      </c>
      <c r="J185">
        <v>0.12</v>
      </c>
      <c r="K185">
        <v>0.1061</v>
      </c>
      <c r="L185">
        <v>0.36</v>
      </c>
      <c r="M185">
        <v>0.3881</v>
      </c>
      <c r="N185">
        <v>1</v>
      </c>
      <c r="O185">
        <v>33</v>
      </c>
      <c r="P185">
        <v>34</v>
      </c>
    </row>
    <row r="186" spans="1:16" x14ac:dyDescent="0.3">
      <c r="A186">
        <v>185</v>
      </c>
      <c r="B186" s="21">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
      <c r="A187">
        <v>186</v>
      </c>
      <c r="B187" s="21">
        <v>40552</v>
      </c>
      <c r="C187">
        <v>1</v>
      </c>
      <c r="D187">
        <v>0</v>
      </c>
      <c r="E187">
        <v>1</v>
      </c>
      <c r="F187">
        <v>0</v>
      </c>
      <c r="G187" t="b">
        <v>0</v>
      </c>
      <c r="H187">
        <v>0</v>
      </c>
      <c r="I187">
        <v>1</v>
      </c>
      <c r="J187">
        <v>0.1</v>
      </c>
      <c r="K187">
        <v>7.5800000000000006E-2</v>
      </c>
      <c r="L187">
        <v>0.42</v>
      </c>
      <c r="M187">
        <v>0.3881</v>
      </c>
      <c r="N187">
        <v>1</v>
      </c>
      <c r="O187">
        <v>24</v>
      </c>
      <c r="P187">
        <v>25</v>
      </c>
    </row>
    <row r="188" spans="1:16" x14ac:dyDescent="0.3">
      <c r="A188">
        <v>187</v>
      </c>
      <c r="B188" s="21">
        <v>40552</v>
      </c>
      <c r="C188">
        <v>1</v>
      </c>
      <c r="D188">
        <v>0</v>
      </c>
      <c r="E188">
        <v>1</v>
      </c>
      <c r="F188">
        <v>1</v>
      </c>
      <c r="G188" t="b">
        <v>0</v>
      </c>
      <c r="H188">
        <v>0</v>
      </c>
      <c r="I188">
        <v>1</v>
      </c>
      <c r="J188">
        <v>0.1</v>
      </c>
      <c r="K188">
        <v>6.0600000000000001E-2</v>
      </c>
      <c r="L188">
        <v>0.42</v>
      </c>
      <c r="M188">
        <v>0.4627</v>
      </c>
      <c r="N188">
        <v>0</v>
      </c>
      <c r="O188">
        <v>12</v>
      </c>
      <c r="P188">
        <v>12</v>
      </c>
    </row>
    <row r="189" spans="1:16" x14ac:dyDescent="0.3">
      <c r="A189">
        <v>188</v>
      </c>
      <c r="B189" s="21">
        <v>40552</v>
      </c>
      <c r="C189">
        <v>1</v>
      </c>
      <c r="D189">
        <v>0</v>
      </c>
      <c r="E189">
        <v>1</v>
      </c>
      <c r="F189">
        <v>2</v>
      </c>
      <c r="G189" t="b">
        <v>0</v>
      </c>
      <c r="H189">
        <v>0</v>
      </c>
      <c r="I189">
        <v>1</v>
      </c>
      <c r="J189">
        <v>0.1</v>
      </c>
      <c r="K189">
        <v>6.0600000000000001E-2</v>
      </c>
      <c r="L189">
        <v>0.46</v>
      </c>
      <c r="M189">
        <v>0.4627</v>
      </c>
      <c r="N189">
        <v>0</v>
      </c>
      <c r="O189">
        <v>11</v>
      </c>
      <c r="P189">
        <v>11</v>
      </c>
    </row>
    <row r="190" spans="1:16" x14ac:dyDescent="0.3">
      <c r="A190">
        <v>189</v>
      </c>
      <c r="B190" s="21">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
      <c r="A191">
        <v>190</v>
      </c>
      <c r="B191" s="21">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
      <c r="A192">
        <v>191</v>
      </c>
      <c r="B192" s="21">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
      <c r="A193">
        <v>192</v>
      </c>
      <c r="B193" s="21">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
      <c r="A194">
        <v>193</v>
      </c>
      <c r="B194" s="21">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
      <c r="A195">
        <v>194</v>
      </c>
      <c r="B195" s="21">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
      <c r="A196">
        <v>195</v>
      </c>
      <c r="B196" s="21">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
      <c r="A197">
        <v>196</v>
      </c>
      <c r="B197" s="21">
        <v>40552</v>
      </c>
      <c r="C197">
        <v>1</v>
      </c>
      <c r="D197">
        <v>0</v>
      </c>
      <c r="E197">
        <v>1</v>
      </c>
      <c r="F197">
        <v>10</v>
      </c>
      <c r="G197" t="b">
        <v>0</v>
      </c>
      <c r="H197">
        <v>0</v>
      </c>
      <c r="I197">
        <v>1</v>
      </c>
      <c r="J197">
        <v>0.14000000000000001</v>
      </c>
      <c r="K197">
        <v>0.1061</v>
      </c>
      <c r="L197">
        <v>0.43</v>
      </c>
      <c r="M197">
        <v>0.3881</v>
      </c>
      <c r="N197">
        <v>0</v>
      </c>
      <c r="O197">
        <v>49</v>
      </c>
      <c r="P197">
        <v>49</v>
      </c>
    </row>
    <row r="198" spans="1:16" x14ac:dyDescent="0.3">
      <c r="A198">
        <v>197</v>
      </c>
      <c r="B198" s="21">
        <v>40552</v>
      </c>
      <c r="C198">
        <v>1</v>
      </c>
      <c r="D198">
        <v>0</v>
      </c>
      <c r="E198">
        <v>1</v>
      </c>
      <c r="F198">
        <v>11</v>
      </c>
      <c r="G198" t="b">
        <v>0</v>
      </c>
      <c r="H198">
        <v>0</v>
      </c>
      <c r="I198">
        <v>1</v>
      </c>
      <c r="J198">
        <v>0.16</v>
      </c>
      <c r="K198">
        <v>0.1212</v>
      </c>
      <c r="L198">
        <v>0.4</v>
      </c>
      <c r="M198">
        <v>0.52239999999999998</v>
      </c>
      <c r="N198">
        <v>2</v>
      </c>
      <c r="O198">
        <v>47</v>
      </c>
      <c r="P198">
        <v>49</v>
      </c>
    </row>
    <row r="199" spans="1:16" x14ac:dyDescent="0.3">
      <c r="A199">
        <v>198</v>
      </c>
      <c r="B199" s="21">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
      <c r="A200">
        <v>199</v>
      </c>
      <c r="B200" s="21">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
      <c r="A201">
        <v>200</v>
      </c>
      <c r="B201" s="21">
        <v>40552</v>
      </c>
      <c r="C201">
        <v>1</v>
      </c>
      <c r="D201">
        <v>0</v>
      </c>
      <c r="E201">
        <v>1</v>
      </c>
      <c r="F201">
        <v>14</v>
      </c>
      <c r="G201" t="b">
        <v>0</v>
      </c>
      <c r="H201">
        <v>0</v>
      </c>
      <c r="I201">
        <v>1</v>
      </c>
      <c r="J201">
        <v>0.22</v>
      </c>
      <c r="K201">
        <v>0.18179999999999999</v>
      </c>
      <c r="L201">
        <v>0.32</v>
      </c>
      <c r="M201">
        <v>0.4627</v>
      </c>
      <c r="N201">
        <v>8</v>
      </c>
      <c r="O201">
        <v>64</v>
      </c>
      <c r="P201">
        <v>72</v>
      </c>
    </row>
    <row r="202" spans="1:16" x14ac:dyDescent="0.3">
      <c r="A202">
        <v>201</v>
      </c>
      <c r="B202" s="21">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
      <c r="A203">
        <v>202</v>
      </c>
      <c r="B203" s="21">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
      <c r="A204">
        <v>203</v>
      </c>
      <c r="B204" s="21">
        <v>40552</v>
      </c>
      <c r="C204">
        <v>1</v>
      </c>
      <c r="D204">
        <v>0</v>
      </c>
      <c r="E204">
        <v>1</v>
      </c>
      <c r="F204">
        <v>17</v>
      </c>
      <c r="G204" t="b">
        <v>0</v>
      </c>
      <c r="H204">
        <v>0</v>
      </c>
      <c r="I204">
        <v>1</v>
      </c>
      <c r="J204">
        <v>0.18</v>
      </c>
      <c r="K204">
        <v>0.1515</v>
      </c>
      <c r="L204">
        <v>0.37</v>
      </c>
      <c r="M204">
        <v>0.3881</v>
      </c>
      <c r="N204">
        <v>3</v>
      </c>
      <c r="O204">
        <v>59</v>
      </c>
      <c r="P204">
        <v>62</v>
      </c>
    </row>
    <row r="205" spans="1:16" x14ac:dyDescent="0.3">
      <c r="A205">
        <v>204</v>
      </c>
      <c r="B205" s="21">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
      <c r="A206">
        <v>205</v>
      </c>
      <c r="B206" s="21">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
      <c r="A207">
        <v>206</v>
      </c>
      <c r="B207" s="21">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
      <c r="A208">
        <v>207</v>
      </c>
      <c r="B208" s="21">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
      <c r="A209">
        <v>208</v>
      </c>
      <c r="B209" s="21">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
      <c r="A210">
        <v>209</v>
      </c>
      <c r="B210" s="21">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
      <c r="A211">
        <v>210</v>
      </c>
      <c r="B211" s="21">
        <v>40553</v>
      </c>
      <c r="C211">
        <v>1</v>
      </c>
      <c r="D211">
        <v>0</v>
      </c>
      <c r="E211">
        <v>1</v>
      </c>
      <c r="F211">
        <v>0</v>
      </c>
      <c r="G211" t="b">
        <v>0</v>
      </c>
      <c r="H211">
        <v>1</v>
      </c>
      <c r="I211">
        <v>1</v>
      </c>
      <c r="J211">
        <v>0.12</v>
      </c>
      <c r="K211">
        <v>0.1212</v>
      </c>
      <c r="L211">
        <v>0.5</v>
      </c>
      <c r="M211">
        <v>0.28360000000000002</v>
      </c>
      <c r="N211">
        <v>2</v>
      </c>
      <c r="O211">
        <v>3</v>
      </c>
      <c r="P211">
        <v>5</v>
      </c>
    </row>
    <row r="212" spans="1:16" x14ac:dyDescent="0.3">
      <c r="A212">
        <v>211</v>
      </c>
      <c r="B212" s="21">
        <v>40553</v>
      </c>
      <c r="C212">
        <v>1</v>
      </c>
      <c r="D212">
        <v>0</v>
      </c>
      <c r="E212">
        <v>1</v>
      </c>
      <c r="F212">
        <v>1</v>
      </c>
      <c r="G212" t="b">
        <v>0</v>
      </c>
      <c r="H212">
        <v>1</v>
      </c>
      <c r="I212">
        <v>1</v>
      </c>
      <c r="J212">
        <v>0.12</v>
      </c>
      <c r="K212">
        <v>0.1212</v>
      </c>
      <c r="L212">
        <v>0.5</v>
      </c>
      <c r="M212">
        <v>0.28360000000000002</v>
      </c>
      <c r="N212">
        <v>1</v>
      </c>
      <c r="O212">
        <v>0</v>
      </c>
      <c r="P212">
        <v>1</v>
      </c>
    </row>
    <row r="213" spans="1:16" x14ac:dyDescent="0.3">
      <c r="A213">
        <v>212</v>
      </c>
      <c r="B213" s="21">
        <v>40553</v>
      </c>
      <c r="C213">
        <v>1</v>
      </c>
      <c r="D213">
        <v>0</v>
      </c>
      <c r="E213">
        <v>1</v>
      </c>
      <c r="F213">
        <v>2</v>
      </c>
      <c r="G213" t="b">
        <v>0</v>
      </c>
      <c r="H213">
        <v>1</v>
      </c>
      <c r="I213">
        <v>1</v>
      </c>
      <c r="J213">
        <v>0.12</v>
      </c>
      <c r="K213">
        <v>0.1212</v>
      </c>
      <c r="L213">
        <v>0.5</v>
      </c>
      <c r="M213">
        <v>0.22389999999999999</v>
      </c>
      <c r="N213">
        <v>0</v>
      </c>
      <c r="O213">
        <v>3</v>
      </c>
      <c r="P213">
        <v>3</v>
      </c>
    </row>
    <row r="214" spans="1:16" x14ac:dyDescent="0.3">
      <c r="A214">
        <v>213</v>
      </c>
      <c r="B214" s="21">
        <v>40553</v>
      </c>
      <c r="C214">
        <v>1</v>
      </c>
      <c r="D214">
        <v>0</v>
      </c>
      <c r="E214">
        <v>1</v>
      </c>
      <c r="F214">
        <v>3</v>
      </c>
      <c r="G214" t="b">
        <v>0</v>
      </c>
      <c r="H214">
        <v>1</v>
      </c>
      <c r="I214">
        <v>1</v>
      </c>
      <c r="J214">
        <v>0.12</v>
      </c>
      <c r="K214">
        <v>0.1212</v>
      </c>
      <c r="L214">
        <v>0.5</v>
      </c>
      <c r="M214">
        <v>0.22389999999999999</v>
      </c>
      <c r="N214">
        <v>0</v>
      </c>
      <c r="O214">
        <v>1</v>
      </c>
      <c r="P214">
        <v>1</v>
      </c>
    </row>
    <row r="215" spans="1:16" x14ac:dyDescent="0.3">
      <c r="A215">
        <v>214</v>
      </c>
      <c r="B215" s="21">
        <v>40553</v>
      </c>
      <c r="C215">
        <v>1</v>
      </c>
      <c r="D215">
        <v>0</v>
      </c>
      <c r="E215">
        <v>1</v>
      </c>
      <c r="F215">
        <v>4</v>
      </c>
      <c r="G215" t="b">
        <v>0</v>
      </c>
      <c r="H215">
        <v>1</v>
      </c>
      <c r="I215">
        <v>1</v>
      </c>
      <c r="J215">
        <v>0.1</v>
      </c>
      <c r="K215">
        <v>0.1212</v>
      </c>
      <c r="L215">
        <v>0.54</v>
      </c>
      <c r="M215">
        <v>0.1343</v>
      </c>
      <c r="N215">
        <v>1</v>
      </c>
      <c r="O215">
        <v>2</v>
      </c>
      <c r="P215">
        <v>3</v>
      </c>
    </row>
    <row r="216" spans="1:16" x14ac:dyDescent="0.3">
      <c r="A216">
        <v>215</v>
      </c>
      <c r="B216" s="21">
        <v>40553</v>
      </c>
      <c r="C216">
        <v>1</v>
      </c>
      <c r="D216">
        <v>0</v>
      </c>
      <c r="E216">
        <v>1</v>
      </c>
      <c r="F216">
        <v>5</v>
      </c>
      <c r="G216" t="b">
        <v>0</v>
      </c>
      <c r="H216">
        <v>1</v>
      </c>
      <c r="I216">
        <v>1</v>
      </c>
      <c r="J216">
        <v>0.1</v>
      </c>
      <c r="K216">
        <v>0.1061</v>
      </c>
      <c r="L216">
        <v>0.54</v>
      </c>
      <c r="M216">
        <v>0.25369999999999998</v>
      </c>
      <c r="N216">
        <v>0</v>
      </c>
      <c r="O216">
        <v>3</v>
      </c>
      <c r="P216">
        <v>3</v>
      </c>
    </row>
    <row r="217" spans="1:16" x14ac:dyDescent="0.3">
      <c r="A217">
        <v>216</v>
      </c>
      <c r="B217" s="21">
        <v>40553</v>
      </c>
      <c r="C217">
        <v>1</v>
      </c>
      <c r="D217">
        <v>0</v>
      </c>
      <c r="E217">
        <v>1</v>
      </c>
      <c r="F217">
        <v>6</v>
      </c>
      <c r="G217" t="b">
        <v>0</v>
      </c>
      <c r="H217">
        <v>1</v>
      </c>
      <c r="I217">
        <v>1</v>
      </c>
      <c r="J217">
        <v>0.12</v>
      </c>
      <c r="K217">
        <v>0.1212</v>
      </c>
      <c r="L217">
        <v>0.5</v>
      </c>
      <c r="M217">
        <v>0.28360000000000002</v>
      </c>
      <c r="N217">
        <v>0</v>
      </c>
      <c r="O217">
        <v>31</v>
      </c>
      <c r="P217">
        <v>31</v>
      </c>
    </row>
    <row r="218" spans="1:16" x14ac:dyDescent="0.3">
      <c r="A218">
        <v>217</v>
      </c>
      <c r="B218" s="21">
        <v>40553</v>
      </c>
      <c r="C218">
        <v>1</v>
      </c>
      <c r="D218">
        <v>0</v>
      </c>
      <c r="E218">
        <v>1</v>
      </c>
      <c r="F218">
        <v>7</v>
      </c>
      <c r="G218" t="b">
        <v>0</v>
      </c>
      <c r="H218">
        <v>1</v>
      </c>
      <c r="I218">
        <v>1</v>
      </c>
      <c r="J218">
        <v>0.12</v>
      </c>
      <c r="K218">
        <v>0.1212</v>
      </c>
      <c r="L218">
        <v>0.5</v>
      </c>
      <c r="M218">
        <v>0.22389999999999999</v>
      </c>
      <c r="N218">
        <v>2</v>
      </c>
      <c r="O218">
        <v>75</v>
      </c>
      <c r="P218">
        <v>77</v>
      </c>
    </row>
    <row r="219" spans="1:16" x14ac:dyDescent="0.3">
      <c r="A219">
        <v>218</v>
      </c>
      <c r="B219" s="21">
        <v>40553</v>
      </c>
      <c r="C219">
        <v>1</v>
      </c>
      <c r="D219">
        <v>0</v>
      </c>
      <c r="E219">
        <v>1</v>
      </c>
      <c r="F219">
        <v>8</v>
      </c>
      <c r="G219" t="b">
        <v>0</v>
      </c>
      <c r="H219">
        <v>1</v>
      </c>
      <c r="I219">
        <v>2</v>
      </c>
      <c r="J219">
        <v>0.12</v>
      </c>
      <c r="K219">
        <v>0.1212</v>
      </c>
      <c r="L219">
        <v>0.5</v>
      </c>
      <c r="M219">
        <v>0.28360000000000002</v>
      </c>
      <c r="N219">
        <v>4</v>
      </c>
      <c r="O219">
        <v>184</v>
      </c>
      <c r="P219">
        <v>188</v>
      </c>
    </row>
    <row r="220" spans="1:16" x14ac:dyDescent="0.3">
      <c r="A220">
        <v>219</v>
      </c>
      <c r="B220" s="21">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
      <c r="A221">
        <v>220</v>
      </c>
      <c r="B221" s="21">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
      <c r="A222">
        <v>221</v>
      </c>
      <c r="B222" s="21">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
      <c r="A223">
        <v>222</v>
      </c>
      <c r="B223" s="21">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
      <c r="A224">
        <v>223</v>
      </c>
      <c r="B224" s="21">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
      <c r="A225">
        <v>224</v>
      </c>
      <c r="B225" s="21">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
      <c r="A226">
        <v>225</v>
      </c>
      <c r="B226" s="21">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
      <c r="A227">
        <v>226</v>
      </c>
      <c r="B227" s="21">
        <v>40553</v>
      </c>
      <c r="C227">
        <v>1</v>
      </c>
      <c r="D227">
        <v>0</v>
      </c>
      <c r="E227">
        <v>1</v>
      </c>
      <c r="F227">
        <v>16</v>
      </c>
      <c r="G227" t="b">
        <v>0</v>
      </c>
      <c r="H227">
        <v>1</v>
      </c>
      <c r="I227">
        <v>1</v>
      </c>
      <c r="J227">
        <v>0.2</v>
      </c>
      <c r="K227">
        <v>0.21210000000000001</v>
      </c>
      <c r="L227">
        <v>0.4</v>
      </c>
      <c r="M227">
        <v>0.1343</v>
      </c>
      <c r="N227">
        <v>4</v>
      </c>
      <c r="O227">
        <v>70</v>
      </c>
      <c r="P227">
        <v>74</v>
      </c>
    </row>
    <row r="228" spans="1:16" x14ac:dyDescent="0.3">
      <c r="A228">
        <v>227</v>
      </c>
      <c r="B228" s="21">
        <v>40553</v>
      </c>
      <c r="C228">
        <v>1</v>
      </c>
      <c r="D228">
        <v>0</v>
      </c>
      <c r="E228">
        <v>1</v>
      </c>
      <c r="F228">
        <v>17</v>
      </c>
      <c r="G228" t="b">
        <v>0</v>
      </c>
      <c r="H228">
        <v>1</v>
      </c>
      <c r="I228">
        <v>1</v>
      </c>
      <c r="J228">
        <v>0.2</v>
      </c>
      <c r="K228">
        <v>0.2273</v>
      </c>
      <c r="L228">
        <v>0.4</v>
      </c>
      <c r="M228">
        <v>0.1045</v>
      </c>
      <c r="N228">
        <v>4</v>
      </c>
      <c r="O228">
        <v>174</v>
      </c>
      <c r="P228">
        <v>178</v>
      </c>
    </row>
    <row r="229" spans="1:16" x14ac:dyDescent="0.3">
      <c r="A229">
        <v>228</v>
      </c>
      <c r="B229" s="21">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
      <c r="A230">
        <v>229</v>
      </c>
      <c r="B230" s="21">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
      <c r="A231">
        <v>230</v>
      </c>
      <c r="B231" s="21">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
      <c r="A232">
        <v>231</v>
      </c>
      <c r="B232" s="2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
      <c r="A233">
        <v>232</v>
      </c>
      <c r="B233" s="21">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
      <c r="A234">
        <v>233</v>
      </c>
      <c r="B234" s="21">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
      <c r="A235">
        <v>234</v>
      </c>
      <c r="B235" s="21">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
      <c r="A236">
        <v>235</v>
      </c>
      <c r="B236" s="21">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
      <c r="A237">
        <v>236</v>
      </c>
      <c r="B237" s="21">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
      <c r="A238">
        <v>237</v>
      </c>
      <c r="B238" s="21">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
      <c r="A239">
        <v>238</v>
      </c>
      <c r="B239" s="21">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
      <c r="A240">
        <v>239</v>
      </c>
      <c r="B240" s="21">
        <v>40554</v>
      </c>
      <c r="C240">
        <v>1</v>
      </c>
      <c r="D240">
        <v>0</v>
      </c>
      <c r="E240">
        <v>1</v>
      </c>
      <c r="F240">
        <v>7</v>
      </c>
      <c r="G240" t="b">
        <v>0</v>
      </c>
      <c r="H240">
        <v>2</v>
      </c>
      <c r="I240">
        <v>2</v>
      </c>
      <c r="J240">
        <v>0.16</v>
      </c>
      <c r="K240">
        <v>0.2273</v>
      </c>
      <c r="L240">
        <v>0.55000000000000004</v>
      </c>
      <c r="M240">
        <v>0</v>
      </c>
      <c r="N240">
        <v>2</v>
      </c>
      <c r="O240">
        <v>97</v>
      </c>
      <c r="P240">
        <v>99</v>
      </c>
    </row>
    <row r="241" spans="1:16" x14ac:dyDescent="0.3">
      <c r="A241">
        <v>240</v>
      </c>
      <c r="B241" s="21">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
      <c r="A242">
        <v>241</v>
      </c>
      <c r="B242" s="21">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
      <c r="A243">
        <v>242</v>
      </c>
      <c r="B243" s="21">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
      <c r="A244">
        <v>243</v>
      </c>
      <c r="B244" s="21">
        <v>40554</v>
      </c>
      <c r="C244">
        <v>1</v>
      </c>
      <c r="D244">
        <v>0</v>
      </c>
      <c r="E244">
        <v>1</v>
      </c>
      <c r="F244">
        <v>11</v>
      </c>
      <c r="G244" t="b">
        <v>0</v>
      </c>
      <c r="H244">
        <v>2</v>
      </c>
      <c r="I244">
        <v>2</v>
      </c>
      <c r="J244">
        <v>0.2</v>
      </c>
      <c r="K244">
        <v>0.21210000000000001</v>
      </c>
      <c r="L244">
        <v>0.47</v>
      </c>
      <c r="M244">
        <v>0.1343</v>
      </c>
      <c r="N244">
        <v>4</v>
      </c>
      <c r="O244">
        <v>31</v>
      </c>
      <c r="P244">
        <v>35</v>
      </c>
    </row>
    <row r="245" spans="1:16" x14ac:dyDescent="0.3">
      <c r="A245">
        <v>244</v>
      </c>
      <c r="B245" s="21">
        <v>40554</v>
      </c>
      <c r="C245">
        <v>1</v>
      </c>
      <c r="D245">
        <v>0</v>
      </c>
      <c r="E245">
        <v>1</v>
      </c>
      <c r="F245">
        <v>12</v>
      </c>
      <c r="G245" t="b">
        <v>0</v>
      </c>
      <c r="H245">
        <v>2</v>
      </c>
      <c r="I245">
        <v>2</v>
      </c>
      <c r="J245">
        <v>0.2</v>
      </c>
      <c r="K245">
        <v>0.2273</v>
      </c>
      <c r="L245">
        <v>0.51</v>
      </c>
      <c r="M245">
        <v>0.1045</v>
      </c>
      <c r="N245">
        <v>2</v>
      </c>
      <c r="O245">
        <v>55</v>
      </c>
      <c r="P245">
        <v>57</v>
      </c>
    </row>
    <row r="246" spans="1:16" x14ac:dyDescent="0.3">
      <c r="A246">
        <v>245</v>
      </c>
      <c r="B246" s="21">
        <v>40554</v>
      </c>
      <c r="C246">
        <v>1</v>
      </c>
      <c r="D246">
        <v>0</v>
      </c>
      <c r="E246">
        <v>1</v>
      </c>
      <c r="F246">
        <v>13</v>
      </c>
      <c r="G246" t="b">
        <v>0</v>
      </c>
      <c r="H246">
        <v>2</v>
      </c>
      <c r="I246">
        <v>2</v>
      </c>
      <c r="J246">
        <v>0.2</v>
      </c>
      <c r="K246">
        <v>0.2273</v>
      </c>
      <c r="L246">
        <v>0.59</v>
      </c>
      <c r="M246">
        <v>8.9599999999999999E-2</v>
      </c>
      <c r="N246">
        <v>6</v>
      </c>
      <c r="O246">
        <v>46</v>
      </c>
      <c r="P246">
        <v>52</v>
      </c>
    </row>
    <row r="247" spans="1:16" x14ac:dyDescent="0.3">
      <c r="A247">
        <v>246</v>
      </c>
      <c r="B247" s="21">
        <v>40554</v>
      </c>
      <c r="C247">
        <v>1</v>
      </c>
      <c r="D247">
        <v>0</v>
      </c>
      <c r="E247">
        <v>1</v>
      </c>
      <c r="F247">
        <v>14</v>
      </c>
      <c r="G247" t="b">
        <v>0</v>
      </c>
      <c r="H247">
        <v>2</v>
      </c>
      <c r="I247">
        <v>2</v>
      </c>
      <c r="J247">
        <v>0.2</v>
      </c>
      <c r="K247">
        <v>0.2273</v>
      </c>
      <c r="L247">
        <v>0.59</v>
      </c>
      <c r="M247">
        <v>8.9599999999999999E-2</v>
      </c>
      <c r="N247">
        <v>3</v>
      </c>
      <c r="O247">
        <v>60</v>
      </c>
      <c r="P247">
        <v>63</v>
      </c>
    </row>
    <row r="248" spans="1:16" x14ac:dyDescent="0.3">
      <c r="A248">
        <v>247</v>
      </c>
      <c r="B248" s="21">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
      <c r="A249">
        <v>248</v>
      </c>
      <c r="B249" s="21">
        <v>40554</v>
      </c>
      <c r="C249">
        <v>1</v>
      </c>
      <c r="D249">
        <v>0</v>
      </c>
      <c r="E249">
        <v>1</v>
      </c>
      <c r="F249">
        <v>16</v>
      </c>
      <c r="G249" t="b">
        <v>0</v>
      </c>
      <c r="H249">
        <v>2</v>
      </c>
      <c r="I249">
        <v>2</v>
      </c>
      <c r="J249">
        <v>0.16</v>
      </c>
      <c r="K249">
        <v>0.1515</v>
      </c>
      <c r="L249">
        <v>0.86</v>
      </c>
      <c r="M249">
        <v>0.22389999999999999</v>
      </c>
      <c r="N249">
        <v>4</v>
      </c>
      <c r="O249">
        <v>72</v>
      </c>
      <c r="P249">
        <v>76</v>
      </c>
    </row>
    <row r="250" spans="1:16" x14ac:dyDescent="0.3">
      <c r="A250">
        <v>249</v>
      </c>
      <c r="B250" s="21">
        <v>40554</v>
      </c>
      <c r="C250">
        <v>1</v>
      </c>
      <c r="D250">
        <v>0</v>
      </c>
      <c r="E250">
        <v>1</v>
      </c>
      <c r="F250">
        <v>17</v>
      </c>
      <c r="G250" t="b">
        <v>0</v>
      </c>
      <c r="H250">
        <v>2</v>
      </c>
      <c r="I250">
        <v>2</v>
      </c>
      <c r="J250">
        <v>0.16</v>
      </c>
      <c r="K250">
        <v>0.1515</v>
      </c>
      <c r="L250">
        <v>0.86</v>
      </c>
      <c r="M250">
        <v>0.22389999999999999</v>
      </c>
      <c r="N250">
        <v>6</v>
      </c>
      <c r="O250">
        <v>130</v>
      </c>
      <c r="P250">
        <v>136</v>
      </c>
    </row>
    <row r="251" spans="1:16" x14ac:dyDescent="0.3">
      <c r="A251">
        <v>250</v>
      </c>
      <c r="B251" s="21">
        <v>40554</v>
      </c>
      <c r="C251">
        <v>1</v>
      </c>
      <c r="D251">
        <v>0</v>
      </c>
      <c r="E251">
        <v>1</v>
      </c>
      <c r="F251">
        <v>18</v>
      </c>
      <c r="G251" t="b">
        <v>0</v>
      </c>
      <c r="H251">
        <v>2</v>
      </c>
      <c r="I251">
        <v>3</v>
      </c>
      <c r="J251">
        <v>0.16</v>
      </c>
      <c r="K251">
        <v>0.18179999999999999</v>
      </c>
      <c r="L251">
        <v>0.93</v>
      </c>
      <c r="M251">
        <v>0.1045</v>
      </c>
      <c r="N251">
        <v>1</v>
      </c>
      <c r="O251">
        <v>94</v>
      </c>
      <c r="P251">
        <v>95</v>
      </c>
    </row>
    <row r="252" spans="1:16" x14ac:dyDescent="0.3">
      <c r="A252">
        <v>251</v>
      </c>
      <c r="B252" s="21">
        <v>40554</v>
      </c>
      <c r="C252">
        <v>1</v>
      </c>
      <c r="D252">
        <v>0</v>
      </c>
      <c r="E252">
        <v>1</v>
      </c>
      <c r="F252">
        <v>19</v>
      </c>
      <c r="G252" t="b">
        <v>0</v>
      </c>
      <c r="H252">
        <v>2</v>
      </c>
      <c r="I252">
        <v>3</v>
      </c>
      <c r="J252">
        <v>0.16</v>
      </c>
      <c r="K252">
        <v>0.2273</v>
      </c>
      <c r="L252">
        <v>0.93</v>
      </c>
      <c r="M252">
        <v>0</v>
      </c>
      <c r="N252">
        <v>0</v>
      </c>
      <c r="O252">
        <v>51</v>
      </c>
      <c r="P252">
        <v>51</v>
      </c>
    </row>
    <row r="253" spans="1:16" x14ac:dyDescent="0.3">
      <c r="A253">
        <v>252</v>
      </c>
      <c r="B253" s="21">
        <v>40554</v>
      </c>
      <c r="C253">
        <v>1</v>
      </c>
      <c r="D253">
        <v>0</v>
      </c>
      <c r="E253">
        <v>1</v>
      </c>
      <c r="F253">
        <v>20</v>
      </c>
      <c r="G253" t="b">
        <v>0</v>
      </c>
      <c r="H253">
        <v>2</v>
      </c>
      <c r="I253">
        <v>3</v>
      </c>
      <c r="J253">
        <v>0.16</v>
      </c>
      <c r="K253">
        <v>0.1515</v>
      </c>
      <c r="L253">
        <v>0.93</v>
      </c>
      <c r="M253">
        <v>0.19400000000000001</v>
      </c>
      <c r="N253">
        <v>0</v>
      </c>
      <c r="O253">
        <v>32</v>
      </c>
      <c r="P253">
        <v>32</v>
      </c>
    </row>
    <row r="254" spans="1:16" x14ac:dyDescent="0.3">
      <c r="A254">
        <v>253</v>
      </c>
      <c r="B254" s="21">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
      <c r="A255">
        <v>254</v>
      </c>
      <c r="B255" s="21">
        <v>40554</v>
      </c>
      <c r="C255">
        <v>1</v>
      </c>
      <c r="D255">
        <v>0</v>
      </c>
      <c r="E255">
        <v>1</v>
      </c>
      <c r="F255">
        <v>22</v>
      </c>
      <c r="G255" t="b">
        <v>0</v>
      </c>
      <c r="H255">
        <v>2</v>
      </c>
      <c r="I255">
        <v>3</v>
      </c>
      <c r="J255">
        <v>0.16</v>
      </c>
      <c r="K255">
        <v>0.18179999999999999</v>
      </c>
      <c r="L255">
        <v>0.93</v>
      </c>
      <c r="M255">
        <v>0.1045</v>
      </c>
      <c r="N255">
        <v>1</v>
      </c>
      <c r="O255">
        <v>28</v>
      </c>
      <c r="P255">
        <v>29</v>
      </c>
    </row>
    <row r="256" spans="1:16" x14ac:dyDescent="0.3">
      <c r="A256">
        <v>255</v>
      </c>
      <c r="B256" s="21">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
      <c r="A257">
        <v>256</v>
      </c>
      <c r="B257" s="21">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
      <c r="A258">
        <v>257</v>
      </c>
      <c r="B258" s="21">
        <v>40555</v>
      </c>
      <c r="C258">
        <v>1</v>
      </c>
      <c r="D258">
        <v>0</v>
      </c>
      <c r="E258">
        <v>1</v>
      </c>
      <c r="F258">
        <v>1</v>
      </c>
      <c r="G258" t="b">
        <v>0</v>
      </c>
      <c r="H258">
        <v>3</v>
      </c>
      <c r="I258">
        <v>2</v>
      </c>
      <c r="J258">
        <v>0.16</v>
      </c>
      <c r="K258">
        <v>0.18179999999999999</v>
      </c>
      <c r="L258">
        <v>0.86</v>
      </c>
      <c r="M258">
        <v>0.1045</v>
      </c>
      <c r="N258">
        <v>0</v>
      </c>
      <c r="O258">
        <v>6</v>
      </c>
      <c r="P258">
        <v>6</v>
      </c>
    </row>
    <row r="259" spans="1:16" x14ac:dyDescent="0.3">
      <c r="A259">
        <v>258</v>
      </c>
      <c r="B259" s="21">
        <v>40555</v>
      </c>
      <c r="C259">
        <v>1</v>
      </c>
      <c r="D259">
        <v>0</v>
      </c>
      <c r="E259">
        <v>1</v>
      </c>
      <c r="F259">
        <v>2</v>
      </c>
      <c r="G259" t="b">
        <v>0</v>
      </c>
      <c r="H259">
        <v>3</v>
      </c>
      <c r="I259">
        <v>1</v>
      </c>
      <c r="J259">
        <v>0.14000000000000001</v>
      </c>
      <c r="K259">
        <v>0.1515</v>
      </c>
      <c r="L259">
        <v>0.86</v>
      </c>
      <c r="M259">
        <v>0.1343</v>
      </c>
      <c r="N259">
        <v>0</v>
      </c>
      <c r="O259">
        <v>1</v>
      </c>
      <c r="P259">
        <v>1</v>
      </c>
    </row>
    <row r="260" spans="1:16" x14ac:dyDescent="0.3">
      <c r="A260">
        <v>259</v>
      </c>
      <c r="B260" s="21">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
      <c r="A261">
        <v>260</v>
      </c>
      <c r="B261" s="21">
        <v>40555</v>
      </c>
      <c r="C261">
        <v>1</v>
      </c>
      <c r="D261">
        <v>0</v>
      </c>
      <c r="E261">
        <v>1</v>
      </c>
      <c r="F261">
        <v>6</v>
      </c>
      <c r="G261" t="b">
        <v>0</v>
      </c>
      <c r="H261">
        <v>3</v>
      </c>
      <c r="I261">
        <v>1</v>
      </c>
      <c r="J261">
        <v>0.12</v>
      </c>
      <c r="K261">
        <v>0.1515</v>
      </c>
      <c r="L261">
        <v>0.93</v>
      </c>
      <c r="M261">
        <v>0.1343</v>
      </c>
      <c r="N261">
        <v>0</v>
      </c>
      <c r="O261">
        <v>16</v>
      </c>
      <c r="P261">
        <v>16</v>
      </c>
    </row>
    <row r="262" spans="1:16" x14ac:dyDescent="0.3">
      <c r="A262">
        <v>261</v>
      </c>
      <c r="B262" s="21">
        <v>40555</v>
      </c>
      <c r="C262">
        <v>1</v>
      </c>
      <c r="D262">
        <v>0</v>
      </c>
      <c r="E262">
        <v>1</v>
      </c>
      <c r="F262">
        <v>7</v>
      </c>
      <c r="G262" t="b">
        <v>0</v>
      </c>
      <c r="H262">
        <v>3</v>
      </c>
      <c r="I262">
        <v>1</v>
      </c>
      <c r="J262">
        <v>0.14000000000000001</v>
      </c>
      <c r="K262">
        <v>0.1515</v>
      </c>
      <c r="L262">
        <v>0.69</v>
      </c>
      <c r="M262">
        <v>0.1343</v>
      </c>
      <c r="N262">
        <v>0</v>
      </c>
      <c r="O262">
        <v>54</v>
      </c>
      <c r="P262">
        <v>54</v>
      </c>
    </row>
    <row r="263" spans="1:16" x14ac:dyDescent="0.3">
      <c r="A263">
        <v>262</v>
      </c>
      <c r="B263" s="21">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
      <c r="A264">
        <v>263</v>
      </c>
      <c r="B264" s="21">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
      <c r="A265">
        <v>264</v>
      </c>
      <c r="B265" s="2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
      <c r="A266">
        <v>265</v>
      </c>
      <c r="B266" s="21">
        <v>40555</v>
      </c>
      <c r="C266">
        <v>1</v>
      </c>
      <c r="D266">
        <v>0</v>
      </c>
      <c r="E266">
        <v>1</v>
      </c>
      <c r="F266">
        <v>11</v>
      </c>
      <c r="G266" t="b">
        <v>0</v>
      </c>
      <c r="H266">
        <v>3</v>
      </c>
      <c r="I266">
        <v>1</v>
      </c>
      <c r="J266">
        <v>0.2</v>
      </c>
      <c r="K266">
        <v>0.18179999999999999</v>
      </c>
      <c r="L266">
        <v>0.51</v>
      </c>
      <c r="M266">
        <v>0.3881</v>
      </c>
      <c r="N266">
        <v>3</v>
      </c>
      <c r="O266">
        <v>32</v>
      </c>
      <c r="P266">
        <v>35</v>
      </c>
    </row>
    <row r="267" spans="1:16" x14ac:dyDescent="0.3">
      <c r="A267">
        <v>266</v>
      </c>
      <c r="B267" s="21">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267</v>
      </c>
      <c r="B268" s="21">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
      <c r="A269">
        <v>268</v>
      </c>
      <c r="B269" s="21">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
      <c r="A270">
        <v>269</v>
      </c>
      <c r="B270" s="21">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
      <c r="A271">
        <v>270</v>
      </c>
      <c r="B271" s="21">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
      <c r="A272">
        <v>271</v>
      </c>
      <c r="B272" s="21">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
      <c r="A273">
        <v>272</v>
      </c>
      <c r="B273" s="21">
        <v>40555</v>
      </c>
      <c r="C273">
        <v>1</v>
      </c>
      <c r="D273">
        <v>0</v>
      </c>
      <c r="E273">
        <v>1</v>
      </c>
      <c r="F273">
        <v>18</v>
      </c>
      <c r="G273" t="b">
        <v>0</v>
      </c>
      <c r="H273">
        <v>3</v>
      </c>
      <c r="I273">
        <v>1</v>
      </c>
      <c r="J273">
        <v>0.2</v>
      </c>
      <c r="K273">
        <v>0.1515</v>
      </c>
      <c r="L273">
        <v>0.47</v>
      </c>
      <c r="M273">
        <v>0.52239999999999998</v>
      </c>
      <c r="N273">
        <v>2</v>
      </c>
      <c r="O273">
        <v>135</v>
      </c>
      <c r="P273">
        <v>137</v>
      </c>
    </row>
    <row r="274" spans="1:16" x14ac:dyDescent="0.3">
      <c r="A274">
        <v>273</v>
      </c>
      <c r="B274" s="21">
        <v>40555</v>
      </c>
      <c r="C274">
        <v>1</v>
      </c>
      <c r="D274">
        <v>0</v>
      </c>
      <c r="E274">
        <v>1</v>
      </c>
      <c r="F274">
        <v>19</v>
      </c>
      <c r="G274" t="b">
        <v>0</v>
      </c>
      <c r="H274">
        <v>3</v>
      </c>
      <c r="I274">
        <v>1</v>
      </c>
      <c r="J274">
        <v>0.18</v>
      </c>
      <c r="K274">
        <v>0.1515</v>
      </c>
      <c r="L274">
        <v>0.47</v>
      </c>
      <c r="M274">
        <v>0.41789999999999999</v>
      </c>
      <c r="N274">
        <v>1</v>
      </c>
      <c r="O274">
        <v>82</v>
      </c>
      <c r="P274">
        <v>83</v>
      </c>
    </row>
    <row r="275" spans="1:16" x14ac:dyDescent="0.3">
      <c r="A275">
        <v>274</v>
      </c>
      <c r="B275" s="21">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
      <c r="A276">
        <v>275</v>
      </c>
      <c r="B276" s="2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
      <c r="A277">
        <v>276</v>
      </c>
      <c r="B277" s="21">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
      <c r="A278">
        <v>277</v>
      </c>
      <c r="B278" s="21">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
      <c r="A279">
        <v>278</v>
      </c>
      <c r="B279" s="21">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
      <c r="A280">
        <v>279</v>
      </c>
      <c r="B280" s="21">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
      <c r="A281">
        <v>280</v>
      </c>
      <c r="B281" s="21">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
      <c r="A282">
        <v>281</v>
      </c>
      <c r="B282" s="21">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
      <c r="A283">
        <v>282</v>
      </c>
      <c r="B283" s="21">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
      <c r="A284">
        <v>283</v>
      </c>
      <c r="B284" s="21">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
      <c r="A285">
        <v>284</v>
      </c>
      <c r="B285" s="21">
        <v>40556</v>
      </c>
      <c r="C285">
        <v>1</v>
      </c>
      <c r="D285">
        <v>0</v>
      </c>
      <c r="E285">
        <v>1</v>
      </c>
      <c r="F285">
        <v>6</v>
      </c>
      <c r="G285" t="b">
        <v>0</v>
      </c>
      <c r="H285">
        <v>4</v>
      </c>
      <c r="I285">
        <v>1</v>
      </c>
      <c r="J285">
        <v>0.12</v>
      </c>
      <c r="K285">
        <v>0.1515</v>
      </c>
      <c r="L285">
        <v>0.54</v>
      </c>
      <c r="M285">
        <v>0.1343</v>
      </c>
      <c r="N285">
        <v>0</v>
      </c>
      <c r="O285">
        <v>28</v>
      </c>
      <c r="P285">
        <v>28</v>
      </c>
    </row>
    <row r="286" spans="1:16" x14ac:dyDescent="0.3">
      <c r="A286">
        <v>285</v>
      </c>
      <c r="B286" s="21">
        <v>40556</v>
      </c>
      <c r="C286">
        <v>1</v>
      </c>
      <c r="D286">
        <v>0</v>
      </c>
      <c r="E286">
        <v>1</v>
      </c>
      <c r="F286">
        <v>7</v>
      </c>
      <c r="G286" t="b">
        <v>0</v>
      </c>
      <c r="H286">
        <v>4</v>
      </c>
      <c r="I286">
        <v>1</v>
      </c>
      <c r="J286">
        <v>0.12</v>
      </c>
      <c r="K286">
        <v>0.1515</v>
      </c>
      <c r="L286">
        <v>0.54</v>
      </c>
      <c r="M286">
        <v>0.1343</v>
      </c>
      <c r="N286">
        <v>0</v>
      </c>
      <c r="O286">
        <v>72</v>
      </c>
      <c r="P286">
        <v>72</v>
      </c>
    </row>
    <row r="287" spans="1:16" x14ac:dyDescent="0.3">
      <c r="A287">
        <v>286</v>
      </c>
      <c r="B287" s="2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
      <c r="A288">
        <v>287</v>
      </c>
      <c r="B288" s="21">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
      <c r="A289">
        <v>288</v>
      </c>
      <c r="B289" s="21">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
      <c r="A290">
        <v>289</v>
      </c>
      <c r="B290" s="21">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
      <c r="A291">
        <v>290</v>
      </c>
      <c r="B291" s="21">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
      <c r="A292">
        <v>291</v>
      </c>
      <c r="B292" s="21">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
      <c r="A293">
        <v>292</v>
      </c>
      <c r="B293" s="21">
        <v>40556</v>
      </c>
      <c r="C293">
        <v>1</v>
      </c>
      <c r="D293">
        <v>0</v>
      </c>
      <c r="E293">
        <v>1</v>
      </c>
      <c r="F293">
        <v>14</v>
      </c>
      <c r="G293" t="b">
        <v>0</v>
      </c>
      <c r="H293">
        <v>4</v>
      </c>
      <c r="I293">
        <v>1</v>
      </c>
      <c r="J293">
        <v>0.22</v>
      </c>
      <c r="K293">
        <v>0.19700000000000001</v>
      </c>
      <c r="L293">
        <v>0.41</v>
      </c>
      <c r="M293">
        <v>0.3881</v>
      </c>
      <c r="N293">
        <v>3</v>
      </c>
      <c r="O293">
        <v>39</v>
      </c>
      <c r="P293">
        <v>42</v>
      </c>
    </row>
    <row r="294" spans="1:16" x14ac:dyDescent="0.3">
      <c r="A294">
        <v>293</v>
      </c>
      <c r="B294" s="21">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
      <c r="A295">
        <v>294</v>
      </c>
      <c r="B295" s="21">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
      <c r="A296">
        <v>295</v>
      </c>
      <c r="B296" s="21">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
      <c r="A297">
        <v>296</v>
      </c>
      <c r="B297" s="21">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
      <c r="A298">
        <v>297</v>
      </c>
      <c r="B298" s="21">
        <v>40556</v>
      </c>
      <c r="C298">
        <v>1</v>
      </c>
      <c r="D298">
        <v>0</v>
      </c>
      <c r="E298">
        <v>1</v>
      </c>
      <c r="F298">
        <v>19</v>
      </c>
      <c r="G298" t="b">
        <v>0</v>
      </c>
      <c r="H298">
        <v>4</v>
      </c>
      <c r="I298">
        <v>1</v>
      </c>
      <c r="J298">
        <v>0.16</v>
      </c>
      <c r="K298">
        <v>0.1515</v>
      </c>
      <c r="L298">
        <v>0.47</v>
      </c>
      <c r="M298">
        <v>0.25369999999999998</v>
      </c>
      <c r="N298">
        <v>1</v>
      </c>
      <c r="O298">
        <v>98</v>
      </c>
      <c r="P298">
        <v>99</v>
      </c>
    </row>
    <row r="299" spans="1:16" x14ac:dyDescent="0.3">
      <c r="A299">
        <v>298</v>
      </c>
      <c r="B299" s="21">
        <v>40556</v>
      </c>
      <c r="C299">
        <v>1</v>
      </c>
      <c r="D299">
        <v>0</v>
      </c>
      <c r="E299">
        <v>1</v>
      </c>
      <c r="F299">
        <v>20</v>
      </c>
      <c r="G299" t="b">
        <v>0</v>
      </c>
      <c r="H299">
        <v>4</v>
      </c>
      <c r="I299">
        <v>1</v>
      </c>
      <c r="J299">
        <v>0.16</v>
      </c>
      <c r="K299">
        <v>0.1515</v>
      </c>
      <c r="L299">
        <v>0.47</v>
      </c>
      <c r="M299">
        <v>0.22389999999999999</v>
      </c>
      <c r="N299">
        <v>0</v>
      </c>
      <c r="O299">
        <v>64</v>
      </c>
      <c r="P299">
        <v>64</v>
      </c>
    </row>
    <row r="300" spans="1:16" x14ac:dyDescent="0.3">
      <c r="A300">
        <v>299</v>
      </c>
      <c r="B300" s="21">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
      <c r="A301">
        <v>300</v>
      </c>
      <c r="B301" s="21">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
      <c r="A302">
        <v>301</v>
      </c>
      <c r="B302" s="21">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
      <c r="A303">
        <v>302</v>
      </c>
      <c r="B303" s="21">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
      <c r="A304">
        <v>303</v>
      </c>
      <c r="B304" s="21">
        <v>40557</v>
      </c>
      <c r="C304">
        <v>1</v>
      </c>
      <c r="D304">
        <v>0</v>
      </c>
      <c r="E304">
        <v>1</v>
      </c>
      <c r="F304">
        <v>1</v>
      </c>
      <c r="G304" t="b">
        <v>0</v>
      </c>
      <c r="H304">
        <v>5</v>
      </c>
      <c r="I304">
        <v>1</v>
      </c>
      <c r="J304">
        <v>0.1</v>
      </c>
      <c r="K304">
        <v>0.1212</v>
      </c>
      <c r="L304">
        <v>0.54</v>
      </c>
      <c r="M304">
        <v>0.16420000000000001</v>
      </c>
      <c r="N304">
        <v>0</v>
      </c>
      <c r="O304">
        <v>5</v>
      </c>
      <c r="P304">
        <v>5</v>
      </c>
    </row>
    <row r="305" spans="1:16" x14ac:dyDescent="0.3">
      <c r="A305">
        <v>304</v>
      </c>
      <c r="B305" s="21">
        <v>40557</v>
      </c>
      <c r="C305">
        <v>1</v>
      </c>
      <c r="D305">
        <v>0</v>
      </c>
      <c r="E305">
        <v>1</v>
      </c>
      <c r="F305">
        <v>2</v>
      </c>
      <c r="G305" t="b">
        <v>0</v>
      </c>
      <c r="H305">
        <v>5</v>
      </c>
      <c r="I305">
        <v>1</v>
      </c>
      <c r="J305">
        <v>0.1</v>
      </c>
      <c r="K305">
        <v>0.1212</v>
      </c>
      <c r="L305">
        <v>0.54</v>
      </c>
      <c r="M305">
        <v>0.1343</v>
      </c>
      <c r="N305">
        <v>0</v>
      </c>
      <c r="O305">
        <v>1</v>
      </c>
      <c r="P305">
        <v>1</v>
      </c>
    </row>
    <row r="306" spans="1:16" x14ac:dyDescent="0.3">
      <c r="A306">
        <v>305</v>
      </c>
      <c r="B306" s="21">
        <v>40557</v>
      </c>
      <c r="C306">
        <v>1</v>
      </c>
      <c r="D306">
        <v>0</v>
      </c>
      <c r="E306">
        <v>1</v>
      </c>
      <c r="F306">
        <v>3</v>
      </c>
      <c r="G306" t="b">
        <v>0</v>
      </c>
      <c r="H306">
        <v>5</v>
      </c>
      <c r="I306">
        <v>1</v>
      </c>
      <c r="J306">
        <v>0.1</v>
      </c>
      <c r="K306">
        <v>0.13639999999999999</v>
      </c>
      <c r="L306">
        <v>0.54</v>
      </c>
      <c r="M306">
        <v>0.1045</v>
      </c>
      <c r="N306">
        <v>0</v>
      </c>
      <c r="O306">
        <v>1</v>
      </c>
      <c r="P306">
        <v>1</v>
      </c>
    </row>
    <row r="307" spans="1:16" x14ac:dyDescent="0.3">
      <c r="A307">
        <v>306</v>
      </c>
      <c r="B307" s="21">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
      <c r="A308">
        <v>307</v>
      </c>
      <c r="B308" s="21">
        <v>40557</v>
      </c>
      <c r="C308">
        <v>1</v>
      </c>
      <c r="D308">
        <v>0</v>
      </c>
      <c r="E308">
        <v>1</v>
      </c>
      <c r="F308">
        <v>6</v>
      </c>
      <c r="G308" t="b">
        <v>0</v>
      </c>
      <c r="H308">
        <v>5</v>
      </c>
      <c r="I308">
        <v>1</v>
      </c>
      <c r="J308">
        <v>0.1</v>
      </c>
      <c r="K308">
        <v>0.18179999999999999</v>
      </c>
      <c r="L308">
        <v>0.54</v>
      </c>
      <c r="M308">
        <v>0</v>
      </c>
      <c r="N308">
        <v>0</v>
      </c>
      <c r="O308">
        <v>17</v>
      </c>
      <c r="P308">
        <v>17</v>
      </c>
    </row>
    <row r="309" spans="1:16" x14ac:dyDescent="0.3">
      <c r="A309">
        <v>308</v>
      </c>
      <c r="B309" s="21">
        <v>40557</v>
      </c>
      <c r="C309">
        <v>1</v>
      </c>
      <c r="D309">
        <v>0</v>
      </c>
      <c r="E309">
        <v>1</v>
      </c>
      <c r="F309">
        <v>7</v>
      </c>
      <c r="G309" t="b">
        <v>0</v>
      </c>
      <c r="H309">
        <v>5</v>
      </c>
      <c r="I309">
        <v>1</v>
      </c>
      <c r="J309">
        <v>0.1</v>
      </c>
      <c r="K309">
        <v>0.1212</v>
      </c>
      <c r="L309">
        <v>0.74</v>
      </c>
      <c r="M309">
        <v>0.16420000000000001</v>
      </c>
      <c r="N309">
        <v>0</v>
      </c>
      <c r="O309">
        <v>70</v>
      </c>
      <c r="P309">
        <v>70</v>
      </c>
    </row>
    <row r="310" spans="1:16" x14ac:dyDescent="0.3">
      <c r="A310">
        <v>309</v>
      </c>
      <c r="B310" s="21">
        <v>40557</v>
      </c>
      <c r="C310">
        <v>1</v>
      </c>
      <c r="D310">
        <v>0</v>
      </c>
      <c r="E310">
        <v>1</v>
      </c>
      <c r="F310">
        <v>8</v>
      </c>
      <c r="G310" t="b">
        <v>0</v>
      </c>
      <c r="H310">
        <v>5</v>
      </c>
      <c r="I310">
        <v>1</v>
      </c>
      <c r="J310">
        <v>0.12</v>
      </c>
      <c r="K310">
        <v>0.16669999999999999</v>
      </c>
      <c r="L310">
        <v>0.68</v>
      </c>
      <c r="M310">
        <v>0</v>
      </c>
      <c r="N310">
        <v>2</v>
      </c>
      <c r="O310">
        <v>156</v>
      </c>
      <c r="P310">
        <v>158</v>
      </c>
    </row>
    <row r="311" spans="1:16" x14ac:dyDescent="0.3">
      <c r="A311">
        <v>310</v>
      </c>
      <c r="B311" s="21">
        <v>40557</v>
      </c>
      <c r="C311">
        <v>1</v>
      </c>
      <c r="D311">
        <v>0</v>
      </c>
      <c r="E311">
        <v>1</v>
      </c>
      <c r="F311">
        <v>9</v>
      </c>
      <c r="G311" t="b">
        <v>0</v>
      </c>
      <c r="H311">
        <v>5</v>
      </c>
      <c r="I311">
        <v>1</v>
      </c>
      <c r="J311">
        <v>0.14000000000000001</v>
      </c>
      <c r="K311">
        <v>0.1515</v>
      </c>
      <c r="L311">
        <v>0.69</v>
      </c>
      <c r="M311">
        <v>0.1343</v>
      </c>
      <c r="N311">
        <v>0</v>
      </c>
      <c r="O311">
        <v>117</v>
      </c>
      <c r="P311">
        <v>117</v>
      </c>
    </row>
    <row r="312" spans="1:16" x14ac:dyDescent="0.3">
      <c r="A312">
        <v>311</v>
      </c>
      <c r="B312" s="2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
      <c r="A313">
        <v>312</v>
      </c>
      <c r="B313" s="21">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
      <c r="A314">
        <v>313</v>
      </c>
      <c r="B314" s="21">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
      <c r="A315">
        <v>314</v>
      </c>
      <c r="B315" s="21">
        <v>40557</v>
      </c>
      <c r="C315">
        <v>1</v>
      </c>
      <c r="D315">
        <v>0</v>
      </c>
      <c r="E315">
        <v>1</v>
      </c>
      <c r="F315">
        <v>13</v>
      </c>
      <c r="G315" t="b">
        <v>0</v>
      </c>
      <c r="H315">
        <v>5</v>
      </c>
      <c r="I315">
        <v>1</v>
      </c>
      <c r="J315">
        <v>0.22</v>
      </c>
      <c r="K315">
        <v>0.19700000000000001</v>
      </c>
      <c r="L315">
        <v>0.37</v>
      </c>
      <c r="M315">
        <v>0.3881</v>
      </c>
      <c r="N315">
        <v>4</v>
      </c>
      <c r="O315">
        <v>73</v>
      </c>
      <c r="P315">
        <v>77</v>
      </c>
    </row>
    <row r="316" spans="1:16" x14ac:dyDescent="0.3">
      <c r="A316">
        <v>315</v>
      </c>
      <c r="B316" s="21">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
      <c r="A317">
        <v>316</v>
      </c>
      <c r="B317" s="21">
        <v>40557</v>
      </c>
      <c r="C317">
        <v>1</v>
      </c>
      <c r="D317">
        <v>0</v>
      </c>
      <c r="E317">
        <v>1</v>
      </c>
      <c r="F317">
        <v>15</v>
      </c>
      <c r="G317" t="b">
        <v>0</v>
      </c>
      <c r="H317">
        <v>5</v>
      </c>
      <c r="I317">
        <v>1</v>
      </c>
      <c r="J317">
        <v>0.24</v>
      </c>
      <c r="K317">
        <v>0.2424</v>
      </c>
      <c r="L317">
        <v>0.38</v>
      </c>
      <c r="M317">
        <v>0.16420000000000001</v>
      </c>
      <c r="N317">
        <v>9</v>
      </c>
      <c r="O317">
        <v>59</v>
      </c>
      <c r="P317">
        <v>68</v>
      </c>
    </row>
    <row r="318" spans="1:16" x14ac:dyDescent="0.3">
      <c r="A318">
        <v>317</v>
      </c>
      <c r="B318" s="21">
        <v>40557</v>
      </c>
      <c r="C318">
        <v>1</v>
      </c>
      <c r="D318">
        <v>0</v>
      </c>
      <c r="E318">
        <v>1</v>
      </c>
      <c r="F318">
        <v>16</v>
      </c>
      <c r="G318" t="b">
        <v>0</v>
      </c>
      <c r="H318">
        <v>5</v>
      </c>
      <c r="I318">
        <v>1</v>
      </c>
      <c r="J318">
        <v>0.22</v>
      </c>
      <c r="K318">
        <v>0.2424</v>
      </c>
      <c r="L318">
        <v>0.41</v>
      </c>
      <c r="M318">
        <v>0.1045</v>
      </c>
      <c r="N318">
        <v>3</v>
      </c>
      <c r="O318">
        <v>87</v>
      </c>
      <c r="P318">
        <v>90</v>
      </c>
    </row>
    <row r="319" spans="1:16" x14ac:dyDescent="0.3">
      <c r="A319">
        <v>318</v>
      </c>
      <c r="B319" s="21">
        <v>40557</v>
      </c>
      <c r="C319">
        <v>1</v>
      </c>
      <c r="D319">
        <v>0</v>
      </c>
      <c r="E319">
        <v>1</v>
      </c>
      <c r="F319">
        <v>17</v>
      </c>
      <c r="G319" t="b">
        <v>0</v>
      </c>
      <c r="H319">
        <v>5</v>
      </c>
      <c r="I319">
        <v>1</v>
      </c>
      <c r="J319">
        <v>0.22</v>
      </c>
      <c r="K319">
        <v>0.2273</v>
      </c>
      <c r="L319">
        <v>0.41</v>
      </c>
      <c r="M319">
        <v>0.16420000000000001</v>
      </c>
      <c r="N319">
        <v>4</v>
      </c>
      <c r="O319">
        <v>155</v>
      </c>
      <c r="P319">
        <v>159</v>
      </c>
    </row>
    <row r="320" spans="1:16" x14ac:dyDescent="0.3">
      <c r="A320">
        <v>319</v>
      </c>
      <c r="B320" s="21">
        <v>40557</v>
      </c>
      <c r="C320">
        <v>1</v>
      </c>
      <c r="D320">
        <v>0</v>
      </c>
      <c r="E320">
        <v>1</v>
      </c>
      <c r="F320">
        <v>18</v>
      </c>
      <c r="G320" t="b">
        <v>0</v>
      </c>
      <c r="H320">
        <v>5</v>
      </c>
      <c r="I320">
        <v>1</v>
      </c>
      <c r="J320">
        <v>0.2</v>
      </c>
      <c r="K320">
        <v>0.2576</v>
      </c>
      <c r="L320">
        <v>0.47</v>
      </c>
      <c r="M320">
        <v>0</v>
      </c>
      <c r="N320">
        <v>5</v>
      </c>
      <c r="O320">
        <v>134</v>
      </c>
      <c r="P320">
        <v>139</v>
      </c>
    </row>
    <row r="321" spans="1:16" x14ac:dyDescent="0.3">
      <c r="A321">
        <v>320</v>
      </c>
      <c r="B321" s="21">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
      <c r="A322">
        <v>321</v>
      </c>
      <c r="B322" s="21">
        <v>40557</v>
      </c>
      <c r="C322">
        <v>1</v>
      </c>
      <c r="D322">
        <v>0</v>
      </c>
      <c r="E322">
        <v>1</v>
      </c>
      <c r="F322">
        <v>20</v>
      </c>
      <c r="G322" t="b">
        <v>0</v>
      </c>
      <c r="H322">
        <v>5</v>
      </c>
      <c r="I322">
        <v>1</v>
      </c>
      <c r="J322">
        <v>0.18</v>
      </c>
      <c r="K322">
        <v>0.2424</v>
      </c>
      <c r="L322">
        <v>0.59</v>
      </c>
      <c r="M322">
        <v>0</v>
      </c>
      <c r="N322">
        <v>0</v>
      </c>
      <c r="O322">
        <v>68</v>
      </c>
      <c r="P322">
        <v>68</v>
      </c>
    </row>
    <row r="323" spans="1:16" x14ac:dyDescent="0.3">
      <c r="A323">
        <v>322</v>
      </c>
      <c r="B323" s="21">
        <v>40557</v>
      </c>
      <c r="C323">
        <v>1</v>
      </c>
      <c r="D323">
        <v>0</v>
      </c>
      <c r="E323">
        <v>1</v>
      </c>
      <c r="F323">
        <v>21</v>
      </c>
      <c r="G323" t="b">
        <v>0</v>
      </c>
      <c r="H323">
        <v>5</v>
      </c>
      <c r="I323">
        <v>1</v>
      </c>
      <c r="J323">
        <v>0.16</v>
      </c>
      <c r="K323">
        <v>0.2273</v>
      </c>
      <c r="L323">
        <v>0.69</v>
      </c>
      <c r="M323">
        <v>0</v>
      </c>
      <c r="N323">
        <v>4</v>
      </c>
      <c r="O323">
        <v>48</v>
      </c>
      <c r="P323">
        <v>52</v>
      </c>
    </row>
    <row r="324" spans="1:16" x14ac:dyDescent="0.3">
      <c r="A324">
        <v>323</v>
      </c>
      <c r="B324" s="21">
        <v>40557</v>
      </c>
      <c r="C324">
        <v>1</v>
      </c>
      <c r="D324">
        <v>0</v>
      </c>
      <c r="E324">
        <v>1</v>
      </c>
      <c r="F324">
        <v>22</v>
      </c>
      <c r="G324" t="b">
        <v>0</v>
      </c>
      <c r="H324">
        <v>5</v>
      </c>
      <c r="I324">
        <v>2</v>
      </c>
      <c r="J324">
        <v>0.16</v>
      </c>
      <c r="K324">
        <v>0.2273</v>
      </c>
      <c r="L324">
        <v>0.69</v>
      </c>
      <c r="M324">
        <v>0</v>
      </c>
      <c r="N324">
        <v>2</v>
      </c>
      <c r="O324">
        <v>34</v>
      </c>
      <c r="P324">
        <v>36</v>
      </c>
    </row>
    <row r="325" spans="1:16" x14ac:dyDescent="0.3">
      <c r="A325">
        <v>324</v>
      </c>
      <c r="B325" s="21">
        <v>40557</v>
      </c>
      <c r="C325">
        <v>1</v>
      </c>
      <c r="D325">
        <v>0</v>
      </c>
      <c r="E325">
        <v>1</v>
      </c>
      <c r="F325">
        <v>23</v>
      </c>
      <c r="G325" t="b">
        <v>0</v>
      </c>
      <c r="H325">
        <v>5</v>
      </c>
      <c r="I325">
        <v>2</v>
      </c>
      <c r="J325">
        <v>0.18</v>
      </c>
      <c r="K325">
        <v>0.2424</v>
      </c>
      <c r="L325">
        <v>0.55000000000000004</v>
      </c>
      <c r="M325">
        <v>0</v>
      </c>
      <c r="N325">
        <v>1</v>
      </c>
      <c r="O325">
        <v>26</v>
      </c>
      <c r="P325">
        <v>27</v>
      </c>
    </row>
    <row r="326" spans="1:16" x14ac:dyDescent="0.3">
      <c r="A326">
        <v>325</v>
      </c>
      <c r="B326" s="21">
        <v>40558</v>
      </c>
      <c r="C326">
        <v>1</v>
      </c>
      <c r="D326">
        <v>0</v>
      </c>
      <c r="E326">
        <v>1</v>
      </c>
      <c r="F326">
        <v>0</v>
      </c>
      <c r="G326" t="b">
        <v>0</v>
      </c>
      <c r="H326">
        <v>6</v>
      </c>
      <c r="I326">
        <v>1</v>
      </c>
      <c r="J326">
        <v>0.18</v>
      </c>
      <c r="K326">
        <v>0.2424</v>
      </c>
      <c r="L326">
        <v>0.55000000000000004</v>
      </c>
      <c r="M326">
        <v>0</v>
      </c>
      <c r="N326">
        <v>3</v>
      </c>
      <c r="O326">
        <v>25</v>
      </c>
      <c r="P326">
        <v>28</v>
      </c>
    </row>
    <row r="327" spans="1:16" x14ac:dyDescent="0.3">
      <c r="A327">
        <v>326</v>
      </c>
      <c r="B327" s="21">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
      <c r="A328">
        <v>327</v>
      </c>
      <c r="B328" s="21">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
      <c r="A329">
        <v>328</v>
      </c>
      <c r="B329" s="21">
        <v>40558</v>
      </c>
      <c r="C329">
        <v>1</v>
      </c>
      <c r="D329">
        <v>0</v>
      </c>
      <c r="E329">
        <v>1</v>
      </c>
      <c r="F329">
        <v>3</v>
      </c>
      <c r="G329" t="b">
        <v>0</v>
      </c>
      <c r="H329">
        <v>6</v>
      </c>
      <c r="I329">
        <v>2</v>
      </c>
      <c r="J329">
        <v>0.16</v>
      </c>
      <c r="K329">
        <v>0.2273</v>
      </c>
      <c r="L329">
        <v>0.59</v>
      </c>
      <c r="M329">
        <v>0</v>
      </c>
      <c r="N329">
        <v>1</v>
      </c>
      <c r="O329">
        <v>7</v>
      </c>
      <c r="P329">
        <v>8</v>
      </c>
    </row>
    <row r="330" spans="1:16" x14ac:dyDescent="0.3">
      <c r="A330">
        <v>329</v>
      </c>
      <c r="B330" s="21">
        <v>40558</v>
      </c>
      <c r="C330">
        <v>1</v>
      </c>
      <c r="D330">
        <v>0</v>
      </c>
      <c r="E330">
        <v>1</v>
      </c>
      <c r="F330">
        <v>4</v>
      </c>
      <c r="G330" t="b">
        <v>0</v>
      </c>
      <c r="H330">
        <v>6</v>
      </c>
      <c r="I330">
        <v>2</v>
      </c>
      <c r="J330">
        <v>0.16</v>
      </c>
      <c r="K330">
        <v>0.2273</v>
      </c>
      <c r="L330">
        <v>0.59</v>
      </c>
      <c r="M330">
        <v>0</v>
      </c>
      <c r="N330">
        <v>0</v>
      </c>
      <c r="O330">
        <v>5</v>
      </c>
      <c r="P330">
        <v>5</v>
      </c>
    </row>
    <row r="331" spans="1:16" x14ac:dyDescent="0.3">
      <c r="A331">
        <v>330</v>
      </c>
      <c r="B331" s="21">
        <v>40558</v>
      </c>
      <c r="C331">
        <v>1</v>
      </c>
      <c r="D331">
        <v>0</v>
      </c>
      <c r="E331">
        <v>1</v>
      </c>
      <c r="F331">
        <v>5</v>
      </c>
      <c r="G331" t="b">
        <v>0</v>
      </c>
      <c r="H331">
        <v>6</v>
      </c>
      <c r="I331">
        <v>1</v>
      </c>
      <c r="J331">
        <v>0.16</v>
      </c>
      <c r="K331">
        <v>0.2273</v>
      </c>
      <c r="L331">
        <v>0.59</v>
      </c>
      <c r="M331">
        <v>0</v>
      </c>
      <c r="N331">
        <v>0</v>
      </c>
      <c r="O331">
        <v>1</v>
      </c>
      <c r="P331">
        <v>1</v>
      </c>
    </row>
    <row r="332" spans="1:16" x14ac:dyDescent="0.3">
      <c r="A332">
        <v>331</v>
      </c>
      <c r="B332" s="21">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
      <c r="A333">
        <v>332</v>
      </c>
      <c r="B333" s="21">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
      <c r="A334">
        <v>333</v>
      </c>
      <c r="B334" s="21">
        <v>40558</v>
      </c>
      <c r="C334">
        <v>1</v>
      </c>
      <c r="D334">
        <v>0</v>
      </c>
      <c r="E334">
        <v>1</v>
      </c>
      <c r="F334">
        <v>8</v>
      </c>
      <c r="G334" t="b">
        <v>0</v>
      </c>
      <c r="H334">
        <v>6</v>
      </c>
      <c r="I334">
        <v>1</v>
      </c>
      <c r="J334">
        <v>0.14000000000000001</v>
      </c>
      <c r="K334">
        <v>0.1515</v>
      </c>
      <c r="L334">
        <v>0.63</v>
      </c>
      <c r="M334">
        <v>0.1343</v>
      </c>
      <c r="N334">
        <v>1</v>
      </c>
      <c r="O334">
        <v>22</v>
      </c>
      <c r="P334">
        <v>23</v>
      </c>
    </row>
    <row r="335" spans="1:16" x14ac:dyDescent="0.3">
      <c r="A335">
        <v>334</v>
      </c>
      <c r="B335" s="21">
        <v>40558</v>
      </c>
      <c r="C335">
        <v>1</v>
      </c>
      <c r="D335">
        <v>0</v>
      </c>
      <c r="E335">
        <v>1</v>
      </c>
      <c r="F335">
        <v>9</v>
      </c>
      <c r="G335" t="b">
        <v>0</v>
      </c>
      <c r="H335">
        <v>6</v>
      </c>
      <c r="I335">
        <v>1</v>
      </c>
      <c r="J335">
        <v>0.16</v>
      </c>
      <c r="K335">
        <v>0.18179999999999999</v>
      </c>
      <c r="L335">
        <v>0.64</v>
      </c>
      <c r="M335">
        <v>0.1343</v>
      </c>
      <c r="N335">
        <v>2</v>
      </c>
      <c r="O335">
        <v>31</v>
      </c>
      <c r="P335">
        <v>33</v>
      </c>
    </row>
    <row r="336" spans="1:16" x14ac:dyDescent="0.3">
      <c r="A336">
        <v>335</v>
      </c>
      <c r="B336" s="21">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
      <c r="A337">
        <v>336</v>
      </c>
      <c r="B337" s="2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
      <c r="A338">
        <v>337</v>
      </c>
      <c r="B338" s="21">
        <v>40558</v>
      </c>
      <c r="C338">
        <v>1</v>
      </c>
      <c r="D338">
        <v>0</v>
      </c>
      <c r="E338">
        <v>1</v>
      </c>
      <c r="F338">
        <v>12</v>
      </c>
      <c r="G338" t="b">
        <v>0</v>
      </c>
      <c r="H338">
        <v>6</v>
      </c>
      <c r="I338">
        <v>1</v>
      </c>
      <c r="J338">
        <v>0.24</v>
      </c>
      <c r="K338">
        <v>0.2273</v>
      </c>
      <c r="L338">
        <v>0.48</v>
      </c>
      <c r="M338">
        <v>0.22389999999999999</v>
      </c>
      <c r="N338">
        <v>15</v>
      </c>
      <c r="O338">
        <v>74</v>
      </c>
      <c r="P338">
        <v>89</v>
      </c>
    </row>
    <row r="339" spans="1:16" x14ac:dyDescent="0.3">
      <c r="A339">
        <v>338</v>
      </c>
      <c r="B339" s="21">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
      <c r="A340">
        <v>339</v>
      </c>
      <c r="B340" s="21">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
      <c r="A341">
        <v>340</v>
      </c>
      <c r="B341" s="21">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
      <c r="A342">
        <v>341</v>
      </c>
      <c r="B342" s="21">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
      <c r="A343">
        <v>342</v>
      </c>
      <c r="B343" s="21">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
      <c r="A344">
        <v>343</v>
      </c>
      <c r="B344" s="21">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
      <c r="A345">
        <v>344</v>
      </c>
      <c r="B345" s="21">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
      <c r="A346">
        <v>345</v>
      </c>
      <c r="B346" s="21">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
      <c r="A347">
        <v>346</v>
      </c>
      <c r="B347" s="21">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
      <c r="A348">
        <v>347</v>
      </c>
      <c r="B348" s="21">
        <v>40558</v>
      </c>
      <c r="C348">
        <v>1</v>
      </c>
      <c r="D348">
        <v>0</v>
      </c>
      <c r="E348">
        <v>1</v>
      </c>
      <c r="F348">
        <v>22</v>
      </c>
      <c r="G348" t="b">
        <v>0</v>
      </c>
      <c r="H348">
        <v>6</v>
      </c>
      <c r="I348">
        <v>2</v>
      </c>
      <c r="J348">
        <v>0.3</v>
      </c>
      <c r="K348">
        <v>0.31819999999999998</v>
      </c>
      <c r="L348">
        <v>0.42</v>
      </c>
      <c r="M348">
        <v>0.1045</v>
      </c>
      <c r="N348">
        <v>0</v>
      </c>
      <c r="O348">
        <v>26</v>
      </c>
      <c r="P348">
        <v>26</v>
      </c>
    </row>
    <row r="349" spans="1:16" x14ac:dyDescent="0.3">
      <c r="A349">
        <v>348</v>
      </c>
      <c r="B349" s="21">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
      <c r="A350">
        <v>349</v>
      </c>
      <c r="B350" s="21">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
      <c r="A351">
        <v>350</v>
      </c>
      <c r="B351" s="21">
        <v>40559</v>
      </c>
      <c r="C351">
        <v>1</v>
      </c>
      <c r="D351">
        <v>0</v>
      </c>
      <c r="E351">
        <v>1</v>
      </c>
      <c r="F351">
        <v>1</v>
      </c>
      <c r="G351" t="b">
        <v>0</v>
      </c>
      <c r="H351">
        <v>0</v>
      </c>
      <c r="I351">
        <v>1</v>
      </c>
      <c r="J351">
        <v>0.26</v>
      </c>
      <c r="K351">
        <v>0.2727</v>
      </c>
      <c r="L351">
        <v>0.56000000000000005</v>
      </c>
      <c r="M351">
        <v>0.1343</v>
      </c>
      <c r="N351">
        <v>4</v>
      </c>
      <c r="O351">
        <v>19</v>
      </c>
      <c r="P351">
        <v>23</v>
      </c>
    </row>
    <row r="352" spans="1:16" x14ac:dyDescent="0.3">
      <c r="A352">
        <v>351</v>
      </c>
      <c r="B352" s="2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
      <c r="A353">
        <v>352</v>
      </c>
      <c r="B353" s="21">
        <v>40559</v>
      </c>
      <c r="C353">
        <v>1</v>
      </c>
      <c r="D353">
        <v>0</v>
      </c>
      <c r="E353">
        <v>1</v>
      </c>
      <c r="F353">
        <v>3</v>
      </c>
      <c r="G353" t="b">
        <v>0</v>
      </c>
      <c r="H353">
        <v>0</v>
      </c>
      <c r="I353">
        <v>1</v>
      </c>
      <c r="J353">
        <v>0.22</v>
      </c>
      <c r="K353">
        <v>0.2727</v>
      </c>
      <c r="L353">
        <v>0.69</v>
      </c>
      <c r="M353">
        <v>0</v>
      </c>
      <c r="N353">
        <v>9</v>
      </c>
      <c r="O353">
        <v>6</v>
      </c>
      <c r="P353">
        <v>15</v>
      </c>
    </row>
    <row r="354" spans="1:16" x14ac:dyDescent="0.3">
      <c r="A354">
        <v>353</v>
      </c>
      <c r="B354" s="21">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
      <c r="A355">
        <v>354</v>
      </c>
      <c r="B355" s="21">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
      <c r="A356">
        <v>355</v>
      </c>
      <c r="B356" s="21">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
      <c r="A357">
        <v>356</v>
      </c>
      <c r="B357" s="2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
      <c r="A358">
        <v>357</v>
      </c>
      <c r="B358" s="2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
      <c r="A359">
        <v>358</v>
      </c>
      <c r="B359" s="21">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
      <c r="A360">
        <v>359</v>
      </c>
      <c r="B360" s="21">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
      <c r="A361">
        <v>360</v>
      </c>
      <c r="B361" s="21">
        <v>40559</v>
      </c>
      <c r="C361">
        <v>1</v>
      </c>
      <c r="D361">
        <v>0</v>
      </c>
      <c r="E361">
        <v>1</v>
      </c>
      <c r="F361">
        <v>11</v>
      </c>
      <c r="G361" t="b">
        <v>0</v>
      </c>
      <c r="H361">
        <v>0</v>
      </c>
      <c r="I361">
        <v>1</v>
      </c>
      <c r="J361">
        <v>0.24</v>
      </c>
      <c r="K361">
        <v>0.2273</v>
      </c>
      <c r="L361">
        <v>0.44</v>
      </c>
      <c r="M361">
        <v>0.25369999999999998</v>
      </c>
      <c r="N361">
        <v>23</v>
      </c>
      <c r="O361">
        <v>70</v>
      </c>
      <c r="P361">
        <v>93</v>
      </c>
    </row>
    <row r="362" spans="1:16" x14ac:dyDescent="0.3">
      <c r="A362">
        <v>361</v>
      </c>
      <c r="B362" s="21">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
      <c r="A363">
        <v>362</v>
      </c>
      <c r="B363" s="21">
        <v>40559</v>
      </c>
      <c r="C363">
        <v>1</v>
      </c>
      <c r="D363">
        <v>0</v>
      </c>
      <c r="E363">
        <v>1</v>
      </c>
      <c r="F363">
        <v>13</v>
      </c>
      <c r="G363" t="b">
        <v>0</v>
      </c>
      <c r="H363">
        <v>0</v>
      </c>
      <c r="I363">
        <v>1</v>
      </c>
      <c r="J363">
        <v>0.26</v>
      </c>
      <c r="K363">
        <v>0.2273</v>
      </c>
      <c r="L363">
        <v>0.35</v>
      </c>
      <c r="M363">
        <v>0.29849999999999999</v>
      </c>
      <c r="N363">
        <v>23</v>
      </c>
      <c r="O363">
        <v>95</v>
      </c>
      <c r="P363">
        <v>118</v>
      </c>
    </row>
    <row r="364" spans="1:16" x14ac:dyDescent="0.3">
      <c r="A364">
        <v>363</v>
      </c>
      <c r="B364" s="21">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
      <c r="A365">
        <v>364</v>
      </c>
      <c r="B365" s="21">
        <v>40559</v>
      </c>
      <c r="C365">
        <v>1</v>
      </c>
      <c r="D365">
        <v>0</v>
      </c>
      <c r="E365">
        <v>1</v>
      </c>
      <c r="F365">
        <v>15</v>
      </c>
      <c r="G365" t="b">
        <v>0</v>
      </c>
      <c r="H365">
        <v>0</v>
      </c>
      <c r="I365">
        <v>1</v>
      </c>
      <c r="J365">
        <v>0.26</v>
      </c>
      <c r="K365">
        <v>0.2424</v>
      </c>
      <c r="L365">
        <v>0.38</v>
      </c>
      <c r="M365">
        <v>0.25369999999999998</v>
      </c>
      <c r="N365">
        <v>35</v>
      </c>
      <c r="O365">
        <v>78</v>
      </c>
      <c r="P365">
        <v>113</v>
      </c>
    </row>
    <row r="366" spans="1:16" x14ac:dyDescent="0.3">
      <c r="A366">
        <v>365</v>
      </c>
      <c r="B366" s="21">
        <v>40559</v>
      </c>
      <c r="C366">
        <v>1</v>
      </c>
      <c r="D366">
        <v>0</v>
      </c>
      <c r="E366">
        <v>1</v>
      </c>
      <c r="F366">
        <v>16</v>
      </c>
      <c r="G366" t="b">
        <v>0</v>
      </c>
      <c r="H366">
        <v>0</v>
      </c>
      <c r="I366">
        <v>1</v>
      </c>
      <c r="J366">
        <v>0.24</v>
      </c>
      <c r="K366">
        <v>0.2273</v>
      </c>
      <c r="L366">
        <v>0.38</v>
      </c>
      <c r="M366">
        <v>0.22389999999999999</v>
      </c>
      <c r="N366">
        <v>22</v>
      </c>
      <c r="O366">
        <v>77</v>
      </c>
      <c r="P366">
        <v>99</v>
      </c>
    </row>
    <row r="367" spans="1:16" x14ac:dyDescent="0.3">
      <c r="A367">
        <v>366</v>
      </c>
      <c r="B367" s="21">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
      <c r="A368">
        <v>367</v>
      </c>
      <c r="B368" s="21">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
      <c r="A369">
        <v>368</v>
      </c>
      <c r="B369" s="21">
        <v>40559</v>
      </c>
      <c r="C369">
        <v>1</v>
      </c>
      <c r="D369">
        <v>0</v>
      </c>
      <c r="E369">
        <v>1</v>
      </c>
      <c r="F369">
        <v>19</v>
      </c>
      <c r="G369" t="b">
        <v>0</v>
      </c>
      <c r="H369">
        <v>0</v>
      </c>
      <c r="I369">
        <v>1</v>
      </c>
      <c r="J369">
        <v>0.18</v>
      </c>
      <c r="K369">
        <v>0.19700000000000001</v>
      </c>
      <c r="L369">
        <v>0.47</v>
      </c>
      <c r="M369">
        <v>0.1343</v>
      </c>
      <c r="N369">
        <v>14</v>
      </c>
      <c r="O369">
        <v>47</v>
      </c>
      <c r="P369">
        <v>61</v>
      </c>
    </row>
    <row r="370" spans="1:16" x14ac:dyDescent="0.3">
      <c r="A370">
        <v>369</v>
      </c>
      <c r="B370" s="21">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
      <c r="A371">
        <v>370</v>
      </c>
      <c r="B371" s="21">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
      <c r="A372">
        <v>371</v>
      </c>
      <c r="B372" s="21">
        <v>40559</v>
      </c>
      <c r="C372">
        <v>1</v>
      </c>
      <c r="D372">
        <v>0</v>
      </c>
      <c r="E372">
        <v>1</v>
      </c>
      <c r="F372">
        <v>22</v>
      </c>
      <c r="G372" t="b">
        <v>0</v>
      </c>
      <c r="H372">
        <v>0</v>
      </c>
      <c r="I372">
        <v>2</v>
      </c>
      <c r="J372">
        <v>0.2</v>
      </c>
      <c r="K372">
        <v>0.21210000000000001</v>
      </c>
      <c r="L372">
        <v>0.49</v>
      </c>
      <c r="M372">
        <v>0.1343</v>
      </c>
      <c r="N372">
        <v>2</v>
      </c>
      <c r="O372">
        <v>19</v>
      </c>
      <c r="P372">
        <v>21</v>
      </c>
    </row>
    <row r="373" spans="1:16" x14ac:dyDescent="0.3">
      <c r="A373">
        <v>372</v>
      </c>
      <c r="B373" s="21">
        <v>40559</v>
      </c>
      <c r="C373">
        <v>1</v>
      </c>
      <c r="D373">
        <v>0</v>
      </c>
      <c r="E373">
        <v>1</v>
      </c>
      <c r="F373">
        <v>23</v>
      </c>
      <c r="G373" t="b">
        <v>0</v>
      </c>
      <c r="H373">
        <v>0</v>
      </c>
      <c r="I373">
        <v>2</v>
      </c>
      <c r="J373">
        <v>0.2</v>
      </c>
      <c r="K373">
        <v>0.2273</v>
      </c>
      <c r="L373">
        <v>0.4</v>
      </c>
      <c r="M373">
        <v>0.1045</v>
      </c>
      <c r="N373">
        <v>0</v>
      </c>
      <c r="O373">
        <v>18</v>
      </c>
      <c r="P373">
        <v>18</v>
      </c>
    </row>
    <row r="374" spans="1:16" x14ac:dyDescent="0.3">
      <c r="A374">
        <v>373</v>
      </c>
      <c r="B374" s="21">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
      <c r="A375">
        <v>374</v>
      </c>
      <c r="B375" s="21">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
      <c r="A376">
        <v>375</v>
      </c>
      <c r="B376" s="21">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
      <c r="A377">
        <v>376</v>
      </c>
      <c r="B377" s="21">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
      <c r="A378">
        <v>377</v>
      </c>
      <c r="B378" s="21">
        <v>40560</v>
      </c>
      <c r="C378">
        <v>1</v>
      </c>
      <c r="D378">
        <v>0</v>
      </c>
      <c r="E378">
        <v>1</v>
      </c>
      <c r="F378">
        <v>4</v>
      </c>
      <c r="G378" t="b">
        <v>1</v>
      </c>
      <c r="H378">
        <v>1</v>
      </c>
      <c r="I378">
        <v>2</v>
      </c>
      <c r="J378">
        <v>0.18</v>
      </c>
      <c r="K378">
        <v>0.19700000000000001</v>
      </c>
      <c r="L378">
        <v>0.43</v>
      </c>
      <c r="M378">
        <v>0.1343</v>
      </c>
      <c r="N378">
        <v>1</v>
      </c>
      <c r="O378">
        <v>2</v>
      </c>
      <c r="P378">
        <v>3</v>
      </c>
    </row>
    <row r="379" spans="1:16" x14ac:dyDescent="0.3">
      <c r="A379">
        <v>378</v>
      </c>
      <c r="B379" s="21">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
      <c r="A380">
        <v>379</v>
      </c>
      <c r="B380" s="21">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
      <c r="A381">
        <v>380</v>
      </c>
      <c r="B381" s="21">
        <v>40560</v>
      </c>
      <c r="C381">
        <v>1</v>
      </c>
      <c r="D381">
        <v>0</v>
      </c>
      <c r="E381">
        <v>1</v>
      </c>
      <c r="F381">
        <v>7</v>
      </c>
      <c r="G381" t="b">
        <v>1</v>
      </c>
      <c r="H381">
        <v>1</v>
      </c>
      <c r="I381">
        <v>2</v>
      </c>
      <c r="J381">
        <v>0.16</v>
      </c>
      <c r="K381">
        <v>0.18179999999999999</v>
      </c>
      <c r="L381">
        <v>0.5</v>
      </c>
      <c r="M381">
        <v>0.1343</v>
      </c>
      <c r="N381">
        <v>4</v>
      </c>
      <c r="O381">
        <v>9</v>
      </c>
      <c r="P381">
        <v>13</v>
      </c>
    </row>
    <row r="382" spans="1:16" x14ac:dyDescent="0.3">
      <c r="A382">
        <v>381</v>
      </c>
      <c r="B382" s="21">
        <v>40560</v>
      </c>
      <c r="C382">
        <v>1</v>
      </c>
      <c r="D382">
        <v>0</v>
      </c>
      <c r="E382">
        <v>1</v>
      </c>
      <c r="F382">
        <v>8</v>
      </c>
      <c r="G382" t="b">
        <v>1</v>
      </c>
      <c r="H382">
        <v>1</v>
      </c>
      <c r="I382">
        <v>2</v>
      </c>
      <c r="J382">
        <v>0.16</v>
      </c>
      <c r="K382">
        <v>0.1515</v>
      </c>
      <c r="L382">
        <v>0.47</v>
      </c>
      <c r="M382">
        <v>0.22389999999999999</v>
      </c>
      <c r="N382">
        <v>3</v>
      </c>
      <c r="O382">
        <v>30</v>
      </c>
      <c r="P382">
        <v>33</v>
      </c>
    </row>
    <row r="383" spans="1:16" x14ac:dyDescent="0.3">
      <c r="A383">
        <v>382</v>
      </c>
      <c r="B383" s="21">
        <v>40560</v>
      </c>
      <c r="C383">
        <v>1</v>
      </c>
      <c r="D383">
        <v>0</v>
      </c>
      <c r="E383">
        <v>1</v>
      </c>
      <c r="F383">
        <v>9</v>
      </c>
      <c r="G383" t="b">
        <v>1</v>
      </c>
      <c r="H383">
        <v>1</v>
      </c>
      <c r="I383">
        <v>2</v>
      </c>
      <c r="J383">
        <v>0.16</v>
      </c>
      <c r="K383">
        <v>0.1515</v>
      </c>
      <c r="L383">
        <v>0.47</v>
      </c>
      <c r="M383">
        <v>0.22389999999999999</v>
      </c>
      <c r="N383">
        <v>8</v>
      </c>
      <c r="O383">
        <v>39</v>
      </c>
      <c r="P383">
        <v>47</v>
      </c>
    </row>
    <row r="384" spans="1:16" x14ac:dyDescent="0.3">
      <c r="A384">
        <v>383</v>
      </c>
      <c r="B384" s="21">
        <v>40560</v>
      </c>
      <c r="C384">
        <v>1</v>
      </c>
      <c r="D384">
        <v>0</v>
      </c>
      <c r="E384">
        <v>1</v>
      </c>
      <c r="F384">
        <v>10</v>
      </c>
      <c r="G384" t="b">
        <v>1</v>
      </c>
      <c r="H384">
        <v>1</v>
      </c>
      <c r="I384">
        <v>2</v>
      </c>
      <c r="J384">
        <v>0.16</v>
      </c>
      <c r="K384">
        <v>0.1515</v>
      </c>
      <c r="L384">
        <v>0.5</v>
      </c>
      <c r="M384">
        <v>0.25369999999999998</v>
      </c>
      <c r="N384">
        <v>7</v>
      </c>
      <c r="O384">
        <v>50</v>
      </c>
      <c r="P384">
        <v>57</v>
      </c>
    </row>
    <row r="385" spans="1:16" x14ac:dyDescent="0.3">
      <c r="A385">
        <v>384</v>
      </c>
      <c r="B385" s="21">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
      <c r="A386">
        <v>385</v>
      </c>
      <c r="B386" s="21">
        <v>40560</v>
      </c>
      <c r="C386">
        <v>1</v>
      </c>
      <c r="D386">
        <v>0</v>
      </c>
      <c r="E386">
        <v>1</v>
      </c>
      <c r="F386">
        <v>12</v>
      </c>
      <c r="G386" t="b">
        <v>1</v>
      </c>
      <c r="H386">
        <v>1</v>
      </c>
      <c r="I386">
        <v>2</v>
      </c>
      <c r="J386">
        <v>0.18</v>
      </c>
      <c r="K386">
        <v>0.19700000000000001</v>
      </c>
      <c r="L386">
        <v>0.47</v>
      </c>
      <c r="M386">
        <v>0.1343</v>
      </c>
      <c r="N386">
        <v>10</v>
      </c>
      <c r="O386">
        <v>70</v>
      </c>
      <c r="P386">
        <v>80</v>
      </c>
    </row>
    <row r="387" spans="1:16" x14ac:dyDescent="0.3">
      <c r="A387">
        <v>386</v>
      </c>
      <c r="B387" s="21">
        <v>40560</v>
      </c>
      <c r="C387">
        <v>1</v>
      </c>
      <c r="D387">
        <v>0</v>
      </c>
      <c r="E387">
        <v>1</v>
      </c>
      <c r="F387">
        <v>13</v>
      </c>
      <c r="G387" t="b">
        <v>1</v>
      </c>
      <c r="H387">
        <v>1</v>
      </c>
      <c r="I387">
        <v>2</v>
      </c>
      <c r="J387">
        <v>0.18</v>
      </c>
      <c r="K387">
        <v>0.19700000000000001</v>
      </c>
      <c r="L387">
        <v>0.47</v>
      </c>
      <c r="M387">
        <v>0.1343</v>
      </c>
      <c r="N387">
        <v>13</v>
      </c>
      <c r="O387">
        <v>80</v>
      </c>
      <c r="P387">
        <v>93</v>
      </c>
    </row>
    <row r="388" spans="1:16" x14ac:dyDescent="0.3">
      <c r="A388">
        <v>387</v>
      </c>
      <c r="B388" s="21">
        <v>40560</v>
      </c>
      <c r="C388">
        <v>1</v>
      </c>
      <c r="D388">
        <v>0</v>
      </c>
      <c r="E388">
        <v>1</v>
      </c>
      <c r="F388">
        <v>14</v>
      </c>
      <c r="G388" t="b">
        <v>1</v>
      </c>
      <c r="H388">
        <v>1</v>
      </c>
      <c r="I388">
        <v>2</v>
      </c>
      <c r="J388">
        <v>0.18</v>
      </c>
      <c r="K388">
        <v>0.21210000000000001</v>
      </c>
      <c r="L388">
        <v>0.43</v>
      </c>
      <c r="M388">
        <v>0.1045</v>
      </c>
      <c r="N388">
        <v>12</v>
      </c>
      <c r="O388">
        <v>74</v>
      </c>
      <c r="P388">
        <v>86</v>
      </c>
    </row>
    <row r="389" spans="1:16" x14ac:dyDescent="0.3">
      <c r="A389">
        <v>388</v>
      </c>
      <c r="B389" s="21">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
      <c r="A390">
        <v>389</v>
      </c>
      <c r="B390" s="21">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
      <c r="A391">
        <v>390</v>
      </c>
      <c r="B391" s="21">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
      <c r="A392">
        <v>391</v>
      </c>
      <c r="B392" s="2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
      <c r="A393">
        <v>392</v>
      </c>
      <c r="B393" s="21">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
      <c r="A394">
        <v>393</v>
      </c>
      <c r="B394" s="21">
        <v>40560</v>
      </c>
      <c r="C394">
        <v>1</v>
      </c>
      <c r="D394">
        <v>0</v>
      </c>
      <c r="E394">
        <v>1</v>
      </c>
      <c r="F394">
        <v>20</v>
      </c>
      <c r="G394" t="b">
        <v>1</v>
      </c>
      <c r="H394">
        <v>1</v>
      </c>
      <c r="I394">
        <v>3</v>
      </c>
      <c r="J394">
        <v>0.16</v>
      </c>
      <c r="K394">
        <v>0.1515</v>
      </c>
      <c r="L394">
        <v>0.8</v>
      </c>
      <c r="M394">
        <v>0.19400000000000001</v>
      </c>
      <c r="N394">
        <v>4</v>
      </c>
      <c r="O394">
        <v>29</v>
      </c>
      <c r="P394">
        <v>33</v>
      </c>
    </row>
    <row r="395" spans="1:16" x14ac:dyDescent="0.3">
      <c r="A395">
        <v>394</v>
      </c>
      <c r="B395" s="21">
        <v>40560</v>
      </c>
      <c r="C395">
        <v>1</v>
      </c>
      <c r="D395">
        <v>0</v>
      </c>
      <c r="E395">
        <v>1</v>
      </c>
      <c r="F395">
        <v>21</v>
      </c>
      <c r="G395" t="b">
        <v>1</v>
      </c>
      <c r="H395">
        <v>1</v>
      </c>
      <c r="I395">
        <v>3</v>
      </c>
      <c r="J395">
        <v>0.16</v>
      </c>
      <c r="K395">
        <v>0.1515</v>
      </c>
      <c r="L395">
        <v>0.8</v>
      </c>
      <c r="M395">
        <v>0.19400000000000001</v>
      </c>
      <c r="N395">
        <v>3</v>
      </c>
      <c r="O395">
        <v>24</v>
      </c>
      <c r="P395">
        <v>27</v>
      </c>
    </row>
    <row r="396" spans="1:16" x14ac:dyDescent="0.3">
      <c r="A396">
        <v>395</v>
      </c>
      <c r="B396" s="21">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
      <c r="A397">
        <v>396</v>
      </c>
      <c r="B397" s="21">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
      <c r="A398">
        <v>397</v>
      </c>
      <c r="B398" s="21">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
      <c r="A399">
        <v>398</v>
      </c>
      <c r="B399" s="21">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
      <c r="A400">
        <v>399</v>
      </c>
      <c r="B400" s="21">
        <v>40561</v>
      </c>
      <c r="C400">
        <v>1</v>
      </c>
      <c r="D400">
        <v>0</v>
      </c>
      <c r="E400">
        <v>1</v>
      </c>
      <c r="F400">
        <v>14</v>
      </c>
      <c r="G400" t="b">
        <v>0</v>
      </c>
      <c r="H400">
        <v>2</v>
      </c>
      <c r="I400">
        <v>2</v>
      </c>
      <c r="J400">
        <v>0.22</v>
      </c>
      <c r="K400">
        <v>0.2273</v>
      </c>
      <c r="L400">
        <v>0.8</v>
      </c>
      <c r="M400">
        <v>0.16420000000000001</v>
      </c>
      <c r="N400">
        <v>2</v>
      </c>
      <c r="O400">
        <v>26</v>
      </c>
      <c r="P400">
        <v>28</v>
      </c>
    </row>
    <row r="401" spans="1:16" x14ac:dyDescent="0.3">
      <c r="A401">
        <v>400</v>
      </c>
      <c r="B401" s="21">
        <v>40561</v>
      </c>
      <c r="C401">
        <v>1</v>
      </c>
      <c r="D401">
        <v>0</v>
      </c>
      <c r="E401">
        <v>1</v>
      </c>
      <c r="F401">
        <v>15</v>
      </c>
      <c r="G401" t="b">
        <v>0</v>
      </c>
      <c r="H401">
        <v>2</v>
      </c>
      <c r="I401">
        <v>2</v>
      </c>
      <c r="J401">
        <v>0.22</v>
      </c>
      <c r="K401">
        <v>0.2273</v>
      </c>
      <c r="L401">
        <v>0.87</v>
      </c>
      <c r="M401">
        <v>0.16420000000000001</v>
      </c>
      <c r="N401">
        <v>3</v>
      </c>
      <c r="O401">
        <v>32</v>
      </c>
      <c r="P401">
        <v>35</v>
      </c>
    </row>
    <row r="402" spans="1:16" x14ac:dyDescent="0.3">
      <c r="A402">
        <v>401</v>
      </c>
      <c r="B402" s="21">
        <v>40561</v>
      </c>
      <c r="C402">
        <v>1</v>
      </c>
      <c r="D402">
        <v>0</v>
      </c>
      <c r="E402">
        <v>1</v>
      </c>
      <c r="F402">
        <v>16</v>
      </c>
      <c r="G402" t="b">
        <v>0</v>
      </c>
      <c r="H402">
        <v>2</v>
      </c>
      <c r="I402">
        <v>2</v>
      </c>
      <c r="J402">
        <v>0.22</v>
      </c>
      <c r="K402">
        <v>0.2273</v>
      </c>
      <c r="L402">
        <v>0.87</v>
      </c>
      <c r="M402">
        <v>0.19400000000000001</v>
      </c>
      <c r="N402">
        <v>0</v>
      </c>
      <c r="O402">
        <v>61</v>
      </c>
      <c r="P402">
        <v>61</v>
      </c>
    </row>
    <row r="403" spans="1:16" x14ac:dyDescent="0.3">
      <c r="A403">
        <v>402</v>
      </c>
      <c r="B403" s="21">
        <v>40561</v>
      </c>
      <c r="C403">
        <v>1</v>
      </c>
      <c r="D403">
        <v>0</v>
      </c>
      <c r="E403">
        <v>1</v>
      </c>
      <c r="F403">
        <v>17</v>
      </c>
      <c r="G403" t="b">
        <v>0</v>
      </c>
      <c r="H403">
        <v>2</v>
      </c>
      <c r="I403">
        <v>2</v>
      </c>
      <c r="J403">
        <v>0.22</v>
      </c>
      <c r="K403">
        <v>0.2273</v>
      </c>
      <c r="L403">
        <v>0.82</v>
      </c>
      <c r="M403">
        <v>0.19400000000000001</v>
      </c>
      <c r="N403">
        <v>1</v>
      </c>
      <c r="O403">
        <v>124</v>
      </c>
      <c r="P403">
        <v>125</v>
      </c>
    </row>
    <row r="404" spans="1:16" x14ac:dyDescent="0.3">
      <c r="A404">
        <v>403</v>
      </c>
      <c r="B404" s="21">
        <v>40561</v>
      </c>
      <c r="C404">
        <v>1</v>
      </c>
      <c r="D404">
        <v>0</v>
      </c>
      <c r="E404">
        <v>1</v>
      </c>
      <c r="F404">
        <v>18</v>
      </c>
      <c r="G404" t="b">
        <v>0</v>
      </c>
      <c r="H404">
        <v>2</v>
      </c>
      <c r="I404">
        <v>2</v>
      </c>
      <c r="J404">
        <v>0.22</v>
      </c>
      <c r="K404">
        <v>0.2273</v>
      </c>
      <c r="L404">
        <v>0.8</v>
      </c>
      <c r="M404">
        <v>0.16420000000000001</v>
      </c>
      <c r="N404">
        <v>1</v>
      </c>
      <c r="O404">
        <v>132</v>
      </c>
      <c r="P404">
        <v>133</v>
      </c>
    </row>
    <row r="405" spans="1:16" x14ac:dyDescent="0.3">
      <c r="A405">
        <v>404</v>
      </c>
      <c r="B405" s="21">
        <v>40561</v>
      </c>
      <c r="C405">
        <v>1</v>
      </c>
      <c r="D405">
        <v>0</v>
      </c>
      <c r="E405">
        <v>1</v>
      </c>
      <c r="F405">
        <v>19</v>
      </c>
      <c r="G405" t="b">
        <v>0</v>
      </c>
      <c r="H405">
        <v>2</v>
      </c>
      <c r="I405">
        <v>2</v>
      </c>
      <c r="J405">
        <v>0.22</v>
      </c>
      <c r="K405">
        <v>0.2273</v>
      </c>
      <c r="L405">
        <v>0.8</v>
      </c>
      <c r="M405">
        <v>0.1343</v>
      </c>
      <c r="N405">
        <v>1</v>
      </c>
      <c r="O405">
        <v>98</v>
      </c>
      <c r="P405">
        <v>99</v>
      </c>
    </row>
    <row r="406" spans="1:16" x14ac:dyDescent="0.3">
      <c r="A406">
        <v>405</v>
      </c>
      <c r="B406" s="21">
        <v>40561</v>
      </c>
      <c r="C406">
        <v>1</v>
      </c>
      <c r="D406">
        <v>0</v>
      </c>
      <c r="E406">
        <v>1</v>
      </c>
      <c r="F406">
        <v>20</v>
      </c>
      <c r="G406" t="b">
        <v>0</v>
      </c>
      <c r="H406">
        <v>2</v>
      </c>
      <c r="I406">
        <v>2</v>
      </c>
      <c r="J406">
        <v>0.22</v>
      </c>
      <c r="K406">
        <v>0.2727</v>
      </c>
      <c r="L406">
        <v>0.87</v>
      </c>
      <c r="M406">
        <v>0</v>
      </c>
      <c r="N406">
        <v>0</v>
      </c>
      <c r="O406">
        <v>83</v>
      </c>
      <c r="P406">
        <v>83</v>
      </c>
    </row>
    <row r="407" spans="1:16" x14ac:dyDescent="0.3">
      <c r="A407">
        <v>406</v>
      </c>
      <c r="B407" s="21">
        <v>40561</v>
      </c>
      <c r="C407">
        <v>1</v>
      </c>
      <c r="D407">
        <v>0</v>
      </c>
      <c r="E407">
        <v>1</v>
      </c>
      <c r="F407">
        <v>21</v>
      </c>
      <c r="G407" t="b">
        <v>0</v>
      </c>
      <c r="H407">
        <v>2</v>
      </c>
      <c r="I407">
        <v>2</v>
      </c>
      <c r="J407">
        <v>0.22</v>
      </c>
      <c r="K407">
        <v>0.2424</v>
      </c>
      <c r="L407">
        <v>0.93</v>
      </c>
      <c r="M407">
        <v>0.1045</v>
      </c>
      <c r="N407">
        <v>0</v>
      </c>
      <c r="O407">
        <v>41</v>
      </c>
      <c r="P407">
        <v>41</v>
      </c>
    </row>
    <row r="408" spans="1:16" x14ac:dyDescent="0.3">
      <c r="A408">
        <v>407</v>
      </c>
      <c r="B408" s="21">
        <v>40561</v>
      </c>
      <c r="C408">
        <v>1</v>
      </c>
      <c r="D408">
        <v>0</v>
      </c>
      <c r="E408">
        <v>1</v>
      </c>
      <c r="F408">
        <v>22</v>
      </c>
      <c r="G408" t="b">
        <v>0</v>
      </c>
      <c r="H408">
        <v>2</v>
      </c>
      <c r="I408">
        <v>2</v>
      </c>
      <c r="J408">
        <v>0.22</v>
      </c>
      <c r="K408">
        <v>0.2576</v>
      </c>
      <c r="L408">
        <v>0.93</v>
      </c>
      <c r="M408">
        <v>8.9599999999999999E-2</v>
      </c>
      <c r="N408">
        <v>0</v>
      </c>
      <c r="O408">
        <v>33</v>
      </c>
      <c r="P408">
        <v>33</v>
      </c>
    </row>
    <row r="409" spans="1:16" x14ac:dyDescent="0.3">
      <c r="A409">
        <v>408</v>
      </c>
      <c r="B409" s="21">
        <v>40561</v>
      </c>
      <c r="C409">
        <v>1</v>
      </c>
      <c r="D409">
        <v>0</v>
      </c>
      <c r="E409">
        <v>1</v>
      </c>
      <c r="F409">
        <v>23</v>
      </c>
      <c r="G409" t="b">
        <v>0</v>
      </c>
      <c r="H409">
        <v>2</v>
      </c>
      <c r="I409">
        <v>2</v>
      </c>
      <c r="J409">
        <v>0.22</v>
      </c>
      <c r="K409">
        <v>0.2727</v>
      </c>
      <c r="L409">
        <v>0.93</v>
      </c>
      <c r="M409">
        <v>0</v>
      </c>
      <c r="N409">
        <v>1</v>
      </c>
      <c r="O409">
        <v>19</v>
      </c>
      <c r="P409">
        <v>20</v>
      </c>
    </row>
    <row r="410" spans="1:16" x14ac:dyDescent="0.3">
      <c r="A410">
        <v>409</v>
      </c>
      <c r="B410" s="21">
        <v>40562</v>
      </c>
      <c r="C410">
        <v>1</v>
      </c>
      <c r="D410">
        <v>0</v>
      </c>
      <c r="E410">
        <v>1</v>
      </c>
      <c r="F410">
        <v>0</v>
      </c>
      <c r="G410" t="b">
        <v>0</v>
      </c>
      <c r="H410">
        <v>3</v>
      </c>
      <c r="I410">
        <v>2</v>
      </c>
      <c r="J410">
        <v>0.22</v>
      </c>
      <c r="K410">
        <v>0.2727</v>
      </c>
      <c r="L410">
        <v>0.93</v>
      </c>
      <c r="M410">
        <v>0</v>
      </c>
      <c r="N410">
        <v>0</v>
      </c>
      <c r="O410">
        <v>3</v>
      </c>
      <c r="P410">
        <v>3</v>
      </c>
    </row>
    <row r="411" spans="1:16" x14ac:dyDescent="0.3">
      <c r="A411">
        <v>410</v>
      </c>
      <c r="B411" s="21">
        <v>40562</v>
      </c>
      <c r="C411">
        <v>1</v>
      </c>
      <c r="D411">
        <v>0</v>
      </c>
      <c r="E411">
        <v>1</v>
      </c>
      <c r="F411">
        <v>1</v>
      </c>
      <c r="G411" t="b">
        <v>0</v>
      </c>
      <c r="H411">
        <v>3</v>
      </c>
      <c r="I411">
        <v>3</v>
      </c>
      <c r="J411">
        <v>0.22</v>
      </c>
      <c r="K411">
        <v>0.2273</v>
      </c>
      <c r="L411">
        <v>0.93</v>
      </c>
      <c r="M411">
        <v>0.1343</v>
      </c>
      <c r="N411">
        <v>1</v>
      </c>
      <c r="O411">
        <v>6</v>
      </c>
      <c r="P411">
        <v>7</v>
      </c>
    </row>
    <row r="412" spans="1:16" x14ac:dyDescent="0.3">
      <c r="A412">
        <v>411</v>
      </c>
      <c r="B412" s="21">
        <v>40562</v>
      </c>
      <c r="C412">
        <v>1</v>
      </c>
      <c r="D412">
        <v>0</v>
      </c>
      <c r="E412">
        <v>1</v>
      </c>
      <c r="F412">
        <v>2</v>
      </c>
      <c r="G412" t="b">
        <v>0</v>
      </c>
      <c r="H412">
        <v>3</v>
      </c>
      <c r="I412">
        <v>3</v>
      </c>
      <c r="J412">
        <v>0.22</v>
      </c>
      <c r="K412">
        <v>0.2273</v>
      </c>
      <c r="L412">
        <v>0.93</v>
      </c>
      <c r="M412">
        <v>0.1343</v>
      </c>
      <c r="N412">
        <v>0</v>
      </c>
      <c r="O412">
        <v>3</v>
      </c>
      <c r="P412">
        <v>3</v>
      </c>
    </row>
    <row r="413" spans="1:16" x14ac:dyDescent="0.3">
      <c r="A413">
        <v>412</v>
      </c>
      <c r="B413" s="21">
        <v>40562</v>
      </c>
      <c r="C413">
        <v>1</v>
      </c>
      <c r="D413">
        <v>0</v>
      </c>
      <c r="E413">
        <v>1</v>
      </c>
      <c r="F413">
        <v>4</v>
      </c>
      <c r="G413" t="b">
        <v>0</v>
      </c>
      <c r="H413">
        <v>3</v>
      </c>
      <c r="I413">
        <v>3</v>
      </c>
      <c r="J413">
        <v>0.22</v>
      </c>
      <c r="K413">
        <v>0.2273</v>
      </c>
      <c r="L413">
        <v>0.93</v>
      </c>
      <c r="M413">
        <v>0.1343</v>
      </c>
      <c r="N413">
        <v>1</v>
      </c>
      <c r="O413">
        <v>1</v>
      </c>
      <c r="P413">
        <v>2</v>
      </c>
    </row>
    <row r="414" spans="1:16" x14ac:dyDescent="0.3">
      <c r="A414">
        <v>413</v>
      </c>
      <c r="B414" s="21">
        <v>40562</v>
      </c>
      <c r="C414">
        <v>1</v>
      </c>
      <c r="D414">
        <v>0</v>
      </c>
      <c r="E414">
        <v>1</v>
      </c>
      <c r="F414">
        <v>5</v>
      </c>
      <c r="G414" t="b">
        <v>0</v>
      </c>
      <c r="H414">
        <v>3</v>
      </c>
      <c r="I414">
        <v>2</v>
      </c>
      <c r="J414">
        <v>0.22</v>
      </c>
      <c r="K414">
        <v>0.2576</v>
      </c>
      <c r="L414">
        <v>0.93</v>
      </c>
      <c r="M414">
        <v>8.9599999999999999E-2</v>
      </c>
      <c r="N414">
        <v>0</v>
      </c>
      <c r="O414">
        <v>7</v>
      </c>
      <c r="P414">
        <v>7</v>
      </c>
    </row>
    <row r="415" spans="1:16" x14ac:dyDescent="0.3">
      <c r="A415">
        <v>414</v>
      </c>
      <c r="B415" s="21">
        <v>40562</v>
      </c>
      <c r="C415">
        <v>1</v>
      </c>
      <c r="D415">
        <v>0</v>
      </c>
      <c r="E415">
        <v>1</v>
      </c>
      <c r="F415">
        <v>6</v>
      </c>
      <c r="G415" t="b">
        <v>0</v>
      </c>
      <c r="H415">
        <v>3</v>
      </c>
      <c r="I415">
        <v>2</v>
      </c>
      <c r="J415">
        <v>0.22</v>
      </c>
      <c r="K415">
        <v>0.2576</v>
      </c>
      <c r="L415">
        <v>0.93</v>
      </c>
      <c r="M415">
        <v>8.9599999999999999E-2</v>
      </c>
      <c r="N415">
        <v>0</v>
      </c>
      <c r="O415">
        <v>32</v>
      </c>
      <c r="P415">
        <v>32</v>
      </c>
    </row>
    <row r="416" spans="1:16" x14ac:dyDescent="0.3">
      <c r="A416">
        <v>415</v>
      </c>
      <c r="B416" s="21">
        <v>40562</v>
      </c>
      <c r="C416">
        <v>1</v>
      </c>
      <c r="D416">
        <v>0</v>
      </c>
      <c r="E416">
        <v>1</v>
      </c>
      <c r="F416">
        <v>7</v>
      </c>
      <c r="G416" t="b">
        <v>0</v>
      </c>
      <c r="H416">
        <v>3</v>
      </c>
      <c r="I416">
        <v>2</v>
      </c>
      <c r="J416">
        <v>0.24</v>
      </c>
      <c r="K416">
        <v>0.2576</v>
      </c>
      <c r="L416">
        <v>0.92</v>
      </c>
      <c r="M416">
        <v>0.1045</v>
      </c>
      <c r="N416">
        <v>1</v>
      </c>
      <c r="O416">
        <v>89</v>
      </c>
      <c r="P416">
        <v>90</v>
      </c>
    </row>
    <row r="417" spans="1:16" x14ac:dyDescent="0.3">
      <c r="A417">
        <v>416</v>
      </c>
      <c r="B417" s="21">
        <v>40562</v>
      </c>
      <c r="C417">
        <v>1</v>
      </c>
      <c r="D417">
        <v>0</v>
      </c>
      <c r="E417">
        <v>1</v>
      </c>
      <c r="F417">
        <v>8</v>
      </c>
      <c r="G417" t="b">
        <v>0</v>
      </c>
      <c r="H417">
        <v>3</v>
      </c>
      <c r="I417">
        <v>2</v>
      </c>
      <c r="J417">
        <v>0.24</v>
      </c>
      <c r="K417">
        <v>0.2576</v>
      </c>
      <c r="L417">
        <v>0.93</v>
      </c>
      <c r="M417">
        <v>0.1045</v>
      </c>
      <c r="N417">
        <v>1</v>
      </c>
      <c r="O417">
        <v>196</v>
      </c>
      <c r="P417">
        <v>197</v>
      </c>
    </row>
    <row r="418" spans="1:16" x14ac:dyDescent="0.3">
      <c r="A418">
        <v>417</v>
      </c>
      <c r="B418" s="21">
        <v>40562</v>
      </c>
      <c r="C418">
        <v>1</v>
      </c>
      <c r="D418">
        <v>0</v>
      </c>
      <c r="E418">
        <v>1</v>
      </c>
      <c r="F418">
        <v>9</v>
      </c>
      <c r="G418" t="b">
        <v>0</v>
      </c>
      <c r="H418">
        <v>3</v>
      </c>
      <c r="I418">
        <v>2</v>
      </c>
      <c r="J418">
        <v>0.24</v>
      </c>
      <c r="K418">
        <v>0.2576</v>
      </c>
      <c r="L418">
        <v>0.93</v>
      </c>
      <c r="M418">
        <v>0.1045</v>
      </c>
      <c r="N418">
        <v>2</v>
      </c>
      <c r="O418">
        <v>107</v>
      </c>
      <c r="P418">
        <v>109</v>
      </c>
    </row>
    <row r="419" spans="1:16" x14ac:dyDescent="0.3">
      <c r="A419">
        <v>418</v>
      </c>
      <c r="B419" s="21">
        <v>40562</v>
      </c>
      <c r="C419">
        <v>1</v>
      </c>
      <c r="D419">
        <v>0</v>
      </c>
      <c r="E419">
        <v>1</v>
      </c>
      <c r="F419">
        <v>10</v>
      </c>
      <c r="G419" t="b">
        <v>0</v>
      </c>
      <c r="H419">
        <v>3</v>
      </c>
      <c r="I419">
        <v>2</v>
      </c>
      <c r="J419">
        <v>0.26</v>
      </c>
      <c r="K419">
        <v>0.2727</v>
      </c>
      <c r="L419">
        <v>0.93</v>
      </c>
      <c r="M419">
        <v>0.1343</v>
      </c>
      <c r="N419">
        <v>1</v>
      </c>
      <c r="O419">
        <v>46</v>
      </c>
      <c r="P419">
        <v>47</v>
      </c>
    </row>
    <row r="420" spans="1:16" x14ac:dyDescent="0.3">
      <c r="A420">
        <v>419</v>
      </c>
      <c r="B420" s="2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
      <c r="A421">
        <v>420</v>
      </c>
      <c r="B421" s="21">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
      <c r="A422">
        <v>421</v>
      </c>
      <c r="B422" s="21">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
      <c r="A423">
        <v>422</v>
      </c>
      <c r="B423" s="2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
      <c r="A424">
        <v>423</v>
      </c>
      <c r="B424" s="21">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
      <c r="A425">
        <v>424</v>
      </c>
      <c r="B425" s="21">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
      <c r="A426">
        <v>425</v>
      </c>
      <c r="B426" s="2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
      <c r="A427">
        <v>426</v>
      </c>
      <c r="B427" s="21">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
      <c r="A428">
        <v>427</v>
      </c>
      <c r="B428" s="2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
      <c r="A429">
        <v>428</v>
      </c>
      <c r="B429" s="21">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
      <c r="A430">
        <v>429</v>
      </c>
      <c r="B430" s="21">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
      <c r="A431">
        <v>430</v>
      </c>
      <c r="B431" s="21">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
      <c r="A432">
        <v>431</v>
      </c>
      <c r="B432" s="21">
        <v>40562</v>
      </c>
      <c r="C432">
        <v>1</v>
      </c>
      <c r="D432">
        <v>0</v>
      </c>
      <c r="E432">
        <v>1</v>
      </c>
      <c r="F432">
        <v>23</v>
      </c>
      <c r="G432" t="b">
        <v>0</v>
      </c>
      <c r="H432">
        <v>3</v>
      </c>
      <c r="I432">
        <v>1</v>
      </c>
      <c r="J432">
        <v>0.3</v>
      </c>
      <c r="K432">
        <v>0.2727</v>
      </c>
      <c r="L432">
        <v>0.52</v>
      </c>
      <c r="M432">
        <v>0.4627</v>
      </c>
      <c r="N432">
        <v>1</v>
      </c>
      <c r="O432">
        <v>27</v>
      </c>
      <c r="P432">
        <v>28</v>
      </c>
    </row>
    <row r="433" spans="1:16" x14ac:dyDescent="0.3">
      <c r="A433">
        <v>432</v>
      </c>
      <c r="B433" s="21">
        <v>40563</v>
      </c>
      <c r="C433">
        <v>1</v>
      </c>
      <c r="D433">
        <v>0</v>
      </c>
      <c r="E433">
        <v>1</v>
      </c>
      <c r="F433">
        <v>0</v>
      </c>
      <c r="G433" t="b">
        <v>0</v>
      </c>
      <c r="H433">
        <v>4</v>
      </c>
      <c r="I433">
        <v>1</v>
      </c>
      <c r="J433">
        <v>0.26</v>
      </c>
      <c r="K433">
        <v>0.2273</v>
      </c>
      <c r="L433">
        <v>0.56000000000000005</v>
      </c>
      <c r="M433">
        <v>0.3881</v>
      </c>
      <c r="N433">
        <v>5</v>
      </c>
      <c r="O433">
        <v>8</v>
      </c>
      <c r="P433">
        <v>13</v>
      </c>
    </row>
    <row r="434" spans="1:16" x14ac:dyDescent="0.3">
      <c r="A434">
        <v>433</v>
      </c>
      <c r="B434" s="21">
        <v>40563</v>
      </c>
      <c r="C434">
        <v>1</v>
      </c>
      <c r="D434">
        <v>0</v>
      </c>
      <c r="E434">
        <v>1</v>
      </c>
      <c r="F434">
        <v>1</v>
      </c>
      <c r="G434" t="b">
        <v>0</v>
      </c>
      <c r="H434">
        <v>4</v>
      </c>
      <c r="I434">
        <v>1</v>
      </c>
      <c r="J434">
        <v>0.26</v>
      </c>
      <c r="K434">
        <v>0.2727</v>
      </c>
      <c r="L434">
        <v>0.56000000000000005</v>
      </c>
      <c r="M434">
        <v>0</v>
      </c>
      <c r="N434">
        <v>2</v>
      </c>
      <c r="O434">
        <v>3</v>
      </c>
      <c r="P434">
        <v>5</v>
      </c>
    </row>
    <row r="435" spans="1:16" x14ac:dyDescent="0.3">
      <c r="A435">
        <v>434</v>
      </c>
      <c r="B435" s="21">
        <v>40563</v>
      </c>
      <c r="C435">
        <v>1</v>
      </c>
      <c r="D435">
        <v>0</v>
      </c>
      <c r="E435">
        <v>1</v>
      </c>
      <c r="F435">
        <v>2</v>
      </c>
      <c r="G435" t="b">
        <v>0</v>
      </c>
      <c r="H435">
        <v>4</v>
      </c>
      <c r="I435">
        <v>1</v>
      </c>
      <c r="J435">
        <v>0.26</v>
      </c>
      <c r="K435">
        <v>0.2727</v>
      </c>
      <c r="L435">
        <v>0.56000000000000005</v>
      </c>
      <c r="M435">
        <v>0</v>
      </c>
      <c r="N435">
        <v>0</v>
      </c>
      <c r="O435">
        <v>2</v>
      </c>
      <c r="P435">
        <v>2</v>
      </c>
    </row>
    <row r="436" spans="1:16" x14ac:dyDescent="0.3">
      <c r="A436">
        <v>435</v>
      </c>
      <c r="B436" s="21">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
      <c r="A437">
        <v>436</v>
      </c>
      <c r="B437" s="21">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
      <c r="A438">
        <v>437</v>
      </c>
      <c r="B438" s="21">
        <v>40563</v>
      </c>
      <c r="C438">
        <v>1</v>
      </c>
      <c r="D438">
        <v>0</v>
      </c>
      <c r="E438">
        <v>1</v>
      </c>
      <c r="F438">
        <v>5</v>
      </c>
      <c r="G438" t="b">
        <v>0</v>
      </c>
      <c r="H438">
        <v>4</v>
      </c>
      <c r="I438">
        <v>1</v>
      </c>
      <c r="J438">
        <v>0.24</v>
      </c>
      <c r="K438">
        <v>0.2273</v>
      </c>
      <c r="L438">
        <v>0.6</v>
      </c>
      <c r="M438">
        <v>0.22389999999999999</v>
      </c>
      <c r="N438">
        <v>0</v>
      </c>
      <c r="O438">
        <v>6</v>
      </c>
      <c r="P438">
        <v>6</v>
      </c>
    </row>
    <row r="439" spans="1:16" x14ac:dyDescent="0.3">
      <c r="A439">
        <v>438</v>
      </c>
      <c r="B439" s="21">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
      <c r="A440">
        <v>439</v>
      </c>
      <c r="B440" s="2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
      <c r="A441">
        <v>440</v>
      </c>
      <c r="B441" s="2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
      <c r="A442">
        <v>441</v>
      </c>
      <c r="B442" s="21">
        <v>40563</v>
      </c>
      <c r="C442">
        <v>1</v>
      </c>
      <c r="D442">
        <v>0</v>
      </c>
      <c r="E442">
        <v>1</v>
      </c>
      <c r="F442">
        <v>9</v>
      </c>
      <c r="G442" t="b">
        <v>0</v>
      </c>
      <c r="H442">
        <v>4</v>
      </c>
      <c r="I442">
        <v>2</v>
      </c>
      <c r="J442">
        <v>0.24</v>
      </c>
      <c r="K442">
        <v>0.2273</v>
      </c>
      <c r="L442">
        <v>0.52</v>
      </c>
      <c r="M442">
        <v>0.22389999999999999</v>
      </c>
      <c r="N442">
        <v>3</v>
      </c>
      <c r="O442">
        <v>140</v>
      </c>
      <c r="P442">
        <v>143</v>
      </c>
    </row>
    <row r="443" spans="1:16" x14ac:dyDescent="0.3">
      <c r="A443">
        <v>442</v>
      </c>
      <c r="B443" s="21">
        <v>40563</v>
      </c>
      <c r="C443">
        <v>1</v>
      </c>
      <c r="D443">
        <v>0</v>
      </c>
      <c r="E443">
        <v>1</v>
      </c>
      <c r="F443">
        <v>10</v>
      </c>
      <c r="G443" t="b">
        <v>0</v>
      </c>
      <c r="H443">
        <v>4</v>
      </c>
      <c r="I443">
        <v>1</v>
      </c>
      <c r="J443">
        <v>0.26</v>
      </c>
      <c r="K443">
        <v>0.2273</v>
      </c>
      <c r="L443">
        <v>0.48</v>
      </c>
      <c r="M443">
        <v>0.29849999999999999</v>
      </c>
      <c r="N443">
        <v>1</v>
      </c>
      <c r="O443">
        <v>56</v>
      </c>
      <c r="P443">
        <v>57</v>
      </c>
    </row>
    <row r="444" spans="1:16" x14ac:dyDescent="0.3">
      <c r="A444">
        <v>443</v>
      </c>
      <c r="B444" s="21">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
      <c r="A445">
        <v>444</v>
      </c>
      <c r="B445" s="21">
        <v>40563</v>
      </c>
      <c r="C445">
        <v>1</v>
      </c>
      <c r="D445">
        <v>0</v>
      </c>
      <c r="E445">
        <v>1</v>
      </c>
      <c r="F445">
        <v>12</v>
      </c>
      <c r="G445" t="b">
        <v>0</v>
      </c>
      <c r="H445">
        <v>4</v>
      </c>
      <c r="I445">
        <v>2</v>
      </c>
      <c r="J445">
        <v>0.3</v>
      </c>
      <c r="K445">
        <v>0.33329999999999999</v>
      </c>
      <c r="L445">
        <v>0.42</v>
      </c>
      <c r="M445">
        <v>0</v>
      </c>
      <c r="N445">
        <v>7</v>
      </c>
      <c r="O445">
        <v>77</v>
      </c>
      <c r="P445">
        <v>84</v>
      </c>
    </row>
    <row r="446" spans="1:16" x14ac:dyDescent="0.3">
      <c r="A446">
        <v>445</v>
      </c>
      <c r="B446" s="21">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
      <c r="A447">
        <v>446</v>
      </c>
      <c r="B447" s="21">
        <v>40563</v>
      </c>
      <c r="C447">
        <v>1</v>
      </c>
      <c r="D447">
        <v>0</v>
      </c>
      <c r="E447">
        <v>1</v>
      </c>
      <c r="F447">
        <v>14</v>
      </c>
      <c r="G447" t="b">
        <v>0</v>
      </c>
      <c r="H447">
        <v>4</v>
      </c>
      <c r="I447">
        <v>2</v>
      </c>
      <c r="J447">
        <v>0.3</v>
      </c>
      <c r="K447">
        <v>0.30299999999999999</v>
      </c>
      <c r="L447">
        <v>0.45</v>
      </c>
      <c r="M447">
        <v>0.1343</v>
      </c>
      <c r="N447">
        <v>6</v>
      </c>
      <c r="O447">
        <v>75</v>
      </c>
      <c r="P447">
        <v>81</v>
      </c>
    </row>
    <row r="448" spans="1:16" x14ac:dyDescent="0.3">
      <c r="A448">
        <v>447</v>
      </c>
      <c r="B448" s="21">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
      <c r="A449">
        <v>448</v>
      </c>
      <c r="B449" s="21">
        <v>40563</v>
      </c>
      <c r="C449">
        <v>1</v>
      </c>
      <c r="D449">
        <v>0</v>
      </c>
      <c r="E449">
        <v>1</v>
      </c>
      <c r="F449">
        <v>16</v>
      </c>
      <c r="G449" t="b">
        <v>0</v>
      </c>
      <c r="H449">
        <v>4</v>
      </c>
      <c r="I449">
        <v>2</v>
      </c>
      <c r="J449">
        <v>0.3</v>
      </c>
      <c r="K449">
        <v>0.30299999999999999</v>
      </c>
      <c r="L449">
        <v>0.49</v>
      </c>
      <c r="M449">
        <v>0.1343</v>
      </c>
      <c r="N449">
        <v>8</v>
      </c>
      <c r="O449">
        <v>83</v>
      </c>
      <c r="P449">
        <v>91</v>
      </c>
    </row>
    <row r="450" spans="1:16" x14ac:dyDescent="0.3">
      <c r="A450">
        <v>449</v>
      </c>
      <c r="B450" s="21">
        <v>40563</v>
      </c>
      <c r="C450">
        <v>1</v>
      </c>
      <c r="D450">
        <v>0</v>
      </c>
      <c r="E450">
        <v>1</v>
      </c>
      <c r="F450">
        <v>17</v>
      </c>
      <c r="G450" t="b">
        <v>0</v>
      </c>
      <c r="H450">
        <v>4</v>
      </c>
      <c r="I450">
        <v>2</v>
      </c>
      <c r="J450">
        <v>0.3</v>
      </c>
      <c r="K450">
        <v>0.31819999999999998</v>
      </c>
      <c r="L450">
        <v>0.49</v>
      </c>
      <c r="M450">
        <v>0.1045</v>
      </c>
      <c r="N450">
        <v>8</v>
      </c>
      <c r="O450">
        <v>207</v>
      </c>
      <c r="P450">
        <v>215</v>
      </c>
    </row>
    <row r="451" spans="1:16" x14ac:dyDescent="0.3">
      <c r="A451">
        <v>450</v>
      </c>
      <c r="B451" s="21">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
      <c r="A452">
        <v>451</v>
      </c>
      <c r="B452" s="21">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
      <c r="A453">
        <v>452</v>
      </c>
      <c r="B453" s="21">
        <v>40563</v>
      </c>
      <c r="C453">
        <v>1</v>
      </c>
      <c r="D453">
        <v>0</v>
      </c>
      <c r="E453">
        <v>1</v>
      </c>
      <c r="F453">
        <v>20</v>
      </c>
      <c r="G453" t="b">
        <v>0</v>
      </c>
      <c r="H453">
        <v>4</v>
      </c>
      <c r="I453">
        <v>2</v>
      </c>
      <c r="J453">
        <v>0.26</v>
      </c>
      <c r="K453">
        <v>0.2424</v>
      </c>
      <c r="L453">
        <v>0.6</v>
      </c>
      <c r="M453">
        <v>0.28360000000000002</v>
      </c>
      <c r="N453">
        <v>2</v>
      </c>
      <c r="O453">
        <v>124</v>
      </c>
      <c r="P453">
        <v>126</v>
      </c>
    </row>
    <row r="454" spans="1:16" x14ac:dyDescent="0.3">
      <c r="A454">
        <v>453</v>
      </c>
      <c r="B454" s="21">
        <v>40563</v>
      </c>
      <c r="C454">
        <v>1</v>
      </c>
      <c r="D454">
        <v>0</v>
      </c>
      <c r="E454">
        <v>1</v>
      </c>
      <c r="F454">
        <v>21</v>
      </c>
      <c r="G454" t="b">
        <v>0</v>
      </c>
      <c r="H454">
        <v>4</v>
      </c>
      <c r="I454">
        <v>2</v>
      </c>
      <c r="J454">
        <v>0.24</v>
      </c>
      <c r="K454">
        <v>0.2273</v>
      </c>
      <c r="L454">
        <v>0.6</v>
      </c>
      <c r="M454">
        <v>0.25369999999999998</v>
      </c>
      <c r="N454">
        <v>3</v>
      </c>
      <c r="O454">
        <v>54</v>
      </c>
      <c r="P454">
        <v>57</v>
      </c>
    </row>
    <row r="455" spans="1:16" x14ac:dyDescent="0.3">
      <c r="A455">
        <v>454</v>
      </c>
      <c r="B455" s="21">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
      <c r="A456">
        <v>455</v>
      </c>
      <c r="B456" s="21">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
      <c r="A457">
        <v>456</v>
      </c>
      <c r="B457" s="21">
        <v>40564</v>
      </c>
      <c r="C457">
        <v>1</v>
      </c>
      <c r="D457">
        <v>0</v>
      </c>
      <c r="E457">
        <v>1</v>
      </c>
      <c r="F457">
        <v>0</v>
      </c>
      <c r="G457" t="b">
        <v>0</v>
      </c>
      <c r="H457">
        <v>5</v>
      </c>
      <c r="I457">
        <v>2</v>
      </c>
      <c r="J457">
        <v>0.24</v>
      </c>
      <c r="K457">
        <v>0.2273</v>
      </c>
      <c r="L457">
        <v>0.7</v>
      </c>
      <c r="M457">
        <v>0.25369999999999998</v>
      </c>
      <c r="N457">
        <v>1</v>
      </c>
      <c r="O457">
        <v>20</v>
      </c>
      <c r="P457">
        <v>21</v>
      </c>
    </row>
    <row r="458" spans="1:16" x14ac:dyDescent="0.3">
      <c r="A458">
        <v>457</v>
      </c>
      <c r="B458" s="21">
        <v>40564</v>
      </c>
      <c r="C458">
        <v>1</v>
      </c>
      <c r="D458">
        <v>0</v>
      </c>
      <c r="E458">
        <v>1</v>
      </c>
      <c r="F458">
        <v>1</v>
      </c>
      <c r="G458" t="b">
        <v>0</v>
      </c>
      <c r="H458">
        <v>5</v>
      </c>
      <c r="I458">
        <v>2</v>
      </c>
      <c r="J458">
        <v>0.24</v>
      </c>
      <c r="K458">
        <v>0.2273</v>
      </c>
      <c r="L458">
        <v>0.7</v>
      </c>
      <c r="M458">
        <v>0.25369999999999998</v>
      </c>
      <c r="N458">
        <v>0</v>
      </c>
      <c r="O458">
        <v>6</v>
      </c>
      <c r="P458">
        <v>6</v>
      </c>
    </row>
    <row r="459" spans="1:16" x14ac:dyDescent="0.3">
      <c r="A459">
        <v>458</v>
      </c>
      <c r="B459" s="21">
        <v>40564</v>
      </c>
      <c r="C459">
        <v>1</v>
      </c>
      <c r="D459">
        <v>0</v>
      </c>
      <c r="E459">
        <v>1</v>
      </c>
      <c r="F459">
        <v>2</v>
      </c>
      <c r="G459" t="b">
        <v>0</v>
      </c>
      <c r="H459">
        <v>5</v>
      </c>
      <c r="I459">
        <v>3</v>
      </c>
      <c r="J459">
        <v>0.24</v>
      </c>
      <c r="K459">
        <v>0.2424</v>
      </c>
      <c r="L459">
        <v>0.75</v>
      </c>
      <c r="M459">
        <v>0.16420000000000001</v>
      </c>
      <c r="N459">
        <v>0</v>
      </c>
      <c r="O459">
        <v>2</v>
      </c>
      <c r="P459">
        <v>2</v>
      </c>
    </row>
    <row r="460" spans="1:16" x14ac:dyDescent="0.3">
      <c r="A460">
        <v>459</v>
      </c>
      <c r="B460" s="21">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
      <c r="A461">
        <v>460</v>
      </c>
      <c r="B461" s="21">
        <v>40564</v>
      </c>
      <c r="C461">
        <v>1</v>
      </c>
      <c r="D461">
        <v>0</v>
      </c>
      <c r="E461">
        <v>1</v>
      </c>
      <c r="F461">
        <v>4</v>
      </c>
      <c r="G461" t="b">
        <v>0</v>
      </c>
      <c r="H461">
        <v>5</v>
      </c>
      <c r="I461">
        <v>2</v>
      </c>
      <c r="J461">
        <v>0.22</v>
      </c>
      <c r="K461">
        <v>0.2576</v>
      </c>
      <c r="L461">
        <v>0.87</v>
      </c>
      <c r="M461">
        <v>8.9599999999999999E-2</v>
      </c>
      <c r="N461">
        <v>0</v>
      </c>
      <c r="O461">
        <v>1</v>
      </c>
      <c r="P461">
        <v>1</v>
      </c>
    </row>
    <row r="462" spans="1:16" x14ac:dyDescent="0.3">
      <c r="A462">
        <v>461</v>
      </c>
      <c r="B462" s="21">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
      <c r="A463">
        <v>462</v>
      </c>
      <c r="B463" s="2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
      <c r="A464">
        <v>463</v>
      </c>
      <c r="B464" s="21">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
      <c r="A465">
        <v>464</v>
      </c>
      <c r="B465" s="21">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
      <c r="A466">
        <v>465</v>
      </c>
      <c r="B466" s="21">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
      <c r="A467">
        <v>466</v>
      </c>
      <c r="B467" s="21">
        <v>40564</v>
      </c>
      <c r="C467">
        <v>1</v>
      </c>
      <c r="D467">
        <v>0</v>
      </c>
      <c r="E467">
        <v>1</v>
      </c>
      <c r="F467">
        <v>10</v>
      </c>
      <c r="G467" t="b">
        <v>0</v>
      </c>
      <c r="H467">
        <v>5</v>
      </c>
      <c r="I467">
        <v>1</v>
      </c>
      <c r="J467">
        <v>0.2</v>
      </c>
      <c r="K467">
        <v>0.16669999999999999</v>
      </c>
      <c r="L467">
        <v>0.47</v>
      </c>
      <c r="M467">
        <v>0.4627</v>
      </c>
      <c r="N467">
        <v>6</v>
      </c>
      <c r="O467">
        <v>57</v>
      </c>
      <c r="P467">
        <v>63</v>
      </c>
    </row>
    <row r="468" spans="1:16" x14ac:dyDescent="0.3">
      <c r="A468">
        <v>467</v>
      </c>
      <c r="B468" s="21">
        <v>40564</v>
      </c>
      <c r="C468">
        <v>1</v>
      </c>
      <c r="D468">
        <v>0</v>
      </c>
      <c r="E468">
        <v>1</v>
      </c>
      <c r="F468">
        <v>11</v>
      </c>
      <c r="G468" t="b">
        <v>0</v>
      </c>
      <c r="H468">
        <v>5</v>
      </c>
      <c r="I468">
        <v>1</v>
      </c>
      <c r="J468">
        <v>0.22</v>
      </c>
      <c r="K468">
        <v>0.18179999999999999</v>
      </c>
      <c r="L468">
        <v>0.41</v>
      </c>
      <c r="M468">
        <v>0.4627</v>
      </c>
      <c r="N468">
        <v>6</v>
      </c>
      <c r="O468">
        <v>53</v>
      </c>
      <c r="P468">
        <v>59</v>
      </c>
    </row>
    <row r="469" spans="1:16" x14ac:dyDescent="0.3">
      <c r="A469">
        <v>468</v>
      </c>
      <c r="B469" s="21">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
      <c r="A470">
        <v>469</v>
      </c>
      <c r="B470" s="21">
        <v>40564</v>
      </c>
      <c r="C470">
        <v>1</v>
      </c>
      <c r="D470">
        <v>0</v>
      </c>
      <c r="E470">
        <v>1</v>
      </c>
      <c r="F470">
        <v>13</v>
      </c>
      <c r="G470" t="b">
        <v>0</v>
      </c>
      <c r="H470">
        <v>5</v>
      </c>
      <c r="I470">
        <v>1</v>
      </c>
      <c r="J470">
        <v>0.2</v>
      </c>
      <c r="K470">
        <v>0.1515</v>
      </c>
      <c r="L470">
        <v>0.21</v>
      </c>
      <c r="M470">
        <v>0.58209999999999995</v>
      </c>
      <c r="N470">
        <v>8</v>
      </c>
      <c r="O470">
        <v>65</v>
      </c>
      <c r="P470">
        <v>73</v>
      </c>
    </row>
    <row r="471" spans="1:16" x14ac:dyDescent="0.3">
      <c r="A471">
        <v>470</v>
      </c>
      <c r="B471" s="21">
        <v>40564</v>
      </c>
      <c r="C471">
        <v>1</v>
      </c>
      <c r="D471">
        <v>0</v>
      </c>
      <c r="E471">
        <v>1</v>
      </c>
      <c r="F471">
        <v>14</v>
      </c>
      <c r="G471" t="b">
        <v>0</v>
      </c>
      <c r="H471">
        <v>5</v>
      </c>
      <c r="I471">
        <v>1</v>
      </c>
      <c r="J471">
        <v>0.2</v>
      </c>
      <c r="K471">
        <v>0.1515</v>
      </c>
      <c r="L471">
        <v>0.25</v>
      </c>
      <c r="M471">
        <v>0.52239999999999998</v>
      </c>
      <c r="N471">
        <v>6</v>
      </c>
      <c r="O471">
        <v>56</v>
      </c>
      <c r="P471">
        <v>62</v>
      </c>
    </row>
    <row r="472" spans="1:16" x14ac:dyDescent="0.3">
      <c r="A472">
        <v>471</v>
      </c>
      <c r="B472" s="21">
        <v>40564</v>
      </c>
      <c r="C472">
        <v>1</v>
      </c>
      <c r="D472">
        <v>0</v>
      </c>
      <c r="E472">
        <v>1</v>
      </c>
      <c r="F472">
        <v>15</v>
      </c>
      <c r="G472" t="b">
        <v>0</v>
      </c>
      <c r="H472">
        <v>5</v>
      </c>
      <c r="I472">
        <v>1</v>
      </c>
      <c r="J472">
        <v>0.16</v>
      </c>
      <c r="K472">
        <v>0.1212</v>
      </c>
      <c r="L472">
        <v>0.26</v>
      </c>
      <c r="M472">
        <v>0.44779999999999998</v>
      </c>
      <c r="N472">
        <v>4</v>
      </c>
      <c r="O472">
        <v>61</v>
      </c>
      <c r="P472">
        <v>65</v>
      </c>
    </row>
    <row r="473" spans="1:16" x14ac:dyDescent="0.3">
      <c r="A473">
        <v>472</v>
      </c>
      <c r="B473" s="21">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
      <c r="A474">
        <v>473</v>
      </c>
      <c r="B474" s="2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
      <c r="A475">
        <v>474</v>
      </c>
      <c r="B475" s="21">
        <v>40564</v>
      </c>
      <c r="C475">
        <v>1</v>
      </c>
      <c r="D475">
        <v>0</v>
      </c>
      <c r="E475">
        <v>1</v>
      </c>
      <c r="F475">
        <v>18</v>
      </c>
      <c r="G475" t="b">
        <v>0</v>
      </c>
      <c r="H475">
        <v>5</v>
      </c>
      <c r="I475">
        <v>1</v>
      </c>
      <c r="J475">
        <v>0.12</v>
      </c>
      <c r="K475">
        <v>0.1212</v>
      </c>
      <c r="L475">
        <v>0.3</v>
      </c>
      <c r="M475">
        <v>0.25369999999999998</v>
      </c>
      <c r="N475">
        <v>1</v>
      </c>
      <c r="O475">
        <v>119</v>
      </c>
      <c r="P475">
        <v>120</v>
      </c>
    </row>
    <row r="476" spans="1:16" x14ac:dyDescent="0.3">
      <c r="A476">
        <v>475</v>
      </c>
      <c r="B476" s="21">
        <v>40564</v>
      </c>
      <c r="C476">
        <v>1</v>
      </c>
      <c r="D476">
        <v>0</v>
      </c>
      <c r="E476">
        <v>1</v>
      </c>
      <c r="F476">
        <v>19</v>
      </c>
      <c r="G476" t="b">
        <v>0</v>
      </c>
      <c r="H476">
        <v>5</v>
      </c>
      <c r="I476">
        <v>1</v>
      </c>
      <c r="J476">
        <v>0.12</v>
      </c>
      <c r="K476">
        <v>0.1061</v>
      </c>
      <c r="L476">
        <v>0.3</v>
      </c>
      <c r="M476">
        <v>0.32840000000000003</v>
      </c>
      <c r="N476">
        <v>3</v>
      </c>
      <c r="O476">
        <v>93</v>
      </c>
      <c r="P476">
        <v>96</v>
      </c>
    </row>
    <row r="477" spans="1:16" x14ac:dyDescent="0.3">
      <c r="A477">
        <v>476</v>
      </c>
      <c r="B477" s="21">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
      <c r="A478">
        <v>477</v>
      </c>
      <c r="B478" s="21">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
      <c r="A479">
        <v>478</v>
      </c>
      <c r="B479" s="21">
        <v>40564</v>
      </c>
      <c r="C479">
        <v>1</v>
      </c>
      <c r="D479">
        <v>0</v>
      </c>
      <c r="E479">
        <v>1</v>
      </c>
      <c r="F479">
        <v>22</v>
      </c>
      <c r="G479" t="b">
        <v>0</v>
      </c>
      <c r="H479">
        <v>5</v>
      </c>
      <c r="I479">
        <v>1</v>
      </c>
      <c r="J479">
        <v>0.06</v>
      </c>
      <c r="K479">
        <v>3.0300000000000001E-2</v>
      </c>
      <c r="L479">
        <v>0.41</v>
      </c>
      <c r="M479">
        <v>0.3881</v>
      </c>
      <c r="N479">
        <v>1</v>
      </c>
      <c r="O479">
        <v>33</v>
      </c>
      <c r="P479">
        <v>34</v>
      </c>
    </row>
    <row r="480" spans="1:16" x14ac:dyDescent="0.3">
      <c r="A480">
        <v>479</v>
      </c>
      <c r="B480" s="21">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
      <c r="A481">
        <v>480</v>
      </c>
      <c r="B481" s="21">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
      <c r="A482">
        <v>481</v>
      </c>
      <c r="B482" s="21">
        <v>40565</v>
      </c>
      <c r="C482">
        <v>1</v>
      </c>
      <c r="D482">
        <v>0</v>
      </c>
      <c r="E482">
        <v>1</v>
      </c>
      <c r="F482">
        <v>1</v>
      </c>
      <c r="G482" t="b">
        <v>0</v>
      </c>
      <c r="H482">
        <v>6</v>
      </c>
      <c r="I482">
        <v>2</v>
      </c>
      <c r="J482">
        <v>0.04</v>
      </c>
      <c r="K482">
        <v>0</v>
      </c>
      <c r="L482">
        <v>0.41</v>
      </c>
      <c r="M482">
        <v>0.3881</v>
      </c>
      <c r="N482">
        <v>3</v>
      </c>
      <c r="O482">
        <v>9</v>
      </c>
      <c r="P482">
        <v>12</v>
      </c>
    </row>
    <row r="483" spans="1:16" x14ac:dyDescent="0.3">
      <c r="A483">
        <v>482</v>
      </c>
      <c r="B483" s="2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483</v>
      </c>
      <c r="B484" s="21">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
      <c r="A485">
        <v>484</v>
      </c>
      <c r="B485" s="21">
        <v>40565</v>
      </c>
      <c r="C485">
        <v>1</v>
      </c>
      <c r="D485">
        <v>0</v>
      </c>
      <c r="E485">
        <v>1</v>
      </c>
      <c r="F485">
        <v>4</v>
      </c>
      <c r="G485" t="b">
        <v>0</v>
      </c>
      <c r="H485">
        <v>6</v>
      </c>
      <c r="I485">
        <v>2</v>
      </c>
      <c r="J485">
        <v>0.02</v>
      </c>
      <c r="K485">
        <v>1.52E-2</v>
      </c>
      <c r="L485">
        <v>0.48</v>
      </c>
      <c r="M485">
        <v>0.29849999999999999</v>
      </c>
      <c r="N485">
        <v>0</v>
      </c>
      <c r="O485">
        <v>3</v>
      </c>
      <c r="P485">
        <v>3</v>
      </c>
    </row>
    <row r="486" spans="1:16" x14ac:dyDescent="0.3">
      <c r="A486">
        <v>485</v>
      </c>
      <c r="B486" s="21">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
      <c r="A487">
        <v>486</v>
      </c>
      <c r="B487" s="21">
        <v>40565</v>
      </c>
      <c r="C487">
        <v>1</v>
      </c>
      <c r="D487">
        <v>0</v>
      </c>
      <c r="E487">
        <v>1</v>
      </c>
      <c r="F487">
        <v>7</v>
      </c>
      <c r="G487" t="b">
        <v>0</v>
      </c>
      <c r="H487">
        <v>6</v>
      </c>
      <c r="I487">
        <v>1</v>
      </c>
      <c r="J487">
        <v>0.02</v>
      </c>
      <c r="K487">
        <v>1.52E-2</v>
      </c>
      <c r="L487">
        <v>0.44</v>
      </c>
      <c r="M487">
        <v>0.28360000000000002</v>
      </c>
      <c r="N487">
        <v>0</v>
      </c>
      <c r="O487">
        <v>8</v>
      </c>
      <c r="P487">
        <v>8</v>
      </c>
    </row>
    <row r="488" spans="1:16" x14ac:dyDescent="0.3">
      <c r="A488">
        <v>487</v>
      </c>
      <c r="B488" s="21">
        <v>40565</v>
      </c>
      <c r="C488">
        <v>1</v>
      </c>
      <c r="D488">
        <v>0</v>
      </c>
      <c r="E488">
        <v>1</v>
      </c>
      <c r="F488">
        <v>8</v>
      </c>
      <c r="G488" t="b">
        <v>0</v>
      </c>
      <c r="H488">
        <v>6</v>
      </c>
      <c r="I488">
        <v>1</v>
      </c>
      <c r="J488">
        <v>0.02</v>
      </c>
      <c r="K488">
        <v>0</v>
      </c>
      <c r="L488">
        <v>0.44</v>
      </c>
      <c r="M488">
        <v>0.32840000000000003</v>
      </c>
      <c r="N488">
        <v>1</v>
      </c>
      <c r="O488">
        <v>26</v>
      </c>
      <c r="P488">
        <v>27</v>
      </c>
    </row>
    <row r="489" spans="1:16" x14ac:dyDescent="0.3">
      <c r="A489">
        <v>488</v>
      </c>
      <c r="B489" s="21">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
      <c r="A490">
        <v>489</v>
      </c>
      <c r="B490" s="21">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
      <c r="A491">
        <v>490</v>
      </c>
      <c r="B491" s="21">
        <v>40565</v>
      </c>
      <c r="C491">
        <v>1</v>
      </c>
      <c r="D491">
        <v>0</v>
      </c>
      <c r="E491">
        <v>1</v>
      </c>
      <c r="F491">
        <v>11</v>
      </c>
      <c r="G491" t="b">
        <v>0</v>
      </c>
      <c r="H491">
        <v>6</v>
      </c>
      <c r="I491">
        <v>2</v>
      </c>
      <c r="J491">
        <v>0.06</v>
      </c>
      <c r="K491">
        <v>7.5800000000000006E-2</v>
      </c>
      <c r="L491">
        <v>0.38</v>
      </c>
      <c r="M491">
        <v>0.1343</v>
      </c>
      <c r="N491">
        <v>4</v>
      </c>
      <c r="O491">
        <v>59</v>
      </c>
      <c r="P491">
        <v>63</v>
      </c>
    </row>
    <row r="492" spans="1:16" x14ac:dyDescent="0.3">
      <c r="A492">
        <v>491</v>
      </c>
      <c r="B492" s="21">
        <v>40565</v>
      </c>
      <c r="C492">
        <v>1</v>
      </c>
      <c r="D492">
        <v>0</v>
      </c>
      <c r="E492">
        <v>1</v>
      </c>
      <c r="F492">
        <v>12</v>
      </c>
      <c r="G492" t="b">
        <v>0</v>
      </c>
      <c r="H492">
        <v>6</v>
      </c>
      <c r="I492">
        <v>2</v>
      </c>
      <c r="J492">
        <v>0.06</v>
      </c>
      <c r="K492">
        <v>0.1061</v>
      </c>
      <c r="L492">
        <v>0.38</v>
      </c>
      <c r="M492">
        <v>0.1045</v>
      </c>
      <c r="N492">
        <v>10</v>
      </c>
      <c r="O492">
        <v>60</v>
      </c>
      <c r="P492">
        <v>70</v>
      </c>
    </row>
    <row r="493" spans="1:16" x14ac:dyDescent="0.3">
      <c r="A493">
        <v>492</v>
      </c>
      <c r="B493" s="21">
        <v>40565</v>
      </c>
      <c r="C493">
        <v>1</v>
      </c>
      <c r="D493">
        <v>0</v>
      </c>
      <c r="E493">
        <v>1</v>
      </c>
      <c r="F493">
        <v>13</v>
      </c>
      <c r="G493" t="b">
        <v>0</v>
      </c>
      <c r="H493">
        <v>6</v>
      </c>
      <c r="I493">
        <v>1</v>
      </c>
      <c r="J493">
        <v>0.08</v>
      </c>
      <c r="K493">
        <v>0.16669999999999999</v>
      </c>
      <c r="L493">
        <v>0.35</v>
      </c>
      <c r="M493">
        <v>0</v>
      </c>
      <c r="N493">
        <v>12</v>
      </c>
      <c r="O493">
        <v>72</v>
      </c>
      <c r="P493">
        <v>84</v>
      </c>
    </row>
    <row r="494" spans="1:16" x14ac:dyDescent="0.3">
      <c r="A494">
        <v>493</v>
      </c>
      <c r="B494" s="21">
        <v>40565</v>
      </c>
      <c r="C494">
        <v>1</v>
      </c>
      <c r="D494">
        <v>0</v>
      </c>
      <c r="E494">
        <v>1</v>
      </c>
      <c r="F494">
        <v>14</v>
      </c>
      <c r="G494" t="b">
        <v>0</v>
      </c>
      <c r="H494">
        <v>6</v>
      </c>
      <c r="I494">
        <v>1</v>
      </c>
      <c r="J494">
        <v>0.1</v>
      </c>
      <c r="K494">
        <v>0.13639999999999999</v>
      </c>
      <c r="L494">
        <v>0.33</v>
      </c>
      <c r="M494">
        <v>0.1045</v>
      </c>
      <c r="N494">
        <v>11</v>
      </c>
      <c r="O494">
        <v>64</v>
      </c>
      <c r="P494">
        <v>75</v>
      </c>
    </row>
    <row r="495" spans="1:16" x14ac:dyDescent="0.3">
      <c r="A495">
        <v>494</v>
      </c>
      <c r="B495" s="21">
        <v>40565</v>
      </c>
      <c r="C495">
        <v>1</v>
      </c>
      <c r="D495">
        <v>0</v>
      </c>
      <c r="E495">
        <v>1</v>
      </c>
      <c r="F495">
        <v>15</v>
      </c>
      <c r="G495" t="b">
        <v>0</v>
      </c>
      <c r="H495">
        <v>6</v>
      </c>
      <c r="I495">
        <v>1</v>
      </c>
      <c r="J495">
        <v>0.12</v>
      </c>
      <c r="K495">
        <v>0.1515</v>
      </c>
      <c r="L495">
        <v>0.28000000000000003</v>
      </c>
      <c r="M495">
        <v>0</v>
      </c>
      <c r="N495">
        <v>10</v>
      </c>
      <c r="O495">
        <v>93</v>
      </c>
      <c r="P495">
        <v>103</v>
      </c>
    </row>
    <row r="496" spans="1:16" x14ac:dyDescent="0.3">
      <c r="A496">
        <v>495</v>
      </c>
      <c r="B496" s="2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
      <c r="A497">
        <v>496</v>
      </c>
      <c r="B497" s="21">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
      <c r="A498">
        <v>497</v>
      </c>
      <c r="B498" s="21">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
      <c r="A499">
        <v>498</v>
      </c>
      <c r="B499" s="21">
        <v>40565</v>
      </c>
      <c r="C499">
        <v>1</v>
      </c>
      <c r="D499">
        <v>0</v>
      </c>
      <c r="E499">
        <v>1</v>
      </c>
      <c r="F499">
        <v>19</v>
      </c>
      <c r="G499" t="b">
        <v>0</v>
      </c>
      <c r="H499">
        <v>6</v>
      </c>
      <c r="I499">
        <v>1</v>
      </c>
      <c r="J499">
        <v>0.08</v>
      </c>
      <c r="K499">
        <v>0.1061</v>
      </c>
      <c r="L499">
        <v>0.35</v>
      </c>
      <c r="M499">
        <v>0.1343</v>
      </c>
      <c r="N499">
        <v>6</v>
      </c>
      <c r="O499">
        <v>53</v>
      </c>
      <c r="P499">
        <v>59</v>
      </c>
    </row>
    <row r="500" spans="1:16" x14ac:dyDescent="0.3">
      <c r="A500">
        <v>499</v>
      </c>
      <c r="B500" s="21">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
      <c r="A501">
        <v>500</v>
      </c>
      <c r="B501" s="21">
        <v>40565</v>
      </c>
      <c r="C501">
        <v>1</v>
      </c>
      <c r="D501">
        <v>0</v>
      </c>
      <c r="E501">
        <v>1</v>
      </c>
      <c r="F501">
        <v>21</v>
      </c>
      <c r="G501" t="b">
        <v>0</v>
      </c>
      <c r="H501">
        <v>6</v>
      </c>
      <c r="I501">
        <v>1</v>
      </c>
      <c r="J501">
        <v>0.06</v>
      </c>
      <c r="K501">
        <v>0.1061</v>
      </c>
      <c r="L501">
        <v>0.41</v>
      </c>
      <c r="M501">
        <v>8.9599999999999999E-2</v>
      </c>
      <c r="N501">
        <v>0</v>
      </c>
      <c r="O501">
        <v>39</v>
      </c>
      <c r="P501">
        <v>39</v>
      </c>
    </row>
    <row r="502" spans="1:16" x14ac:dyDescent="0.3">
      <c r="A502">
        <v>501</v>
      </c>
      <c r="B502" s="21">
        <v>40565</v>
      </c>
      <c r="C502">
        <v>1</v>
      </c>
      <c r="D502">
        <v>0</v>
      </c>
      <c r="E502">
        <v>1</v>
      </c>
      <c r="F502">
        <v>22</v>
      </c>
      <c r="G502" t="b">
        <v>0</v>
      </c>
      <c r="H502">
        <v>6</v>
      </c>
      <c r="I502">
        <v>1</v>
      </c>
      <c r="J502">
        <v>0.06</v>
      </c>
      <c r="K502">
        <v>0.1515</v>
      </c>
      <c r="L502">
        <v>0.49</v>
      </c>
      <c r="M502">
        <v>0</v>
      </c>
      <c r="N502">
        <v>7</v>
      </c>
      <c r="O502">
        <v>23</v>
      </c>
      <c r="P502">
        <v>30</v>
      </c>
    </row>
    <row r="503" spans="1:16" x14ac:dyDescent="0.3">
      <c r="A503">
        <v>502</v>
      </c>
      <c r="B503" s="21">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
      <c r="A504">
        <v>503</v>
      </c>
      <c r="B504" s="21">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
      <c r="A505">
        <v>504</v>
      </c>
      <c r="B505" s="21">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
      <c r="A506">
        <v>505</v>
      </c>
      <c r="B506" s="21">
        <v>40566</v>
      </c>
      <c r="C506">
        <v>1</v>
      </c>
      <c r="D506">
        <v>0</v>
      </c>
      <c r="E506">
        <v>1</v>
      </c>
      <c r="F506">
        <v>2</v>
      </c>
      <c r="G506" t="b">
        <v>0</v>
      </c>
      <c r="H506">
        <v>0</v>
      </c>
      <c r="I506">
        <v>1</v>
      </c>
      <c r="J506">
        <v>0.02</v>
      </c>
      <c r="K506">
        <v>6.0600000000000001E-2</v>
      </c>
      <c r="L506">
        <v>0.62</v>
      </c>
      <c r="M506">
        <v>0.1343</v>
      </c>
      <c r="N506">
        <v>3</v>
      </c>
      <c r="O506">
        <v>15</v>
      </c>
      <c r="P506">
        <v>18</v>
      </c>
    </row>
    <row r="507" spans="1:16" x14ac:dyDescent="0.3">
      <c r="A507">
        <v>506</v>
      </c>
      <c r="B507" s="21">
        <v>40566</v>
      </c>
      <c r="C507">
        <v>1</v>
      </c>
      <c r="D507">
        <v>0</v>
      </c>
      <c r="E507">
        <v>1</v>
      </c>
      <c r="F507">
        <v>3</v>
      </c>
      <c r="G507" t="b">
        <v>0</v>
      </c>
      <c r="H507">
        <v>0</v>
      </c>
      <c r="I507">
        <v>1</v>
      </c>
      <c r="J507">
        <v>0.02</v>
      </c>
      <c r="K507">
        <v>6.0600000000000001E-2</v>
      </c>
      <c r="L507">
        <v>0.62</v>
      </c>
      <c r="M507">
        <v>0.1343</v>
      </c>
      <c r="N507">
        <v>1</v>
      </c>
      <c r="O507">
        <v>4</v>
      </c>
      <c r="P507">
        <v>5</v>
      </c>
    </row>
    <row r="508" spans="1:16" x14ac:dyDescent="0.3">
      <c r="A508">
        <v>507</v>
      </c>
      <c r="B508" s="21">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
      <c r="A509">
        <v>508</v>
      </c>
      <c r="B509" s="21">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
      <c r="A510">
        <v>509</v>
      </c>
      <c r="B510" s="21">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
      <c r="A511">
        <v>510</v>
      </c>
      <c r="B511" s="21">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
      <c r="A512">
        <v>511</v>
      </c>
      <c r="B512" s="21">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
      <c r="A513">
        <v>512</v>
      </c>
      <c r="B513" s="21">
        <v>40566</v>
      </c>
      <c r="C513">
        <v>1</v>
      </c>
      <c r="D513">
        <v>0</v>
      </c>
      <c r="E513">
        <v>1</v>
      </c>
      <c r="F513">
        <v>10</v>
      </c>
      <c r="G513" t="b">
        <v>0</v>
      </c>
      <c r="H513">
        <v>0</v>
      </c>
      <c r="I513">
        <v>1</v>
      </c>
      <c r="J513">
        <v>0.14000000000000001</v>
      </c>
      <c r="K513">
        <v>0.1061</v>
      </c>
      <c r="L513">
        <v>0.46</v>
      </c>
      <c r="M513">
        <v>0.3881</v>
      </c>
      <c r="N513">
        <v>7</v>
      </c>
      <c r="O513">
        <v>51</v>
      </c>
      <c r="P513">
        <v>58</v>
      </c>
    </row>
    <row r="514" spans="1:16" x14ac:dyDescent="0.3">
      <c r="A514">
        <v>513</v>
      </c>
      <c r="B514" s="2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
      <c r="A515">
        <v>514</v>
      </c>
      <c r="B515" s="21">
        <v>40566</v>
      </c>
      <c r="C515">
        <v>1</v>
      </c>
      <c r="D515">
        <v>0</v>
      </c>
      <c r="E515">
        <v>1</v>
      </c>
      <c r="F515">
        <v>12</v>
      </c>
      <c r="G515" t="b">
        <v>0</v>
      </c>
      <c r="H515">
        <v>0</v>
      </c>
      <c r="I515">
        <v>1</v>
      </c>
      <c r="J515">
        <v>0.16</v>
      </c>
      <c r="K515">
        <v>0.1212</v>
      </c>
      <c r="L515">
        <v>0.37</v>
      </c>
      <c r="M515">
        <v>0.4627</v>
      </c>
      <c r="N515">
        <v>24</v>
      </c>
      <c r="O515">
        <v>92</v>
      </c>
      <c r="P515">
        <v>116</v>
      </c>
    </row>
    <row r="516" spans="1:16" x14ac:dyDescent="0.3">
      <c r="A516">
        <v>515</v>
      </c>
      <c r="B516" s="21">
        <v>40566</v>
      </c>
      <c r="C516">
        <v>1</v>
      </c>
      <c r="D516">
        <v>0</v>
      </c>
      <c r="E516">
        <v>1</v>
      </c>
      <c r="F516">
        <v>13</v>
      </c>
      <c r="G516" t="b">
        <v>0</v>
      </c>
      <c r="H516">
        <v>0</v>
      </c>
      <c r="I516">
        <v>1</v>
      </c>
      <c r="J516">
        <v>0.14000000000000001</v>
      </c>
      <c r="K516">
        <v>0.1061</v>
      </c>
      <c r="L516">
        <v>0.33</v>
      </c>
      <c r="M516">
        <v>0.3881</v>
      </c>
      <c r="N516">
        <v>12</v>
      </c>
      <c r="O516">
        <v>75</v>
      </c>
      <c r="P516">
        <v>87</v>
      </c>
    </row>
    <row r="517" spans="1:16" x14ac:dyDescent="0.3">
      <c r="A517">
        <v>516</v>
      </c>
      <c r="B517" s="2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
      <c r="A518">
        <v>517</v>
      </c>
      <c r="B518" s="2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
      <c r="A519">
        <v>518</v>
      </c>
      <c r="B519" s="21">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
      <c r="A520">
        <v>519</v>
      </c>
      <c r="B520" s="21">
        <v>40566</v>
      </c>
      <c r="C520">
        <v>1</v>
      </c>
      <c r="D520">
        <v>0</v>
      </c>
      <c r="E520">
        <v>1</v>
      </c>
      <c r="F520">
        <v>17</v>
      </c>
      <c r="G520" t="b">
        <v>0</v>
      </c>
      <c r="H520">
        <v>0</v>
      </c>
      <c r="I520">
        <v>1</v>
      </c>
      <c r="J520">
        <v>0.14000000000000001</v>
      </c>
      <c r="K520">
        <v>0.1061</v>
      </c>
      <c r="L520">
        <v>0.26</v>
      </c>
      <c r="M520">
        <v>0.3881</v>
      </c>
      <c r="N520">
        <v>5</v>
      </c>
      <c r="O520">
        <v>50</v>
      </c>
      <c r="P520">
        <v>55</v>
      </c>
    </row>
    <row r="521" spans="1:16" x14ac:dyDescent="0.3">
      <c r="A521">
        <v>520</v>
      </c>
      <c r="B521" s="21">
        <v>40566</v>
      </c>
      <c r="C521">
        <v>1</v>
      </c>
      <c r="D521">
        <v>0</v>
      </c>
      <c r="E521">
        <v>1</v>
      </c>
      <c r="F521">
        <v>18</v>
      </c>
      <c r="G521" t="b">
        <v>0</v>
      </c>
      <c r="H521">
        <v>0</v>
      </c>
      <c r="I521">
        <v>1</v>
      </c>
      <c r="J521">
        <v>0.12</v>
      </c>
      <c r="K521">
        <v>0.1212</v>
      </c>
      <c r="L521">
        <v>0.3</v>
      </c>
      <c r="M521">
        <v>0.25369999999999998</v>
      </c>
      <c r="N521">
        <v>5</v>
      </c>
      <c r="O521">
        <v>44</v>
      </c>
      <c r="P521">
        <v>49</v>
      </c>
    </row>
    <row r="522" spans="1:16" x14ac:dyDescent="0.3">
      <c r="A522">
        <v>521</v>
      </c>
      <c r="B522" s="21">
        <v>40566</v>
      </c>
      <c r="C522">
        <v>1</v>
      </c>
      <c r="D522">
        <v>0</v>
      </c>
      <c r="E522">
        <v>1</v>
      </c>
      <c r="F522">
        <v>19</v>
      </c>
      <c r="G522" t="b">
        <v>0</v>
      </c>
      <c r="H522">
        <v>0</v>
      </c>
      <c r="I522">
        <v>1</v>
      </c>
      <c r="J522">
        <v>0.12</v>
      </c>
      <c r="K522">
        <v>0.1212</v>
      </c>
      <c r="L522">
        <v>0.3</v>
      </c>
      <c r="M522">
        <v>0.28360000000000002</v>
      </c>
      <c r="N522">
        <v>5</v>
      </c>
      <c r="O522">
        <v>45</v>
      </c>
      <c r="P522">
        <v>50</v>
      </c>
    </row>
    <row r="523" spans="1:16" x14ac:dyDescent="0.3">
      <c r="A523">
        <v>522</v>
      </c>
      <c r="B523" s="21">
        <v>40566</v>
      </c>
      <c r="C523">
        <v>1</v>
      </c>
      <c r="D523">
        <v>0</v>
      </c>
      <c r="E523">
        <v>1</v>
      </c>
      <c r="F523">
        <v>20</v>
      </c>
      <c r="G523" t="b">
        <v>0</v>
      </c>
      <c r="H523">
        <v>0</v>
      </c>
      <c r="I523">
        <v>1</v>
      </c>
      <c r="J523">
        <v>0.1</v>
      </c>
      <c r="K523">
        <v>0.1061</v>
      </c>
      <c r="L523">
        <v>0.36</v>
      </c>
      <c r="M523">
        <v>0.25369999999999998</v>
      </c>
      <c r="N523">
        <v>4</v>
      </c>
      <c r="O523">
        <v>31</v>
      </c>
      <c r="P523">
        <v>35</v>
      </c>
    </row>
    <row r="524" spans="1:16" x14ac:dyDescent="0.3">
      <c r="A524">
        <v>523</v>
      </c>
      <c r="B524" s="21">
        <v>40566</v>
      </c>
      <c r="C524">
        <v>1</v>
      </c>
      <c r="D524">
        <v>0</v>
      </c>
      <c r="E524">
        <v>1</v>
      </c>
      <c r="F524">
        <v>21</v>
      </c>
      <c r="G524" t="b">
        <v>0</v>
      </c>
      <c r="H524">
        <v>0</v>
      </c>
      <c r="I524">
        <v>1</v>
      </c>
      <c r="J524">
        <v>0.1</v>
      </c>
      <c r="K524">
        <v>0.1061</v>
      </c>
      <c r="L524">
        <v>0.36</v>
      </c>
      <c r="M524">
        <v>0.19400000000000001</v>
      </c>
      <c r="N524">
        <v>5</v>
      </c>
      <c r="O524">
        <v>20</v>
      </c>
      <c r="P524">
        <v>25</v>
      </c>
    </row>
    <row r="525" spans="1:16" x14ac:dyDescent="0.3">
      <c r="A525">
        <v>524</v>
      </c>
      <c r="B525" s="21">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
      <c r="A526">
        <v>525</v>
      </c>
      <c r="B526" s="21">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
      <c r="A527">
        <v>526</v>
      </c>
      <c r="B527" s="21">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
      <c r="A528">
        <v>527</v>
      </c>
      <c r="B528" s="21">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
      <c r="A529">
        <v>528</v>
      </c>
      <c r="B529" s="21">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
      <c r="A530">
        <v>529</v>
      </c>
      <c r="B530" s="21">
        <v>40567</v>
      </c>
      <c r="C530">
        <v>1</v>
      </c>
      <c r="D530">
        <v>0</v>
      </c>
      <c r="E530">
        <v>1</v>
      </c>
      <c r="F530">
        <v>4</v>
      </c>
      <c r="G530" t="b">
        <v>0</v>
      </c>
      <c r="H530">
        <v>1</v>
      </c>
      <c r="I530">
        <v>1</v>
      </c>
      <c r="J530">
        <v>0.02</v>
      </c>
      <c r="K530">
        <v>6.0600000000000001E-2</v>
      </c>
      <c r="L530">
        <v>0.48</v>
      </c>
      <c r="M530">
        <v>0.1343</v>
      </c>
      <c r="N530">
        <v>0</v>
      </c>
      <c r="O530">
        <v>1</v>
      </c>
      <c r="P530">
        <v>1</v>
      </c>
    </row>
    <row r="531" spans="1:16" x14ac:dyDescent="0.3">
      <c r="A531">
        <v>530</v>
      </c>
      <c r="B531" s="21">
        <v>40567</v>
      </c>
      <c r="C531">
        <v>1</v>
      </c>
      <c r="D531">
        <v>0</v>
      </c>
      <c r="E531">
        <v>1</v>
      </c>
      <c r="F531">
        <v>5</v>
      </c>
      <c r="G531" t="b">
        <v>0</v>
      </c>
      <c r="H531">
        <v>1</v>
      </c>
      <c r="I531">
        <v>1</v>
      </c>
      <c r="J531">
        <v>0.02</v>
      </c>
      <c r="K531">
        <v>6.0600000000000001E-2</v>
      </c>
      <c r="L531">
        <v>0.48</v>
      </c>
      <c r="M531">
        <v>0.1343</v>
      </c>
      <c r="N531">
        <v>0</v>
      </c>
      <c r="O531">
        <v>5</v>
      </c>
      <c r="P531">
        <v>5</v>
      </c>
    </row>
    <row r="532" spans="1:16" x14ac:dyDescent="0.3">
      <c r="A532">
        <v>531</v>
      </c>
      <c r="B532" s="21">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
      <c r="A533">
        <v>532</v>
      </c>
      <c r="B533" s="21">
        <v>40567</v>
      </c>
      <c r="C533">
        <v>1</v>
      </c>
      <c r="D533">
        <v>0</v>
      </c>
      <c r="E533">
        <v>1</v>
      </c>
      <c r="F533">
        <v>7</v>
      </c>
      <c r="G533" t="b">
        <v>0</v>
      </c>
      <c r="H533">
        <v>1</v>
      </c>
      <c r="I533">
        <v>1</v>
      </c>
      <c r="J533">
        <v>0.02</v>
      </c>
      <c r="K533">
        <v>0.1212</v>
      </c>
      <c r="L533">
        <v>0.48</v>
      </c>
      <c r="M533">
        <v>0</v>
      </c>
      <c r="N533">
        <v>5</v>
      </c>
      <c r="O533">
        <v>79</v>
      </c>
      <c r="P533">
        <v>84</v>
      </c>
    </row>
    <row r="534" spans="1:16" x14ac:dyDescent="0.3">
      <c r="A534">
        <v>533</v>
      </c>
      <c r="B534" s="21">
        <v>40567</v>
      </c>
      <c r="C534">
        <v>1</v>
      </c>
      <c r="D534">
        <v>0</v>
      </c>
      <c r="E534">
        <v>1</v>
      </c>
      <c r="F534">
        <v>8</v>
      </c>
      <c r="G534" t="b">
        <v>0</v>
      </c>
      <c r="H534">
        <v>1</v>
      </c>
      <c r="I534">
        <v>1</v>
      </c>
      <c r="J534">
        <v>0.04</v>
      </c>
      <c r="K534">
        <v>0.13639999999999999</v>
      </c>
      <c r="L534">
        <v>0.49</v>
      </c>
      <c r="M534">
        <v>0</v>
      </c>
      <c r="N534">
        <v>6</v>
      </c>
      <c r="O534">
        <v>171</v>
      </c>
      <c r="P534">
        <v>177</v>
      </c>
    </row>
    <row r="535" spans="1:16" x14ac:dyDescent="0.3">
      <c r="A535">
        <v>534</v>
      </c>
      <c r="B535" s="21">
        <v>40567</v>
      </c>
      <c r="C535">
        <v>1</v>
      </c>
      <c r="D535">
        <v>0</v>
      </c>
      <c r="E535">
        <v>1</v>
      </c>
      <c r="F535">
        <v>9</v>
      </c>
      <c r="G535" t="b">
        <v>0</v>
      </c>
      <c r="H535">
        <v>1</v>
      </c>
      <c r="I535">
        <v>1</v>
      </c>
      <c r="J535">
        <v>0.06</v>
      </c>
      <c r="K535">
        <v>0.1515</v>
      </c>
      <c r="L535">
        <v>0.41</v>
      </c>
      <c r="M535">
        <v>0</v>
      </c>
      <c r="N535">
        <v>4</v>
      </c>
      <c r="O535">
        <v>98</v>
      </c>
      <c r="P535">
        <v>102</v>
      </c>
    </row>
    <row r="536" spans="1:16" x14ac:dyDescent="0.3">
      <c r="A536">
        <v>535</v>
      </c>
      <c r="B536" s="21">
        <v>40567</v>
      </c>
      <c r="C536">
        <v>1</v>
      </c>
      <c r="D536">
        <v>0</v>
      </c>
      <c r="E536">
        <v>1</v>
      </c>
      <c r="F536">
        <v>10</v>
      </c>
      <c r="G536" t="b">
        <v>0</v>
      </c>
      <c r="H536">
        <v>1</v>
      </c>
      <c r="I536">
        <v>1</v>
      </c>
      <c r="J536">
        <v>0.1</v>
      </c>
      <c r="K536">
        <v>0.13639999999999999</v>
      </c>
      <c r="L536">
        <v>0.42</v>
      </c>
      <c r="M536">
        <v>0</v>
      </c>
      <c r="N536">
        <v>6</v>
      </c>
      <c r="O536">
        <v>34</v>
      </c>
      <c r="P536">
        <v>40</v>
      </c>
    </row>
    <row r="537" spans="1:16" x14ac:dyDescent="0.3">
      <c r="A537">
        <v>536</v>
      </c>
      <c r="B537" s="21">
        <v>40567</v>
      </c>
      <c r="C537">
        <v>1</v>
      </c>
      <c r="D537">
        <v>0</v>
      </c>
      <c r="E537">
        <v>1</v>
      </c>
      <c r="F537">
        <v>11</v>
      </c>
      <c r="G537" t="b">
        <v>0</v>
      </c>
      <c r="H537">
        <v>1</v>
      </c>
      <c r="I537">
        <v>1</v>
      </c>
      <c r="J537">
        <v>0.1</v>
      </c>
      <c r="K537">
        <v>0.1212</v>
      </c>
      <c r="L537">
        <v>0.46</v>
      </c>
      <c r="M537">
        <v>0.1343</v>
      </c>
      <c r="N537">
        <v>3</v>
      </c>
      <c r="O537">
        <v>43</v>
      </c>
      <c r="P537">
        <v>46</v>
      </c>
    </row>
    <row r="538" spans="1:16" x14ac:dyDescent="0.3">
      <c r="A538">
        <v>537</v>
      </c>
      <c r="B538" s="21">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
      <c r="A539">
        <v>538</v>
      </c>
      <c r="B539" s="2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
      <c r="A540">
        <v>539</v>
      </c>
      <c r="B540" s="2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
      <c r="A541">
        <v>540</v>
      </c>
      <c r="B541" s="21">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
      <c r="A542">
        <v>541</v>
      </c>
      <c r="B542" s="21">
        <v>40567</v>
      </c>
      <c r="C542">
        <v>1</v>
      </c>
      <c r="D542">
        <v>0</v>
      </c>
      <c r="E542">
        <v>1</v>
      </c>
      <c r="F542">
        <v>16</v>
      </c>
      <c r="G542" t="b">
        <v>0</v>
      </c>
      <c r="H542">
        <v>1</v>
      </c>
      <c r="I542">
        <v>1</v>
      </c>
      <c r="J542">
        <v>0.16</v>
      </c>
      <c r="K542">
        <v>0.1515</v>
      </c>
      <c r="L542">
        <v>0.47</v>
      </c>
      <c r="M542">
        <v>0.25369999999999998</v>
      </c>
      <c r="N542">
        <v>4</v>
      </c>
      <c r="O542">
        <v>66</v>
      </c>
      <c r="P542">
        <v>70</v>
      </c>
    </row>
    <row r="543" spans="1:16" x14ac:dyDescent="0.3">
      <c r="A543">
        <v>542</v>
      </c>
      <c r="B543" s="21">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
      <c r="A544">
        <v>543</v>
      </c>
      <c r="B544" s="2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
      <c r="A545">
        <v>544</v>
      </c>
      <c r="B545" s="21">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
      <c r="A546">
        <v>545</v>
      </c>
      <c r="B546" s="2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
      <c r="A547">
        <v>546</v>
      </c>
      <c r="B547" s="21">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
      <c r="A548">
        <v>547</v>
      </c>
      <c r="B548" s="2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
      <c r="A549">
        <v>548</v>
      </c>
      <c r="B549" s="21">
        <v>40567</v>
      </c>
      <c r="C549">
        <v>1</v>
      </c>
      <c r="D549">
        <v>0</v>
      </c>
      <c r="E549">
        <v>1</v>
      </c>
      <c r="F549">
        <v>23</v>
      </c>
      <c r="G549" t="b">
        <v>0</v>
      </c>
      <c r="H549">
        <v>1</v>
      </c>
      <c r="I549">
        <v>2</v>
      </c>
      <c r="J549">
        <v>0.16</v>
      </c>
      <c r="K549">
        <v>0.1515</v>
      </c>
      <c r="L549">
        <v>0.64</v>
      </c>
      <c r="M549">
        <v>0.25369999999999998</v>
      </c>
      <c r="N549">
        <v>3</v>
      </c>
      <c r="O549">
        <v>21</v>
      </c>
      <c r="P549">
        <v>24</v>
      </c>
    </row>
    <row r="550" spans="1:16" x14ac:dyDescent="0.3">
      <c r="A550">
        <v>549</v>
      </c>
      <c r="B550" s="21">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
      <c r="A551">
        <v>550</v>
      </c>
      <c r="B551" s="21">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
      <c r="A552">
        <v>551</v>
      </c>
      <c r="B552" s="21">
        <v>40568</v>
      </c>
      <c r="C552">
        <v>1</v>
      </c>
      <c r="D552">
        <v>0</v>
      </c>
      <c r="E552">
        <v>1</v>
      </c>
      <c r="F552">
        <v>2</v>
      </c>
      <c r="G552" t="b">
        <v>0</v>
      </c>
      <c r="H552">
        <v>2</v>
      </c>
      <c r="I552">
        <v>1</v>
      </c>
      <c r="J552">
        <v>0.16</v>
      </c>
      <c r="K552">
        <v>0.1515</v>
      </c>
      <c r="L552">
        <v>0.69</v>
      </c>
      <c r="M552">
        <v>0.22389999999999999</v>
      </c>
      <c r="N552">
        <v>0</v>
      </c>
      <c r="O552">
        <v>2</v>
      </c>
      <c r="P552">
        <v>2</v>
      </c>
    </row>
    <row r="553" spans="1:16" x14ac:dyDescent="0.3">
      <c r="A553">
        <v>552</v>
      </c>
      <c r="B553" s="21">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
      <c r="A554">
        <v>553</v>
      </c>
      <c r="B554" s="2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
      <c r="A555">
        <v>554</v>
      </c>
      <c r="B555" s="21">
        <v>40568</v>
      </c>
      <c r="C555">
        <v>1</v>
      </c>
      <c r="D555">
        <v>0</v>
      </c>
      <c r="E555">
        <v>1</v>
      </c>
      <c r="F555">
        <v>6</v>
      </c>
      <c r="G555" t="b">
        <v>0</v>
      </c>
      <c r="H555">
        <v>2</v>
      </c>
      <c r="I555">
        <v>1</v>
      </c>
      <c r="J555">
        <v>0.16</v>
      </c>
      <c r="K555">
        <v>0.18179999999999999</v>
      </c>
      <c r="L555">
        <v>0.74</v>
      </c>
      <c r="M555">
        <v>0.1045</v>
      </c>
      <c r="N555">
        <v>1</v>
      </c>
      <c r="O555">
        <v>35</v>
      </c>
      <c r="P555">
        <v>36</v>
      </c>
    </row>
    <row r="556" spans="1:16" x14ac:dyDescent="0.3">
      <c r="A556">
        <v>555</v>
      </c>
      <c r="B556" s="21">
        <v>40568</v>
      </c>
      <c r="C556">
        <v>1</v>
      </c>
      <c r="D556">
        <v>0</v>
      </c>
      <c r="E556">
        <v>1</v>
      </c>
      <c r="F556">
        <v>7</v>
      </c>
      <c r="G556" t="b">
        <v>0</v>
      </c>
      <c r="H556">
        <v>2</v>
      </c>
      <c r="I556">
        <v>1</v>
      </c>
      <c r="J556">
        <v>0.16</v>
      </c>
      <c r="K556">
        <v>0.1515</v>
      </c>
      <c r="L556">
        <v>0.74</v>
      </c>
      <c r="M556">
        <v>0.22389999999999999</v>
      </c>
      <c r="N556">
        <v>5</v>
      </c>
      <c r="O556">
        <v>103</v>
      </c>
      <c r="P556">
        <v>108</v>
      </c>
    </row>
    <row r="557" spans="1:16" x14ac:dyDescent="0.3">
      <c r="A557">
        <v>556</v>
      </c>
      <c r="B557" s="21">
        <v>40568</v>
      </c>
      <c r="C557">
        <v>1</v>
      </c>
      <c r="D557">
        <v>0</v>
      </c>
      <c r="E557">
        <v>1</v>
      </c>
      <c r="F557">
        <v>8</v>
      </c>
      <c r="G557" t="b">
        <v>0</v>
      </c>
      <c r="H557">
        <v>2</v>
      </c>
      <c r="I557">
        <v>2</v>
      </c>
      <c r="J557">
        <v>0.16</v>
      </c>
      <c r="K557">
        <v>0.18179999999999999</v>
      </c>
      <c r="L557">
        <v>0.74</v>
      </c>
      <c r="M557">
        <v>0.1343</v>
      </c>
      <c r="N557">
        <v>5</v>
      </c>
      <c r="O557">
        <v>233</v>
      </c>
      <c r="P557">
        <v>238</v>
      </c>
    </row>
    <row r="558" spans="1:16" x14ac:dyDescent="0.3">
      <c r="A558">
        <v>557</v>
      </c>
      <c r="B558" s="21">
        <v>40568</v>
      </c>
      <c r="C558">
        <v>1</v>
      </c>
      <c r="D558">
        <v>0</v>
      </c>
      <c r="E558">
        <v>1</v>
      </c>
      <c r="F558">
        <v>9</v>
      </c>
      <c r="G558" t="b">
        <v>0</v>
      </c>
      <c r="H558">
        <v>2</v>
      </c>
      <c r="I558">
        <v>2</v>
      </c>
      <c r="J558">
        <v>0.2</v>
      </c>
      <c r="K558">
        <v>0.2273</v>
      </c>
      <c r="L558">
        <v>0.64</v>
      </c>
      <c r="M558">
        <v>8.9599999999999999E-2</v>
      </c>
      <c r="N558">
        <v>10</v>
      </c>
      <c r="O558">
        <v>134</v>
      </c>
      <c r="P558">
        <v>144</v>
      </c>
    </row>
    <row r="559" spans="1:16" x14ac:dyDescent="0.3">
      <c r="A559">
        <v>558</v>
      </c>
      <c r="B559" s="21">
        <v>40568</v>
      </c>
      <c r="C559">
        <v>1</v>
      </c>
      <c r="D559">
        <v>0</v>
      </c>
      <c r="E559">
        <v>1</v>
      </c>
      <c r="F559">
        <v>10</v>
      </c>
      <c r="G559" t="b">
        <v>0</v>
      </c>
      <c r="H559">
        <v>2</v>
      </c>
      <c r="I559">
        <v>2</v>
      </c>
      <c r="J559">
        <v>0.22</v>
      </c>
      <c r="K559">
        <v>0.2424</v>
      </c>
      <c r="L559">
        <v>0.6</v>
      </c>
      <c r="M559">
        <v>0.1045</v>
      </c>
      <c r="N559">
        <v>6</v>
      </c>
      <c r="O559">
        <v>49</v>
      </c>
      <c r="P559">
        <v>55</v>
      </c>
    </row>
    <row r="560" spans="1:16" x14ac:dyDescent="0.3">
      <c r="A560">
        <v>559</v>
      </c>
      <c r="B560" s="21">
        <v>40568</v>
      </c>
      <c r="C560">
        <v>1</v>
      </c>
      <c r="D560">
        <v>0</v>
      </c>
      <c r="E560">
        <v>1</v>
      </c>
      <c r="F560">
        <v>11</v>
      </c>
      <c r="G560" t="b">
        <v>0</v>
      </c>
      <c r="H560">
        <v>2</v>
      </c>
      <c r="I560">
        <v>2</v>
      </c>
      <c r="J560">
        <v>0.24</v>
      </c>
      <c r="K560">
        <v>0.2424</v>
      </c>
      <c r="L560">
        <v>0.6</v>
      </c>
      <c r="M560">
        <v>0.1343</v>
      </c>
      <c r="N560">
        <v>6</v>
      </c>
      <c r="O560">
        <v>55</v>
      </c>
      <c r="P560">
        <v>61</v>
      </c>
    </row>
    <row r="561" spans="1:16" x14ac:dyDescent="0.3">
      <c r="A561">
        <v>560</v>
      </c>
      <c r="B561" s="2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
      <c r="A562">
        <v>561</v>
      </c>
      <c r="B562" s="21">
        <v>40568</v>
      </c>
      <c r="C562">
        <v>1</v>
      </c>
      <c r="D562">
        <v>0</v>
      </c>
      <c r="E562">
        <v>1</v>
      </c>
      <c r="F562">
        <v>13</v>
      </c>
      <c r="G562" t="b">
        <v>0</v>
      </c>
      <c r="H562">
        <v>2</v>
      </c>
      <c r="I562">
        <v>2</v>
      </c>
      <c r="J562">
        <v>0.26</v>
      </c>
      <c r="K562">
        <v>0.2727</v>
      </c>
      <c r="L562">
        <v>0.56000000000000005</v>
      </c>
      <c r="M562">
        <v>0.1343</v>
      </c>
      <c r="N562">
        <v>21</v>
      </c>
      <c r="O562">
        <v>72</v>
      </c>
      <c r="P562">
        <v>93</v>
      </c>
    </row>
    <row r="563" spans="1:16" x14ac:dyDescent="0.3">
      <c r="A563">
        <v>562</v>
      </c>
      <c r="B563" s="21">
        <v>40568</v>
      </c>
      <c r="C563">
        <v>1</v>
      </c>
      <c r="D563">
        <v>0</v>
      </c>
      <c r="E563">
        <v>1</v>
      </c>
      <c r="F563">
        <v>14</v>
      </c>
      <c r="G563" t="b">
        <v>0</v>
      </c>
      <c r="H563">
        <v>2</v>
      </c>
      <c r="I563">
        <v>2</v>
      </c>
      <c r="J563">
        <v>0.3</v>
      </c>
      <c r="K563">
        <v>0.33329999999999999</v>
      </c>
      <c r="L563">
        <v>0.45</v>
      </c>
      <c r="M563">
        <v>0</v>
      </c>
      <c r="N563">
        <v>11</v>
      </c>
      <c r="O563">
        <v>57</v>
      </c>
      <c r="P563">
        <v>68</v>
      </c>
    </row>
    <row r="564" spans="1:16" x14ac:dyDescent="0.3">
      <c r="A564">
        <v>563</v>
      </c>
      <c r="B564" s="21">
        <v>40568</v>
      </c>
      <c r="C564">
        <v>1</v>
      </c>
      <c r="D564">
        <v>0</v>
      </c>
      <c r="E564">
        <v>1</v>
      </c>
      <c r="F564">
        <v>15</v>
      </c>
      <c r="G564" t="b">
        <v>0</v>
      </c>
      <c r="H564">
        <v>2</v>
      </c>
      <c r="I564">
        <v>2</v>
      </c>
      <c r="J564">
        <v>0.32</v>
      </c>
      <c r="K564">
        <v>0.34849999999999998</v>
      </c>
      <c r="L564">
        <v>0.42</v>
      </c>
      <c r="M564">
        <v>0</v>
      </c>
      <c r="N564">
        <v>21</v>
      </c>
      <c r="O564">
        <v>63</v>
      </c>
      <c r="P564">
        <v>84</v>
      </c>
    </row>
    <row r="565" spans="1:16" x14ac:dyDescent="0.3">
      <c r="A565">
        <v>564</v>
      </c>
      <c r="B565" s="21">
        <v>40568</v>
      </c>
      <c r="C565">
        <v>1</v>
      </c>
      <c r="D565">
        <v>0</v>
      </c>
      <c r="E565">
        <v>1</v>
      </c>
      <c r="F565">
        <v>16</v>
      </c>
      <c r="G565" t="b">
        <v>0</v>
      </c>
      <c r="H565">
        <v>2</v>
      </c>
      <c r="I565">
        <v>2</v>
      </c>
      <c r="J565">
        <v>0.32</v>
      </c>
      <c r="K565">
        <v>0.34849999999999998</v>
      </c>
      <c r="L565">
        <v>0.42</v>
      </c>
      <c r="M565">
        <v>0</v>
      </c>
      <c r="N565">
        <v>14</v>
      </c>
      <c r="O565">
        <v>102</v>
      </c>
      <c r="P565">
        <v>116</v>
      </c>
    </row>
    <row r="566" spans="1:16" x14ac:dyDescent="0.3">
      <c r="A566">
        <v>565</v>
      </c>
      <c r="B566" s="21">
        <v>40568</v>
      </c>
      <c r="C566">
        <v>1</v>
      </c>
      <c r="D566">
        <v>0</v>
      </c>
      <c r="E566">
        <v>1</v>
      </c>
      <c r="F566">
        <v>17</v>
      </c>
      <c r="G566" t="b">
        <v>0</v>
      </c>
      <c r="H566">
        <v>2</v>
      </c>
      <c r="I566">
        <v>1</v>
      </c>
      <c r="J566">
        <v>0.3</v>
      </c>
      <c r="K566">
        <v>0.33329999999999999</v>
      </c>
      <c r="L566">
        <v>0.45</v>
      </c>
      <c r="M566">
        <v>0</v>
      </c>
      <c r="N566">
        <v>14</v>
      </c>
      <c r="O566">
        <v>208</v>
      </c>
      <c r="P566">
        <v>222</v>
      </c>
    </row>
    <row r="567" spans="1:16" x14ac:dyDescent="0.3">
      <c r="A567">
        <v>566</v>
      </c>
      <c r="B567" s="21">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
      <c r="A568">
        <v>567</v>
      </c>
      <c r="B568" s="21">
        <v>40568</v>
      </c>
      <c r="C568">
        <v>1</v>
      </c>
      <c r="D568">
        <v>0</v>
      </c>
      <c r="E568">
        <v>1</v>
      </c>
      <c r="F568">
        <v>19</v>
      </c>
      <c r="G568" t="b">
        <v>0</v>
      </c>
      <c r="H568">
        <v>2</v>
      </c>
      <c r="I568">
        <v>2</v>
      </c>
      <c r="J568">
        <v>0.26</v>
      </c>
      <c r="K568">
        <v>0.2576</v>
      </c>
      <c r="L568">
        <v>0.65</v>
      </c>
      <c r="M568">
        <v>0.16420000000000001</v>
      </c>
      <c r="N568">
        <v>13</v>
      </c>
      <c r="O568">
        <v>133</v>
      </c>
      <c r="P568">
        <v>146</v>
      </c>
    </row>
    <row r="569" spans="1:16" x14ac:dyDescent="0.3">
      <c r="A569">
        <v>568</v>
      </c>
      <c r="B569" s="21">
        <v>40568</v>
      </c>
      <c r="C569">
        <v>1</v>
      </c>
      <c r="D569">
        <v>0</v>
      </c>
      <c r="E569">
        <v>1</v>
      </c>
      <c r="F569">
        <v>20</v>
      </c>
      <c r="G569" t="b">
        <v>0</v>
      </c>
      <c r="H569">
        <v>2</v>
      </c>
      <c r="I569">
        <v>1</v>
      </c>
      <c r="J569">
        <v>0.24</v>
      </c>
      <c r="K569">
        <v>0.2273</v>
      </c>
      <c r="L569">
        <v>0.65</v>
      </c>
      <c r="M569">
        <v>0.19400000000000001</v>
      </c>
      <c r="N569">
        <v>16</v>
      </c>
      <c r="O569">
        <v>103</v>
      </c>
      <c r="P569">
        <v>119</v>
      </c>
    </row>
    <row r="570" spans="1:16" x14ac:dyDescent="0.3">
      <c r="A570">
        <v>569</v>
      </c>
      <c r="B570" s="21">
        <v>40568</v>
      </c>
      <c r="C570">
        <v>1</v>
      </c>
      <c r="D570">
        <v>0</v>
      </c>
      <c r="E570">
        <v>1</v>
      </c>
      <c r="F570">
        <v>21</v>
      </c>
      <c r="G570" t="b">
        <v>0</v>
      </c>
      <c r="H570">
        <v>2</v>
      </c>
      <c r="I570">
        <v>1</v>
      </c>
      <c r="J570">
        <v>0.24</v>
      </c>
      <c r="K570">
        <v>0.2273</v>
      </c>
      <c r="L570">
        <v>0.65</v>
      </c>
      <c r="M570">
        <v>0.19400000000000001</v>
      </c>
      <c r="N570">
        <v>5</v>
      </c>
      <c r="O570">
        <v>40</v>
      </c>
      <c r="P570">
        <v>45</v>
      </c>
    </row>
    <row r="571" spans="1:16" x14ac:dyDescent="0.3">
      <c r="A571">
        <v>570</v>
      </c>
      <c r="B571" s="21">
        <v>40568</v>
      </c>
      <c r="C571">
        <v>1</v>
      </c>
      <c r="D571">
        <v>0</v>
      </c>
      <c r="E571">
        <v>1</v>
      </c>
      <c r="F571">
        <v>22</v>
      </c>
      <c r="G571" t="b">
        <v>0</v>
      </c>
      <c r="H571">
        <v>2</v>
      </c>
      <c r="I571">
        <v>1</v>
      </c>
      <c r="J571">
        <v>0.22</v>
      </c>
      <c r="K571">
        <v>0.2273</v>
      </c>
      <c r="L571">
        <v>0.64</v>
      </c>
      <c r="M571">
        <v>0.16420000000000001</v>
      </c>
      <c r="N571">
        <v>4</v>
      </c>
      <c r="O571">
        <v>49</v>
      </c>
      <c r="P571">
        <v>53</v>
      </c>
    </row>
    <row r="572" spans="1:16" x14ac:dyDescent="0.3">
      <c r="A572">
        <v>571</v>
      </c>
      <c r="B572" s="21">
        <v>40568</v>
      </c>
      <c r="C572">
        <v>1</v>
      </c>
      <c r="D572">
        <v>0</v>
      </c>
      <c r="E572">
        <v>1</v>
      </c>
      <c r="F572">
        <v>23</v>
      </c>
      <c r="G572" t="b">
        <v>0</v>
      </c>
      <c r="H572">
        <v>2</v>
      </c>
      <c r="I572">
        <v>2</v>
      </c>
      <c r="J572">
        <v>0.22</v>
      </c>
      <c r="K572">
        <v>0.2273</v>
      </c>
      <c r="L572">
        <v>0.64</v>
      </c>
      <c r="M572">
        <v>0.16420000000000001</v>
      </c>
      <c r="N572">
        <v>3</v>
      </c>
      <c r="O572">
        <v>37</v>
      </c>
      <c r="P572">
        <v>40</v>
      </c>
    </row>
    <row r="573" spans="1:16" x14ac:dyDescent="0.3">
      <c r="A573">
        <v>572</v>
      </c>
      <c r="B573" s="21">
        <v>40569</v>
      </c>
      <c r="C573">
        <v>1</v>
      </c>
      <c r="D573">
        <v>0</v>
      </c>
      <c r="E573">
        <v>1</v>
      </c>
      <c r="F573">
        <v>0</v>
      </c>
      <c r="G573" t="b">
        <v>0</v>
      </c>
      <c r="H573">
        <v>3</v>
      </c>
      <c r="I573">
        <v>2</v>
      </c>
      <c r="J573">
        <v>0.22</v>
      </c>
      <c r="K573">
        <v>0.2273</v>
      </c>
      <c r="L573">
        <v>0.69</v>
      </c>
      <c r="M573">
        <v>0.1343</v>
      </c>
      <c r="N573">
        <v>3</v>
      </c>
      <c r="O573">
        <v>14</v>
      </c>
      <c r="P573">
        <v>17</v>
      </c>
    </row>
    <row r="574" spans="1:16" x14ac:dyDescent="0.3">
      <c r="A574">
        <v>573</v>
      </c>
      <c r="B574" s="21">
        <v>40569</v>
      </c>
      <c r="C574">
        <v>1</v>
      </c>
      <c r="D574">
        <v>0</v>
      </c>
      <c r="E574">
        <v>1</v>
      </c>
      <c r="F574">
        <v>1</v>
      </c>
      <c r="G574" t="b">
        <v>0</v>
      </c>
      <c r="H574">
        <v>3</v>
      </c>
      <c r="I574">
        <v>2</v>
      </c>
      <c r="J574">
        <v>0.24</v>
      </c>
      <c r="K574">
        <v>0.2424</v>
      </c>
      <c r="L574">
        <v>0.65</v>
      </c>
      <c r="M574">
        <v>0.1343</v>
      </c>
      <c r="N574">
        <v>0</v>
      </c>
      <c r="O574">
        <v>5</v>
      </c>
      <c r="P574">
        <v>5</v>
      </c>
    </row>
    <row r="575" spans="1:16" x14ac:dyDescent="0.3">
      <c r="A575">
        <v>574</v>
      </c>
      <c r="B575" s="21">
        <v>40569</v>
      </c>
      <c r="C575">
        <v>1</v>
      </c>
      <c r="D575">
        <v>0</v>
      </c>
      <c r="E575">
        <v>1</v>
      </c>
      <c r="F575">
        <v>2</v>
      </c>
      <c r="G575" t="b">
        <v>0</v>
      </c>
      <c r="H575">
        <v>3</v>
      </c>
      <c r="I575">
        <v>3</v>
      </c>
      <c r="J575">
        <v>0.22</v>
      </c>
      <c r="K575">
        <v>0.2273</v>
      </c>
      <c r="L575">
        <v>0.69</v>
      </c>
      <c r="M575">
        <v>0.19400000000000001</v>
      </c>
      <c r="N575">
        <v>3</v>
      </c>
      <c r="O575">
        <v>7</v>
      </c>
      <c r="P575">
        <v>10</v>
      </c>
    </row>
    <row r="576" spans="1:16" x14ac:dyDescent="0.3">
      <c r="A576">
        <v>575</v>
      </c>
      <c r="B576" s="21">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
      <c r="A577">
        <v>576</v>
      </c>
      <c r="B577" s="21">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
      <c r="A578">
        <v>577</v>
      </c>
      <c r="B578" s="21">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
      <c r="A579">
        <v>578</v>
      </c>
      <c r="B579" s="21">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
      <c r="A580">
        <v>579</v>
      </c>
      <c r="B580" s="21">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
      <c r="A581">
        <v>580</v>
      </c>
      <c r="B581" s="21">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
      <c r="A582">
        <v>581</v>
      </c>
      <c r="B582" s="21">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
      <c r="A583">
        <v>582</v>
      </c>
      <c r="B583" s="21">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
      <c r="A584">
        <v>583</v>
      </c>
      <c r="B584" s="21">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
      <c r="A585">
        <v>584</v>
      </c>
      <c r="B585" s="21">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
      <c r="A586">
        <v>585</v>
      </c>
      <c r="B586" s="21">
        <v>40569</v>
      </c>
      <c r="C586">
        <v>1</v>
      </c>
      <c r="D586">
        <v>0</v>
      </c>
      <c r="E586">
        <v>1</v>
      </c>
      <c r="F586">
        <v>15</v>
      </c>
      <c r="G586" t="b">
        <v>0</v>
      </c>
      <c r="H586">
        <v>3</v>
      </c>
      <c r="I586">
        <v>3</v>
      </c>
      <c r="J586">
        <v>0.22</v>
      </c>
      <c r="K586">
        <v>0.18179999999999999</v>
      </c>
      <c r="L586">
        <v>0.93</v>
      </c>
      <c r="M586">
        <v>0.4627</v>
      </c>
      <c r="N586">
        <v>1</v>
      </c>
      <c r="O586">
        <v>42</v>
      </c>
      <c r="P586">
        <v>43</v>
      </c>
    </row>
    <row r="587" spans="1:16" x14ac:dyDescent="0.3">
      <c r="A587">
        <v>586</v>
      </c>
      <c r="B587" s="21">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
      <c r="A588">
        <v>587</v>
      </c>
      <c r="B588" s="21">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
      <c r="A589">
        <v>588</v>
      </c>
      <c r="B589" s="21">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
      <c r="A590">
        <v>589</v>
      </c>
      <c r="B590" s="21">
        <v>40570</v>
      </c>
      <c r="C590">
        <v>1</v>
      </c>
      <c r="D590">
        <v>0</v>
      </c>
      <c r="E590">
        <v>1</v>
      </c>
      <c r="F590">
        <v>17</v>
      </c>
      <c r="G590" t="b">
        <v>0</v>
      </c>
      <c r="H590">
        <v>4</v>
      </c>
      <c r="I590">
        <v>1</v>
      </c>
      <c r="J590">
        <v>0.22</v>
      </c>
      <c r="K590">
        <v>0.2424</v>
      </c>
      <c r="L590">
        <v>0.55000000000000004</v>
      </c>
      <c r="M590">
        <v>0.1045</v>
      </c>
      <c r="N590">
        <v>2</v>
      </c>
      <c r="O590">
        <v>82</v>
      </c>
      <c r="P590">
        <v>84</v>
      </c>
    </row>
    <row r="591" spans="1:16" x14ac:dyDescent="0.3">
      <c r="A591">
        <v>590</v>
      </c>
      <c r="B591" s="21">
        <v>40570</v>
      </c>
      <c r="C591">
        <v>1</v>
      </c>
      <c r="D591">
        <v>0</v>
      </c>
      <c r="E591">
        <v>1</v>
      </c>
      <c r="F591">
        <v>18</v>
      </c>
      <c r="G591" t="b">
        <v>0</v>
      </c>
      <c r="H591">
        <v>4</v>
      </c>
      <c r="I591">
        <v>1</v>
      </c>
      <c r="J591">
        <v>0.2</v>
      </c>
      <c r="K591">
        <v>0.2273</v>
      </c>
      <c r="L591">
        <v>0.69</v>
      </c>
      <c r="M591">
        <v>8.9599999999999999E-2</v>
      </c>
      <c r="N591">
        <v>3</v>
      </c>
      <c r="O591">
        <v>101</v>
      </c>
      <c r="P591">
        <v>104</v>
      </c>
    </row>
    <row r="592" spans="1:16" x14ac:dyDescent="0.3">
      <c r="A592">
        <v>591</v>
      </c>
      <c r="B592" s="21">
        <v>40570</v>
      </c>
      <c r="C592">
        <v>1</v>
      </c>
      <c r="D592">
        <v>0</v>
      </c>
      <c r="E592">
        <v>1</v>
      </c>
      <c r="F592">
        <v>19</v>
      </c>
      <c r="G592" t="b">
        <v>0</v>
      </c>
      <c r="H592">
        <v>4</v>
      </c>
      <c r="I592">
        <v>1</v>
      </c>
      <c r="J592">
        <v>0.2</v>
      </c>
      <c r="K592">
        <v>0.2273</v>
      </c>
      <c r="L592">
        <v>0.69</v>
      </c>
      <c r="M592">
        <v>8.9599999999999999E-2</v>
      </c>
      <c r="N592">
        <v>3</v>
      </c>
      <c r="O592">
        <v>76</v>
      </c>
      <c r="P592">
        <v>79</v>
      </c>
    </row>
    <row r="593" spans="1:16" x14ac:dyDescent="0.3">
      <c r="A593">
        <v>592</v>
      </c>
      <c r="B593" s="21">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
      <c r="A594">
        <v>593</v>
      </c>
      <c r="B594" s="21">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
      <c r="A595">
        <v>594</v>
      </c>
      <c r="B595" s="21">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
      <c r="A596">
        <v>595</v>
      </c>
      <c r="B596" s="21">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
      <c r="A597">
        <v>596</v>
      </c>
      <c r="B597" s="21">
        <v>40571</v>
      </c>
      <c r="C597">
        <v>1</v>
      </c>
      <c r="D597">
        <v>0</v>
      </c>
      <c r="E597">
        <v>1</v>
      </c>
      <c r="F597">
        <v>0</v>
      </c>
      <c r="G597" t="b">
        <v>0</v>
      </c>
      <c r="H597">
        <v>5</v>
      </c>
      <c r="I597">
        <v>2</v>
      </c>
      <c r="J597">
        <v>0.2</v>
      </c>
      <c r="K597">
        <v>0.21210000000000001</v>
      </c>
      <c r="L597">
        <v>0.75</v>
      </c>
      <c r="M597">
        <v>0.1343</v>
      </c>
      <c r="N597">
        <v>0</v>
      </c>
      <c r="O597">
        <v>9</v>
      </c>
      <c r="P597">
        <v>9</v>
      </c>
    </row>
    <row r="598" spans="1:16" x14ac:dyDescent="0.3">
      <c r="A598">
        <v>597</v>
      </c>
      <c r="B598" s="21">
        <v>40571</v>
      </c>
      <c r="C598">
        <v>1</v>
      </c>
      <c r="D598">
        <v>0</v>
      </c>
      <c r="E598">
        <v>1</v>
      </c>
      <c r="F598">
        <v>1</v>
      </c>
      <c r="G598" t="b">
        <v>0</v>
      </c>
      <c r="H598">
        <v>5</v>
      </c>
      <c r="I598">
        <v>2</v>
      </c>
      <c r="J598">
        <v>0.2</v>
      </c>
      <c r="K598">
        <v>0.21210000000000001</v>
      </c>
      <c r="L598">
        <v>0.75</v>
      </c>
      <c r="M598">
        <v>0.1343</v>
      </c>
      <c r="N598">
        <v>1</v>
      </c>
      <c r="O598">
        <v>2</v>
      </c>
      <c r="P598">
        <v>3</v>
      </c>
    </row>
    <row r="599" spans="1:16" x14ac:dyDescent="0.3">
      <c r="A599">
        <v>598</v>
      </c>
      <c r="B599" s="21">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
      <c r="A600">
        <v>599</v>
      </c>
      <c r="B600" s="21">
        <v>40571</v>
      </c>
      <c r="C600">
        <v>1</v>
      </c>
      <c r="D600">
        <v>0</v>
      </c>
      <c r="E600">
        <v>1</v>
      </c>
      <c r="F600">
        <v>3</v>
      </c>
      <c r="G600" t="b">
        <v>0</v>
      </c>
      <c r="H600">
        <v>5</v>
      </c>
      <c r="I600">
        <v>2</v>
      </c>
      <c r="J600">
        <v>0.2</v>
      </c>
      <c r="K600">
        <v>0.2273</v>
      </c>
      <c r="L600">
        <v>0.75</v>
      </c>
      <c r="M600">
        <v>0.1045</v>
      </c>
      <c r="N600">
        <v>1</v>
      </c>
      <c r="O600">
        <v>0</v>
      </c>
      <c r="P600">
        <v>1</v>
      </c>
    </row>
    <row r="601" spans="1:16" x14ac:dyDescent="0.3">
      <c r="A601">
        <v>600</v>
      </c>
      <c r="B601" s="21">
        <v>40571</v>
      </c>
      <c r="C601">
        <v>1</v>
      </c>
      <c r="D601">
        <v>0</v>
      </c>
      <c r="E601">
        <v>1</v>
      </c>
      <c r="F601">
        <v>5</v>
      </c>
      <c r="G601" t="b">
        <v>0</v>
      </c>
      <c r="H601">
        <v>5</v>
      </c>
      <c r="I601">
        <v>2</v>
      </c>
      <c r="J601">
        <v>0.18</v>
      </c>
      <c r="K601">
        <v>0.21210000000000001</v>
      </c>
      <c r="L601">
        <v>0.8</v>
      </c>
      <c r="M601">
        <v>0.1045</v>
      </c>
      <c r="N601">
        <v>0</v>
      </c>
      <c r="O601">
        <v>4</v>
      </c>
      <c r="P601">
        <v>4</v>
      </c>
    </row>
    <row r="602" spans="1:16" x14ac:dyDescent="0.3">
      <c r="A602">
        <v>601</v>
      </c>
      <c r="B602" s="21">
        <v>40571</v>
      </c>
      <c r="C602">
        <v>1</v>
      </c>
      <c r="D602">
        <v>0</v>
      </c>
      <c r="E602">
        <v>1</v>
      </c>
      <c r="F602">
        <v>6</v>
      </c>
      <c r="G602" t="b">
        <v>0</v>
      </c>
      <c r="H602">
        <v>5</v>
      </c>
      <c r="I602">
        <v>2</v>
      </c>
      <c r="J602">
        <v>0.18</v>
      </c>
      <c r="K602">
        <v>0.19700000000000001</v>
      </c>
      <c r="L602">
        <v>0.8</v>
      </c>
      <c r="M602">
        <v>0.1343</v>
      </c>
      <c r="N602">
        <v>0</v>
      </c>
      <c r="O602">
        <v>16</v>
      </c>
      <c r="P602">
        <v>16</v>
      </c>
    </row>
    <row r="603" spans="1:16" x14ac:dyDescent="0.3">
      <c r="A603">
        <v>602</v>
      </c>
      <c r="B603" s="21">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
      <c r="A604">
        <v>603</v>
      </c>
      <c r="B604" s="21">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
      <c r="A605">
        <v>604</v>
      </c>
      <c r="B605" s="21">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
      <c r="A606">
        <v>605</v>
      </c>
      <c r="B606" s="21">
        <v>40571</v>
      </c>
      <c r="C606">
        <v>1</v>
      </c>
      <c r="D606">
        <v>0</v>
      </c>
      <c r="E606">
        <v>1</v>
      </c>
      <c r="F606">
        <v>10</v>
      </c>
      <c r="G606" t="b">
        <v>0</v>
      </c>
      <c r="H606">
        <v>5</v>
      </c>
      <c r="I606">
        <v>3</v>
      </c>
      <c r="J606">
        <v>0.18</v>
      </c>
      <c r="K606">
        <v>0.21210000000000001</v>
      </c>
      <c r="L606">
        <v>0.86</v>
      </c>
      <c r="M606">
        <v>0.1045</v>
      </c>
      <c r="N606">
        <v>0</v>
      </c>
      <c r="O606">
        <v>49</v>
      </c>
      <c r="P606">
        <v>49</v>
      </c>
    </row>
    <row r="607" spans="1:16" x14ac:dyDescent="0.3">
      <c r="A607">
        <v>606</v>
      </c>
      <c r="B607" s="21">
        <v>40571</v>
      </c>
      <c r="C607">
        <v>1</v>
      </c>
      <c r="D607">
        <v>0</v>
      </c>
      <c r="E607">
        <v>1</v>
      </c>
      <c r="F607">
        <v>11</v>
      </c>
      <c r="G607" t="b">
        <v>0</v>
      </c>
      <c r="H607">
        <v>5</v>
      </c>
      <c r="I607">
        <v>3</v>
      </c>
      <c r="J607">
        <v>0.18</v>
      </c>
      <c r="K607">
        <v>0.21210000000000001</v>
      </c>
      <c r="L607">
        <v>0.93</v>
      </c>
      <c r="M607">
        <v>0.1045</v>
      </c>
      <c r="N607">
        <v>0</v>
      </c>
      <c r="O607">
        <v>30</v>
      </c>
      <c r="P607">
        <v>30</v>
      </c>
    </row>
    <row r="608" spans="1:16" x14ac:dyDescent="0.3">
      <c r="A608">
        <v>607</v>
      </c>
      <c r="B608" s="21">
        <v>40571</v>
      </c>
      <c r="C608">
        <v>1</v>
      </c>
      <c r="D608">
        <v>0</v>
      </c>
      <c r="E608">
        <v>1</v>
      </c>
      <c r="F608">
        <v>12</v>
      </c>
      <c r="G608" t="b">
        <v>0</v>
      </c>
      <c r="H608">
        <v>5</v>
      </c>
      <c r="I608">
        <v>3</v>
      </c>
      <c r="J608">
        <v>0.18</v>
      </c>
      <c r="K608">
        <v>0.21210000000000001</v>
      </c>
      <c r="L608">
        <v>0.93</v>
      </c>
      <c r="M608">
        <v>0.1045</v>
      </c>
      <c r="N608">
        <v>1</v>
      </c>
      <c r="O608">
        <v>28</v>
      </c>
      <c r="P608">
        <v>29</v>
      </c>
    </row>
    <row r="609" spans="1:16" x14ac:dyDescent="0.3">
      <c r="A609">
        <v>608</v>
      </c>
      <c r="B609" s="21">
        <v>40571</v>
      </c>
      <c r="C609">
        <v>1</v>
      </c>
      <c r="D609">
        <v>0</v>
      </c>
      <c r="E609">
        <v>1</v>
      </c>
      <c r="F609">
        <v>13</v>
      </c>
      <c r="G609" t="b">
        <v>0</v>
      </c>
      <c r="H609">
        <v>5</v>
      </c>
      <c r="I609">
        <v>3</v>
      </c>
      <c r="J609">
        <v>0.18</v>
      </c>
      <c r="K609">
        <v>0.21210000000000001</v>
      </c>
      <c r="L609">
        <v>0.93</v>
      </c>
      <c r="M609">
        <v>0.1045</v>
      </c>
      <c r="N609">
        <v>0</v>
      </c>
      <c r="O609">
        <v>31</v>
      </c>
      <c r="P609">
        <v>31</v>
      </c>
    </row>
    <row r="610" spans="1:16" x14ac:dyDescent="0.3">
      <c r="A610">
        <v>609</v>
      </c>
      <c r="B610" s="21">
        <v>40571</v>
      </c>
      <c r="C610">
        <v>1</v>
      </c>
      <c r="D610">
        <v>0</v>
      </c>
      <c r="E610">
        <v>1</v>
      </c>
      <c r="F610">
        <v>14</v>
      </c>
      <c r="G610" t="b">
        <v>0</v>
      </c>
      <c r="H610">
        <v>5</v>
      </c>
      <c r="I610">
        <v>3</v>
      </c>
      <c r="J610">
        <v>0.22</v>
      </c>
      <c r="K610">
        <v>0.2727</v>
      </c>
      <c r="L610">
        <v>0.8</v>
      </c>
      <c r="M610">
        <v>0</v>
      </c>
      <c r="N610">
        <v>2</v>
      </c>
      <c r="O610">
        <v>36</v>
      </c>
      <c r="P610">
        <v>38</v>
      </c>
    </row>
    <row r="611" spans="1:16" x14ac:dyDescent="0.3">
      <c r="A611">
        <v>610</v>
      </c>
      <c r="B611" s="21">
        <v>40571</v>
      </c>
      <c r="C611">
        <v>1</v>
      </c>
      <c r="D611">
        <v>0</v>
      </c>
      <c r="E611">
        <v>1</v>
      </c>
      <c r="F611">
        <v>15</v>
      </c>
      <c r="G611" t="b">
        <v>0</v>
      </c>
      <c r="H611">
        <v>5</v>
      </c>
      <c r="I611">
        <v>2</v>
      </c>
      <c r="J611">
        <v>0.2</v>
      </c>
      <c r="K611">
        <v>0.2576</v>
      </c>
      <c r="L611">
        <v>0.86</v>
      </c>
      <c r="M611">
        <v>0</v>
      </c>
      <c r="N611">
        <v>1</v>
      </c>
      <c r="O611">
        <v>40</v>
      </c>
      <c r="P611">
        <v>41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FCE15-9593-4379-8C48-E5909D8B4B0E}">
  <sheetPr codeName="Sheet6"/>
  <dimension ref="A1:F1001"/>
  <sheetViews>
    <sheetView workbookViewId="0">
      <selection activeCell="E1" sqref="E1:F1048576"/>
    </sheetView>
  </sheetViews>
  <sheetFormatPr defaultRowHeight="14.4" x14ac:dyDescent="0.3"/>
  <cols>
    <col min="1" max="1" width="7.77734375" bestFit="1" customWidth="1"/>
    <col min="2" max="2" width="10.77734375" bestFit="1" customWidth="1"/>
    <col min="3" max="3" width="9.44140625" bestFit="1" customWidth="1"/>
    <col min="4" max="4" width="12" bestFit="1" customWidth="1"/>
    <col min="5" max="5" width="7.6640625" bestFit="1" customWidth="1"/>
    <col min="6" max="6" width="8.6640625" bestFit="1" customWidth="1"/>
  </cols>
  <sheetData>
    <row r="1" spans="1:6" x14ac:dyDescent="0.3">
      <c r="A1" t="s">
        <v>18</v>
      </c>
      <c r="B1" t="s">
        <v>19</v>
      </c>
      <c r="C1" t="s">
        <v>20</v>
      </c>
      <c r="D1" t="s">
        <v>8</v>
      </c>
      <c r="E1" t="s">
        <v>9</v>
      </c>
      <c r="F1" t="s">
        <v>10</v>
      </c>
    </row>
    <row r="2" spans="1:6" x14ac:dyDescent="0.3">
      <c r="A2">
        <v>1</v>
      </c>
      <c r="B2">
        <v>6</v>
      </c>
      <c r="C2" t="b">
        <v>0</v>
      </c>
      <c r="D2">
        <v>1</v>
      </c>
      <c r="E2">
        <v>0.24</v>
      </c>
      <c r="F2">
        <v>0.28789999999999999</v>
      </c>
    </row>
    <row r="3" spans="1:6" x14ac:dyDescent="0.3">
      <c r="A3">
        <v>1</v>
      </c>
      <c r="B3">
        <v>6</v>
      </c>
      <c r="C3" t="b">
        <v>0</v>
      </c>
      <c r="D3">
        <v>1</v>
      </c>
      <c r="E3">
        <v>0.22</v>
      </c>
      <c r="F3">
        <v>0.2727</v>
      </c>
    </row>
    <row r="4" spans="1:6" x14ac:dyDescent="0.3">
      <c r="A4">
        <v>1</v>
      </c>
      <c r="B4">
        <v>6</v>
      </c>
      <c r="C4" t="b">
        <v>0</v>
      </c>
      <c r="D4">
        <v>1</v>
      </c>
      <c r="E4">
        <v>0.22</v>
      </c>
      <c r="F4">
        <v>0.2727</v>
      </c>
    </row>
    <row r="5" spans="1:6" x14ac:dyDescent="0.3">
      <c r="A5">
        <v>1</v>
      </c>
      <c r="B5">
        <v>6</v>
      </c>
      <c r="C5" t="b">
        <v>0</v>
      </c>
      <c r="D5">
        <v>1</v>
      </c>
      <c r="E5">
        <v>0.24</v>
      </c>
      <c r="F5">
        <v>0.28789999999999999</v>
      </c>
    </row>
    <row r="6" spans="1:6" x14ac:dyDescent="0.3">
      <c r="A6">
        <v>1</v>
      </c>
      <c r="B6">
        <v>6</v>
      </c>
      <c r="C6" t="b">
        <v>0</v>
      </c>
      <c r="D6">
        <v>1</v>
      </c>
      <c r="E6">
        <v>0.24</v>
      </c>
      <c r="F6">
        <v>0.28789999999999999</v>
      </c>
    </row>
    <row r="7" spans="1:6" x14ac:dyDescent="0.3">
      <c r="A7">
        <v>1</v>
      </c>
      <c r="B7">
        <v>6</v>
      </c>
      <c r="C7" t="b">
        <v>0</v>
      </c>
      <c r="D7">
        <v>2</v>
      </c>
      <c r="E7">
        <v>0.24</v>
      </c>
      <c r="F7">
        <v>0.2576</v>
      </c>
    </row>
    <row r="8" spans="1:6" x14ac:dyDescent="0.3">
      <c r="A8">
        <v>1</v>
      </c>
      <c r="B8">
        <v>6</v>
      </c>
      <c r="C8" t="b">
        <v>0</v>
      </c>
      <c r="D8">
        <v>1</v>
      </c>
      <c r="E8">
        <v>0.22</v>
      </c>
      <c r="F8">
        <v>0.2727</v>
      </c>
    </row>
    <row r="9" spans="1:6" x14ac:dyDescent="0.3">
      <c r="A9">
        <v>1</v>
      </c>
      <c r="B9">
        <v>6</v>
      </c>
      <c r="C9" t="b">
        <v>0</v>
      </c>
      <c r="D9">
        <v>1</v>
      </c>
      <c r="E9">
        <v>0.2</v>
      </c>
      <c r="F9">
        <v>0.2576</v>
      </c>
    </row>
    <row r="10" spans="1:6" x14ac:dyDescent="0.3">
      <c r="A10">
        <v>1</v>
      </c>
      <c r="B10">
        <v>6</v>
      </c>
      <c r="C10" t="b">
        <v>0</v>
      </c>
      <c r="D10">
        <v>1</v>
      </c>
      <c r="E10">
        <v>0.24</v>
      </c>
    </row>
    <row r="11" spans="1:6" x14ac:dyDescent="0.3">
      <c r="A11">
        <v>1</v>
      </c>
      <c r="B11">
        <v>6</v>
      </c>
      <c r="C11" t="b">
        <v>0</v>
      </c>
      <c r="D11">
        <v>1</v>
      </c>
      <c r="E11">
        <v>0.32</v>
      </c>
      <c r="F11">
        <v>0.34849999999999998</v>
      </c>
    </row>
    <row r="12" spans="1:6" x14ac:dyDescent="0.3">
      <c r="A12">
        <v>1</v>
      </c>
      <c r="B12">
        <v>6</v>
      </c>
      <c r="C12" t="b">
        <v>0</v>
      </c>
      <c r="D12">
        <v>1</v>
      </c>
      <c r="E12">
        <v>0.38</v>
      </c>
      <c r="F12">
        <v>0.39389999999999997</v>
      </c>
    </row>
    <row r="13" spans="1:6" x14ac:dyDescent="0.3">
      <c r="A13">
        <v>1</v>
      </c>
      <c r="B13">
        <v>6</v>
      </c>
      <c r="C13" t="b">
        <v>0</v>
      </c>
      <c r="D13">
        <v>1</v>
      </c>
      <c r="E13">
        <v>0.36</v>
      </c>
      <c r="F13">
        <v>0.33329999999999999</v>
      </c>
    </row>
    <row r="14" spans="1:6" x14ac:dyDescent="0.3">
      <c r="A14">
        <v>1</v>
      </c>
      <c r="B14">
        <v>6</v>
      </c>
      <c r="C14" t="b">
        <v>0</v>
      </c>
      <c r="D14">
        <v>1</v>
      </c>
      <c r="E14">
        <v>0.42</v>
      </c>
      <c r="F14">
        <v>0.42420000000000002</v>
      </c>
    </row>
    <row r="15" spans="1:6" x14ac:dyDescent="0.3">
      <c r="A15">
        <v>1</v>
      </c>
      <c r="B15">
        <v>6</v>
      </c>
      <c r="C15" t="b">
        <v>0</v>
      </c>
      <c r="D15">
        <v>2</v>
      </c>
      <c r="E15">
        <v>0.46</v>
      </c>
      <c r="F15">
        <v>0.45450000000000002</v>
      </c>
    </row>
    <row r="16" spans="1:6" x14ac:dyDescent="0.3">
      <c r="A16">
        <v>1</v>
      </c>
      <c r="B16">
        <v>6</v>
      </c>
      <c r="C16" t="b">
        <v>0</v>
      </c>
      <c r="D16">
        <v>2</v>
      </c>
      <c r="E16">
        <v>0.46</v>
      </c>
      <c r="F16">
        <v>0.45450000000000002</v>
      </c>
    </row>
    <row r="17" spans="1:6" x14ac:dyDescent="0.3">
      <c r="A17">
        <v>1</v>
      </c>
      <c r="B17">
        <v>6</v>
      </c>
      <c r="C17" t="b">
        <v>0</v>
      </c>
      <c r="D17">
        <v>2</v>
      </c>
      <c r="E17">
        <v>0.44</v>
      </c>
      <c r="F17">
        <v>0.43940000000000001</v>
      </c>
    </row>
    <row r="18" spans="1:6" x14ac:dyDescent="0.3">
      <c r="A18">
        <v>1</v>
      </c>
      <c r="B18">
        <v>6</v>
      </c>
      <c r="C18" t="b">
        <v>0</v>
      </c>
      <c r="D18">
        <v>2</v>
      </c>
      <c r="E18">
        <v>0.42</v>
      </c>
      <c r="F18">
        <v>0.42420000000000002</v>
      </c>
    </row>
    <row r="19" spans="1:6" x14ac:dyDescent="0.3">
      <c r="A19">
        <v>1</v>
      </c>
      <c r="B19">
        <v>6</v>
      </c>
      <c r="C19" t="b">
        <v>0</v>
      </c>
      <c r="D19">
        <v>2</v>
      </c>
      <c r="E19">
        <v>0.44</v>
      </c>
    </row>
    <row r="20" spans="1:6" x14ac:dyDescent="0.3">
      <c r="A20">
        <v>1</v>
      </c>
      <c r="B20">
        <v>6</v>
      </c>
      <c r="C20" t="b">
        <v>0</v>
      </c>
      <c r="D20">
        <v>3</v>
      </c>
      <c r="E20">
        <v>0.42</v>
      </c>
      <c r="F20">
        <v>0.42420000000000002</v>
      </c>
    </row>
    <row r="21" spans="1:6" x14ac:dyDescent="0.3">
      <c r="A21">
        <v>1</v>
      </c>
      <c r="B21">
        <v>6</v>
      </c>
      <c r="C21" t="b">
        <v>0</v>
      </c>
      <c r="D21">
        <v>3</v>
      </c>
      <c r="E21">
        <v>0.42</v>
      </c>
      <c r="F21">
        <v>0.42420000000000002</v>
      </c>
    </row>
    <row r="22" spans="1:6" x14ac:dyDescent="0.3">
      <c r="A22">
        <v>1</v>
      </c>
      <c r="B22">
        <v>6</v>
      </c>
      <c r="C22" t="b">
        <v>0</v>
      </c>
      <c r="D22">
        <v>2</v>
      </c>
      <c r="E22">
        <v>0.4</v>
      </c>
      <c r="F22">
        <v>0.40910000000000002</v>
      </c>
    </row>
    <row r="23" spans="1:6" x14ac:dyDescent="0.3">
      <c r="A23">
        <v>1</v>
      </c>
      <c r="B23">
        <v>6</v>
      </c>
      <c r="C23" t="b">
        <v>0</v>
      </c>
      <c r="D23">
        <v>2</v>
      </c>
      <c r="E23">
        <v>0.4</v>
      </c>
      <c r="F23">
        <v>0.40910000000000002</v>
      </c>
    </row>
    <row r="24" spans="1:6" x14ac:dyDescent="0.3">
      <c r="A24">
        <v>1</v>
      </c>
      <c r="B24">
        <v>6</v>
      </c>
      <c r="C24" t="b">
        <v>0</v>
      </c>
      <c r="D24">
        <v>2</v>
      </c>
      <c r="E24">
        <v>0.4</v>
      </c>
      <c r="F24">
        <v>0.40910000000000002</v>
      </c>
    </row>
    <row r="25" spans="1:6" x14ac:dyDescent="0.3">
      <c r="A25">
        <v>1</v>
      </c>
      <c r="B25">
        <v>6</v>
      </c>
      <c r="C25" t="b">
        <v>0</v>
      </c>
      <c r="D25">
        <v>2</v>
      </c>
      <c r="E25">
        <v>0.46</v>
      </c>
    </row>
    <row r="26" spans="1:6" x14ac:dyDescent="0.3">
      <c r="A26">
        <v>1</v>
      </c>
      <c r="B26">
        <v>0</v>
      </c>
      <c r="C26" t="b">
        <v>0</v>
      </c>
      <c r="D26">
        <v>2</v>
      </c>
      <c r="E26">
        <v>0.46</v>
      </c>
      <c r="F26">
        <v>0.45450000000000002</v>
      </c>
    </row>
    <row r="27" spans="1:6" x14ac:dyDescent="0.3">
      <c r="A27">
        <v>1</v>
      </c>
      <c r="B27">
        <v>0</v>
      </c>
      <c r="C27" t="b">
        <v>0</v>
      </c>
      <c r="D27">
        <v>2</v>
      </c>
      <c r="E27">
        <v>0.44</v>
      </c>
      <c r="F27">
        <v>0.43940000000000001</v>
      </c>
    </row>
    <row r="28" spans="1:6" x14ac:dyDescent="0.3">
      <c r="A28">
        <v>1</v>
      </c>
      <c r="B28">
        <v>0</v>
      </c>
      <c r="C28" t="b">
        <v>0</v>
      </c>
      <c r="D28">
        <v>2</v>
      </c>
      <c r="E28">
        <v>0.42</v>
      </c>
      <c r="F28">
        <v>0.42420000000000002</v>
      </c>
    </row>
    <row r="29" spans="1:6" x14ac:dyDescent="0.3">
      <c r="A29">
        <v>1</v>
      </c>
      <c r="B29">
        <v>0</v>
      </c>
      <c r="C29" t="b">
        <v>0</v>
      </c>
      <c r="D29">
        <v>2</v>
      </c>
      <c r="E29">
        <v>0.46</v>
      </c>
      <c r="F29">
        <v>0.45450000000000002</v>
      </c>
    </row>
    <row r="30" spans="1:6" x14ac:dyDescent="0.3">
      <c r="A30">
        <v>1</v>
      </c>
      <c r="B30">
        <v>0</v>
      </c>
      <c r="C30" t="b">
        <v>0</v>
      </c>
      <c r="D30">
        <v>2</v>
      </c>
      <c r="E30">
        <v>0.46</v>
      </c>
    </row>
    <row r="31" spans="1:6" x14ac:dyDescent="0.3">
      <c r="A31">
        <v>1</v>
      </c>
      <c r="B31">
        <v>0</v>
      </c>
      <c r="C31" t="b">
        <v>0</v>
      </c>
      <c r="D31">
        <v>3</v>
      </c>
      <c r="E31">
        <v>0.42</v>
      </c>
      <c r="F31">
        <v>0.42420000000000002</v>
      </c>
    </row>
    <row r="32" spans="1:6" x14ac:dyDescent="0.3">
      <c r="A32">
        <v>1</v>
      </c>
      <c r="B32">
        <v>0</v>
      </c>
      <c r="C32" t="b">
        <v>0</v>
      </c>
      <c r="D32">
        <v>2</v>
      </c>
      <c r="E32">
        <v>0.4</v>
      </c>
      <c r="F32">
        <v>0.40910000000000002</v>
      </c>
    </row>
    <row r="33" spans="1:6" x14ac:dyDescent="0.3">
      <c r="A33">
        <v>1</v>
      </c>
      <c r="B33">
        <v>0</v>
      </c>
      <c r="C33" t="b">
        <v>0</v>
      </c>
      <c r="D33">
        <v>3</v>
      </c>
      <c r="E33">
        <v>0.4</v>
      </c>
      <c r="F33">
        <v>0.40910000000000002</v>
      </c>
    </row>
    <row r="34" spans="1:6" x14ac:dyDescent="0.3">
      <c r="A34">
        <v>1</v>
      </c>
      <c r="B34">
        <v>0</v>
      </c>
      <c r="C34" t="b">
        <v>0</v>
      </c>
      <c r="D34">
        <v>2</v>
      </c>
      <c r="E34">
        <v>0.38</v>
      </c>
    </row>
    <row r="35" spans="1:6" x14ac:dyDescent="0.3">
      <c r="A35">
        <v>1</v>
      </c>
      <c r="B35">
        <v>0</v>
      </c>
      <c r="C35" t="b">
        <v>0</v>
      </c>
      <c r="D35">
        <v>2</v>
      </c>
      <c r="E35">
        <v>0.36</v>
      </c>
      <c r="F35">
        <v>0.34849999999999998</v>
      </c>
    </row>
    <row r="36" spans="1:6" x14ac:dyDescent="0.3">
      <c r="A36">
        <v>1</v>
      </c>
      <c r="B36">
        <v>0</v>
      </c>
      <c r="C36" t="b">
        <v>0</v>
      </c>
      <c r="D36">
        <v>2</v>
      </c>
      <c r="E36">
        <v>0.36</v>
      </c>
      <c r="F36">
        <v>0.33329999999999999</v>
      </c>
    </row>
    <row r="37" spans="1:6" x14ac:dyDescent="0.3">
      <c r="A37">
        <v>1</v>
      </c>
      <c r="B37">
        <v>0</v>
      </c>
      <c r="C37" t="b">
        <v>0</v>
      </c>
      <c r="D37">
        <v>2</v>
      </c>
      <c r="E37">
        <v>0.36</v>
      </c>
      <c r="F37">
        <v>0.33329999999999999</v>
      </c>
    </row>
    <row r="38" spans="1:6" x14ac:dyDescent="0.3">
      <c r="A38">
        <v>1</v>
      </c>
      <c r="B38">
        <v>0</v>
      </c>
      <c r="C38" t="b">
        <v>0</v>
      </c>
      <c r="D38">
        <v>2</v>
      </c>
      <c r="E38">
        <v>0.36</v>
      </c>
      <c r="F38">
        <v>0.34849999999999998</v>
      </c>
    </row>
    <row r="39" spans="1:6" x14ac:dyDescent="0.3">
      <c r="A39">
        <v>1</v>
      </c>
      <c r="B39">
        <v>0</v>
      </c>
      <c r="C39" t="b">
        <v>0</v>
      </c>
      <c r="D39">
        <v>3</v>
      </c>
      <c r="E39">
        <v>0.36</v>
      </c>
    </row>
    <row r="40" spans="1:6" x14ac:dyDescent="0.3">
      <c r="A40">
        <v>1</v>
      </c>
      <c r="B40">
        <v>0</v>
      </c>
      <c r="C40" t="b">
        <v>0</v>
      </c>
      <c r="D40">
        <v>3</v>
      </c>
      <c r="E40">
        <v>0.34</v>
      </c>
      <c r="F40">
        <v>0.33329999999999999</v>
      </c>
    </row>
    <row r="41" spans="1:6" x14ac:dyDescent="0.3">
      <c r="A41">
        <v>1</v>
      </c>
      <c r="B41">
        <v>0</v>
      </c>
      <c r="C41" t="b">
        <v>0</v>
      </c>
      <c r="D41">
        <v>3</v>
      </c>
      <c r="E41">
        <v>0.34</v>
      </c>
      <c r="F41">
        <v>0.33329999999999999</v>
      </c>
    </row>
    <row r="42" spans="1:6" x14ac:dyDescent="0.3">
      <c r="A42">
        <v>1</v>
      </c>
      <c r="B42">
        <v>0</v>
      </c>
      <c r="C42" t="b">
        <v>0</v>
      </c>
      <c r="D42">
        <v>1</v>
      </c>
      <c r="E42">
        <v>0.34</v>
      </c>
      <c r="F42">
        <v>0.33329999999999999</v>
      </c>
    </row>
    <row r="43" spans="1:6" x14ac:dyDescent="0.3">
      <c r="A43">
        <v>1</v>
      </c>
      <c r="B43">
        <v>0</v>
      </c>
      <c r="C43" t="b">
        <v>0</v>
      </c>
      <c r="D43">
        <v>2</v>
      </c>
      <c r="E43">
        <v>0.36</v>
      </c>
      <c r="F43">
        <v>0.33329999999999999</v>
      </c>
    </row>
    <row r="44" spans="1:6" x14ac:dyDescent="0.3">
      <c r="A44">
        <v>1</v>
      </c>
      <c r="B44">
        <v>0</v>
      </c>
      <c r="C44" t="b">
        <v>0</v>
      </c>
      <c r="D44">
        <v>1</v>
      </c>
      <c r="E44">
        <v>0.32</v>
      </c>
      <c r="F44">
        <v>0.28789999999999999</v>
      </c>
    </row>
    <row r="45" spans="1:6" x14ac:dyDescent="0.3">
      <c r="A45">
        <v>1</v>
      </c>
      <c r="B45">
        <v>0</v>
      </c>
      <c r="C45" t="b">
        <v>0</v>
      </c>
      <c r="D45">
        <v>1</v>
      </c>
      <c r="E45">
        <v>0.3</v>
      </c>
    </row>
    <row r="46" spans="1:6" x14ac:dyDescent="0.3">
      <c r="A46">
        <v>1</v>
      </c>
      <c r="B46">
        <v>0</v>
      </c>
      <c r="C46" t="b">
        <v>0</v>
      </c>
      <c r="D46">
        <v>1</v>
      </c>
      <c r="E46">
        <v>0.26</v>
      </c>
      <c r="F46">
        <v>0.2273</v>
      </c>
    </row>
    <row r="47" spans="1:6" x14ac:dyDescent="0.3">
      <c r="A47">
        <v>1</v>
      </c>
      <c r="B47">
        <v>0</v>
      </c>
      <c r="C47" t="b">
        <v>0</v>
      </c>
      <c r="D47">
        <v>1</v>
      </c>
      <c r="E47">
        <v>0.24</v>
      </c>
      <c r="F47">
        <v>0.21210000000000001</v>
      </c>
    </row>
    <row r="48" spans="1:6" x14ac:dyDescent="0.3">
      <c r="A48">
        <v>1</v>
      </c>
      <c r="B48">
        <v>0</v>
      </c>
      <c r="C48" t="b">
        <v>0</v>
      </c>
      <c r="D48">
        <v>1</v>
      </c>
      <c r="E48">
        <v>0.22</v>
      </c>
      <c r="F48">
        <v>0.2273</v>
      </c>
    </row>
    <row r="49" spans="1:6" x14ac:dyDescent="0.3">
      <c r="A49">
        <v>1</v>
      </c>
      <c r="B49">
        <v>1</v>
      </c>
      <c r="C49" t="b">
        <v>0</v>
      </c>
      <c r="D49">
        <v>1</v>
      </c>
      <c r="E49">
        <v>0.22</v>
      </c>
      <c r="F49">
        <v>0.19700000000000001</v>
      </c>
    </row>
    <row r="50" spans="1:6" x14ac:dyDescent="0.3">
      <c r="A50">
        <v>1</v>
      </c>
      <c r="B50">
        <v>1</v>
      </c>
      <c r="C50" t="b">
        <v>0</v>
      </c>
      <c r="D50">
        <v>1</v>
      </c>
      <c r="E50">
        <v>0.2</v>
      </c>
    </row>
    <row r="51" spans="1:6" x14ac:dyDescent="0.3">
      <c r="A51">
        <v>1</v>
      </c>
      <c r="B51">
        <v>1</v>
      </c>
      <c r="C51" t="b">
        <v>0</v>
      </c>
      <c r="D51">
        <v>1</v>
      </c>
      <c r="E51">
        <v>0.16</v>
      </c>
      <c r="F51">
        <v>0.13639999999999999</v>
      </c>
    </row>
    <row r="52" spans="1:6" x14ac:dyDescent="0.3">
      <c r="A52">
        <v>1</v>
      </c>
      <c r="B52">
        <v>1</v>
      </c>
      <c r="C52" t="b">
        <v>0</v>
      </c>
      <c r="D52">
        <v>1</v>
      </c>
      <c r="E52">
        <v>0.16</v>
      </c>
      <c r="F52">
        <v>0.13639999999999999</v>
      </c>
    </row>
    <row r="53" spans="1:6" x14ac:dyDescent="0.3">
      <c r="A53">
        <v>1</v>
      </c>
      <c r="B53">
        <v>1</v>
      </c>
      <c r="C53" t="b">
        <v>0</v>
      </c>
      <c r="D53">
        <v>1</v>
      </c>
      <c r="E53">
        <v>0.14000000000000001</v>
      </c>
      <c r="F53">
        <v>0.1061</v>
      </c>
    </row>
    <row r="54" spans="1:6" x14ac:dyDescent="0.3">
      <c r="A54">
        <v>1</v>
      </c>
      <c r="B54">
        <v>1</v>
      </c>
      <c r="C54" t="b">
        <v>0</v>
      </c>
      <c r="D54">
        <v>1</v>
      </c>
      <c r="E54">
        <v>0.14000000000000001</v>
      </c>
      <c r="F54">
        <v>0.13639999999999999</v>
      </c>
    </row>
    <row r="55" spans="1:6" x14ac:dyDescent="0.3">
      <c r="A55">
        <v>1</v>
      </c>
      <c r="B55">
        <v>1</v>
      </c>
      <c r="C55" t="b">
        <v>0</v>
      </c>
      <c r="D55">
        <v>1</v>
      </c>
      <c r="E55">
        <v>0.14000000000000001</v>
      </c>
      <c r="F55">
        <v>0.1212</v>
      </c>
    </row>
    <row r="56" spans="1:6" x14ac:dyDescent="0.3">
      <c r="A56">
        <v>1</v>
      </c>
      <c r="B56">
        <v>1</v>
      </c>
      <c r="C56" t="b">
        <v>0</v>
      </c>
      <c r="D56">
        <v>1</v>
      </c>
      <c r="E56">
        <v>0.16</v>
      </c>
      <c r="F56">
        <v>0.13639999999999999</v>
      </c>
    </row>
    <row r="57" spans="1:6" x14ac:dyDescent="0.3">
      <c r="A57">
        <v>1</v>
      </c>
      <c r="B57">
        <v>1</v>
      </c>
      <c r="C57" t="b">
        <v>0</v>
      </c>
      <c r="D57">
        <v>1</v>
      </c>
      <c r="E57">
        <v>0.18</v>
      </c>
      <c r="F57">
        <v>0.16669999999999999</v>
      </c>
    </row>
    <row r="58" spans="1:6" x14ac:dyDescent="0.3">
      <c r="A58">
        <v>1</v>
      </c>
      <c r="B58">
        <v>1</v>
      </c>
      <c r="C58" t="b">
        <v>0</v>
      </c>
      <c r="D58">
        <v>1</v>
      </c>
      <c r="E58">
        <v>0.2</v>
      </c>
      <c r="F58">
        <v>0.18179999999999999</v>
      </c>
    </row>
    <row r="59" spans="1:6" x14ac:dyDescent="0.3">
      <c r="A59">
        <v>1</v>
      </c>
      <c r="B59">
        <v>1</v>
      </c>
      <c r="C59" t="b">
        <v>0</v>
      </c>
      <c r="D59">
        <v>1</v>
      </c>
      <c r="E59">
        <v>0.22</v>
      </c>
      <c r="F59">
        <v>0.21210000000000001</v>
      </c>
    </row>
    <row r="60" spans="1:6" x14ac:dyDescent="0.3">
      <c r="A60">
        <v>1</v>
      </c>
      <c r="B60">
        <v>1</v>
      </c>
      <c r="C60" t="b">
        <v>0</v>
      </c>
      <c r="D60">
        <v>1</v>
      </c>
      <c r="E60">
        <v>0.24</v>
      </c>
    </row>
    <row r="61" spans="1:6" x14ac:dyDescent="0.3">
      <c r="A61">
        <v>1</v>
      </c>
      <c r="B61">
        <v>1</v>
      </c>
      <c r="C61" t="b">
        <v>0</v>
      </c>
      <c r="D61">
        <v>1</v>
      </c>
      <c r="E61">
        <v>0.26</v>
      </c>
      <c r="F61">
        <v>0.2424</v>
      </c>
    </row>
    <row r="62" spans="1:6" x14ac:dyDescent="0.3">
      <c r="A62">
        <v>1</v>
      </c>
      <c r="B62">
        <v>1</v>
      </c>
      <c r="C62" t="b">
        <v>0</v>
      </c>
      <c r="D62">
        <v>1</v>
      </c>
      <c r="E62">
        <v>0.26</v>
      </c>
      <c r="F62">
        <v>0.2424</v>
      </c>
    </row>
    <row r="63" spans="1:6" x14ac:dyDescent="0.3">
      <c r="A63">
        <v>1</v>
      </c>
      <c r="B63">
        <v>1</v>
      </c>
      <c r="C63" t="b">
        <v>0</v>
      </c>
      <c r="D63">
        <v>1</v>
      </c>
      <c r="E63">
        <v>0.26</v>
      </c>
      <c r="F63">
        <v>0.2424</v>
      </c>
    </row>
    <row r="64" spans="1:6" x14ac:dyDescent="0.3">
      <c r="A64">
        <v>1</v>
      </c>
      <c r="B64">
        <v>1</v>
      </c>
      <c r="C64" t="b">
        <v>0</v>
      </c>
      <c r="D64">
        <v>1</v>
      </c>
      <c r="E64">
        <v>0.24</v>
      </c>
      <c r="F64">
        <v>0.2273</v>
      </c>
    </row>
    <row r="65" spans="1:6" x14ac:dyDescent="0.3">
      <c r="A65">
        <v>1</v>
      </c>
      <c r="B65">
        <v>1</v>
      </c>
      <c r="C65" t="b">
        <v>0</v>
      </c>
      <c r="D65">
        <v>1</v>
      </c>
      <c r="E65">
        <v>0.24</v>
      </c>
      <c r="F65">
        <v>0.2576</v>
      </c>
    </row>
    <row r="66" spans="1:6" x14ac:dyDescent="0.3">
      <c r="A66">
        <v>1</v>
      </c>
      <c r="B66">
        <v>1</v>
      </c>
      <c r="C66" t="b">
        <v>0</v>
      </c>
      <c r="D66">
        <v>1</v>
      </c>
      <c r="E66">
        <v>0.2</v>
      </c>
      <c r="F66">
        <v>0.2576</v>
      </c>
    </row>
    <row r="67" spans="1:6" x14ac:dyDescent="0.3">
      <c r="A67">
        <v>1</v>
      </c>
      <c r="B67">
        <v>1</v>
      </c>
      <c r="C67" t="b">
        <v>0</v>
      </c>
      <c r="D67">
        <v>1</v>
      </c>
      <c r="E67">
        <v>0.2</v>
      </c>
    </row>
    <row r="68" spans="1:6" x14ac:dyDescent="0.3">
      <c r="A68">
        <v>1</v>
      </c>
      <c r="B68">
        <v>1</v>
      </c>
      <c r="C68" t="b">
        <v>0</v>
      </c>
      <c r="D68">
        <v>1</v>
      </c>
      <c r="E68">
        <v>0.18</v>
      </c>
      <c r="F68">
        <v>0.19700000000000001</v>
      </c>
    </row>
    <row r="69" spans="1:6" x14ac:dyDescent="0.3">
      <c r="A69">
        <v>1</v>
      </c>
      <c r="B69">
        <v>1</v>
      </c>
      <c r="C69" t="b">
        <v>0</v>
      </c>
      <c r="D69">
        <v>1</v>
      </c>
      <c r="E69">
        <v>0.14000000000000001</v>
      </c>
      <c r="F69">
        <v>0.1515</v>
      </c>
    </row>
    <row r="70" spans="1:6" x14ac:dyDescent="0.3">
      <c r="A70">
        <v>1</v>
      </c>
      <c r="B70">
        <v>1</v>
      </c>
      <c r="C70" t="b">
        <v>0</v>
      </c>
      <c r="D70">
        <v>1</v>
      </c>
      <c r="E70">
        <v>0.18</v>
      </c>
      <c r="F70">
        <v>0.21210000000000001</v>
      </c>
    </row>
    <row r="71" spans="1:6" x14ac:dyDescent="0.3">
      <c r="A71">
        <v>1</v>
      </c>
      <c r="B71">
        <v>2</v>
      </c>
      <c r="C71" t="b">
        <v>0</v>
      </c>
      <c r="D71">
        <v>1</v>
      </c>
      <c r="E71">
        <v>0.16</v>
      </c>
    </row>
    <row r="72" spans="1:6" x14ac:dyDescent="0.3">
      <c r="A72">
        <v>1</v>
      </c>
      <c r="B72">
        <v>2</v>
      </c>
      <c r="C72" t="b">
        <v>0</v>
      </c>
      <c r="D72">
        <v>1</v>
      </c>
      <c r="E72">
        <v>0.16</v>
      </c>
      <c r="F72">
        <v>0.18179999999999999</v>
      </c>
    </row>
    <row r="73" spans="1:6" x14ac:dyDescent="0.3">
      <c r="A73">
        <v>1</v>
      </c>
      <c r="B73">
        <v>2</v>
      </c>
      <c r="C73" t="b">
        <v>0</v>
      </c>
      <c r="D73">
        <v>1</v>
      </c>
      <c r="E73">
        <v>0.14000000000000001</v>
      </c>
      <c r="F73">
        <v>0.1515</v>
      </c>
    </row>
    <row r="74" spans="1:6" x14ac:dyDescent="0.3">
      <c r="A74">
        <v>1</v>
      </c>
      <c r="B74">
        <v>2</v>
      </c>
      <c r="C74" t="b">
        <v>0</v>
      </c>
      <c r="D74">
        <v>1</v>
      </c>
      <c r="E74">
        <v>0.14000000000000001</v>
      </c>
      <c r="F74">
        <v>0.18179999999999999</v>
      </c>
    </row>
    <row r="75" spans="1:6" x14ac:dyDescent="0.3">
      <c r="A75">
        <v>1</v>
      </c>
      <c r="B75">
        <v>2</v>
      </c>
      <c r="C75" t="b">
        <v>0</v>
      </c>
      <c r="D75">
        <v>1</v>
      </c>
      <c r="E75">
        <v>0.12</v>
      </c>
      <c r="F75">
        <v>0.1515</v>
      </c>
    </row>
    <row r="76" spans="1:6" x14ac:dyDescent="0.3">
      <c r="A76">
        <v>1</v>
      </c>
      <c r="B76">
        <v>2</v>
      </c>
      <c r="C76" t="b">
        <v>0</v>
      </c>
      <c r="D76">
        <v>1</v>
      </c>
      <c r="E76">
        <v>0.12</v>
      </c>
      <c r="F76">
        <v>0.1515</v>
      </c>
    </row>
    <row r="77" spans="1:6" x14ac:dyDescent="0.3">
      <c r="A77">
        <v>1</v>
      </c>
      <c r="B77">
        <v>2</v>
      </c>
      <c r="C77" t="b">
        <v>0</v>
      </c>
      <c r="D77">
        <v>1</v>
      </c>
      <c r="E77">
        <v>0.12</v>
      </c>
      <c r="F77">
        <v>0.1515</v>
      </c>
    </row>
    <row r="78" spans="1:6" x14ac:dyDescent="0.3">
      <c r="A78">
        <v>1</v>
      </c>
      <c r="B78">
        <v>2</v>
      </c>
      <c r="C78" t="b">
        <v>0</v>
      </c>
      <c r="D78">
        <v>1</v>
      </c>
      <c r="E78">
        <v>0.14000000000000001</v>
      </c>
      <c r="F78">
        <v>0.1515</v>
      </c>
    </row>
    <row r="79" spans="1:6" x14ac:dyDescent="0.3">
      <c r="A79">
        <v>1</v>
      </c>
      <c r="B79">
        <v>2</v>
      </c>
      <c r="C79" t="b">
        <v>0</v>
      </c>
      <c r="D79">
        <v>1</v>
      </c>
      <c r="E79">
        <v>0.16</v>
      </c>
      <c r="F79">
        <v>0.1515</v>
      </c>
    </row>
    <row r="80" spans="1:6" x14ac:dyDescent="0.3">
      <c r="A80">
        <v>1</v>
      </c>
      <c r="B80">
        <v>2</v>
      </c>
      <c r="C80" t="b">
        <v>0</v>
      </c>
      <c r="D80">
        <v>2</v>
      </c>
      <c r="E80">
        <v>0.16</v>
      </c>
      <c r="F80">
        <v>0.13639999999999999</v>
      </c>
    </row>
    <row r="81" spans="1:6" x14ac:dyDescent="0.3">
      <c r="A81">
        <v>1</v>
      </c>
      <c r="B81">
        <v>2</v>
      </c>
      <c r="C81" t="b">
        <v>0</v>
      </c>
      <c r="D81">
        <v>1</v>
      </c>
      <c r="E81">
        <v>0.22</v>
      </c>
      <c r="F81">
        <v>0.21210000000000001</v>
      </c>
    </row>
    <row r="82" spans="1:6" x14ac:dyDescent="0.3">
      <c r="A82">
        <v>1</v>
      </c>
      <c r="B82">
        <v>2</v>
      </c>
      <c r="C82" t="b">
        <v>0</v>
      </c>
      <c r="D82">
        <v>1</v>
      </c>
      <c r="E82">
        <v>0.22</v>
      </c>
      <c r="F82">
        <v>0.2273</v>
      </c>
    </row>
    <row r="83" spans="1:6" x14ac:dyDescent="0.3">
      <c r="A83">
        <v>1</v>
      </c>
      <c r="B83">
        <v>2</v>
      </c>
      <c r="C83" t="b">
        <v>0</v>
      </c>
      <c r="D83">
        <v>1</v>
      </c>
      <c r="E83">
        <v>0.24</v>
      </c>
      <c r="F83">
        <v>0.2273</v>
      </c>
    </row>
    <row r="84" spans="1:6" x14ac:dyDescent="0.3">
      <c r="A84">
        <v>1</v>
      </c>
      <c r="B84">
        <v>2</v>
      </c>
      <c r="C84" t="b">
        <v>0</v>
      </c>
      <c r="D84">
        <v>1</v>
      </c>
      <c r="E84">
        <v>0.26</v>
      </c>
      <c r="F84">
        <v>0.2576</v>
      </c>
    </row>
    <row r="85" spans="1:6" x14ac:dyDescent="0.3">
      <c r="A85">
        <v>1</v>
      </c>
      <c r="B85">
        <v>2</v>
      </c>
      <c r="C85" t="b">
        <v>0</v>
      </c>
      <c r="D85">
        <v>1</v>
      </c>
      <c r="E85">
        <v>0.28000000000000003</v>
      </c>
      <c r="F85">
        <v>0.2727</v>
      </c>
    </row>
    <row r="86" spans="1:6" x14ac:dyDescent="0.3">
      <c r="A86">
        <v>1</v>
      </c>
      <c r="B86">
        <v>2</v>
      </c>
      <c r="C86" t="b">
        <v>0</v>
      </c>
      <c r="D86">
        <v>1</v>
      </c>
      <c r="E86">
        <v>0.3</v>
      </c>
      <c r="F86">
        <v>0.28789999999999999</v>
      </c>
    </row>
    <row r="87" spans="1:6" x14ac:dyDescent="0.3">
      <c r="A87">
        <v>1</v>
      </c>
      <c r="B87">
        <v>2</v>
      </c>
      <c r="C87" t="b">
        <v>0</v>
      </c>
      <c r="D87">
        <v>1</v>
      </c>
      <c r="E87">
        <v>0.28000000000000003</v>
      </c>
      <c r="F87">
        <v>0.2727</v>
      </c>
    </row>
    <row r="88" spans="1:6" x14ac:dyDescent="0.3">
      <c r="A88">
        <v>1</v>
      </c>
      <c r="B88">
        <v>2</v>
      </c>
      <c r="C88" t="b">
        <v>0</v>
      </c>
      <c r="D88">
        <v>1</v>
      </c>
      <c r="E88">
        <v>0.26</v>
      </c>
      <c r="F88">
        <v>0.2576</v>
      </c>
    </row>
    <row r="89" spans="1:6" x14ac:dyDescent="0.3">
      <c r="A89">
        <v>1</v>
      </c>
      <c r="B89">
        <v>2</v>
      </c>
      <c r="C89" t="b">
        <v>0</v>
      </c>
      <c r="D89">
        <v>1</v>
      </c>
      <c r="E89">
        <v>0.24</v>
      </c>
      <c r="F89">
        <v>0.2576</v>
      </c>
    </row>
    <row r="90" spans="1:6" x14ac:dyDescent="0.3">
      <c r="A90">
        <v>1</v>
      </c>
      <c r="B90">
        <v>2</v>
      </c>
      <c r="C90" t="b">
        <v>0</v>
      </c>
      <c r="D90">
        <v>1</v>
      </c>
      <c r="E90">
        <v>0.24</v>
      </c>
      <c r="F90">
        <v>0.2576</v>
      </c>
    </row>
    <row r="91" spans="1:6" x14ac:dyDescent="0.3">
      <c r="A91">
        <v>1</v>
      </c>
      <c r="B91">
        <v>2</v>
      </c>
      <c r="C91" t="b">
        <v>0</v>
      </c>
      <c r="D91">
        <v>1</v>
      </c>
      <c r="E91">
        <v>0.22</v>
      </c>
      <c r="F91">
        <v>0.2727</v>
      </c>
    </row>
    <row r="92" spans="1:6" x14ac:dyDescent="0.3">
      <c r="A92">
        <v>1</v>
      </c>
      <c r="B92">
        <v>2</v>
      </c>
      <c r="C92" t="b">
        <v>0</v>
      </c>
      <c r="D92">
        <v>1</v>
      </c>
      <c r="E92">
        <v>0.22</v>
      </c>
      <c r="F92">
        <v>0.2576</v>
      </c>
    </row>
    <row r="93" spans="1:6" x14ac:dyDescent="0.3">
      <c r="A93">
        <v>1</v>
      </c>
      <c r="B93">
        <v>2</v>
      </c>
      <c r="C93" t="b">
        <v>0</v>
      </c>
      <c r="D93">
        <v>1</v>
      </c>
      <c r="E93">
        <v>0.2</v>
      </c>
      <c r="F93">
        <v>0.2273</v>
      </c>
    </row>
    <row r="94" spans="1:6" x14ac:dyDescent="0.3">
      <c r="A94">
        <v>1</v>
      </c>
      <c r="B94">
        <v>3</v>
      </c>
      <c r="C94" t="b">
        <v>0</v>
      </c>
      <c r="D94">
        <v>1</v>
      </c>
      <c r="E94">
        <v>0.2</v>
      </c>
      <c r="F94">
        <v>0.2576</v>
      </c>
    </row>
    <row r="95" spans="1:6" x14ac:dyDescent="0.3">
      <c r="A95">
        <v>1</v>
      </c>
      <c r="B95">
        <v>3</v>
      </c>
      <c r="C95" t="b">
        <v>0</v>
      </c>
      <c r="D95">
        <v>1</v>
      </c>
      <c r="E95">
        <v>0.16</v>
      </c>
      <c r="F95">
        <v>0.19700000000000001</v>
      </c>
    </row>
    <row r="96" spans="1:6" x14ac:dyDescent="0.3">
      <c r="A96">
        <v>1</v>
      </c>
      <c r="B96">
        <v>3</v>
      </c>
      <c r="C96" t="b">
        <v>0</v>
      </c>
      <c r="D96">
        <v>1</v>
      </c>
      <c r="E96">
        <v>0.16</v>
      </c>
      <c r="F96">
        <v>0.19700000000000001</v>
      </c>
    </row>
    <row r="97" spans="1:6" x14ac:dyDescent="0.3">
      <c r="A97">
        <v>1</v>
      </c>
      <c r="B97">
        <v>3</v>
      </c>
      <c r="C97" t="b">
        <v>0</v>
      </c>
      <c r="D97">
        <v>1</v>
      </c>
      <c r="E97">
        <v>0.24</v>
      </c>
      <c r="F97">
        <v>0.2273</v>
      </c>
    </row>
    <row r="98" spans="1:6" x14ac:dyDescent="0.3">
      <c r="A98">
        <v>1</v>
      </c>
      <c r="B98">
        <v>3</v>
      </c>
      <c r="C98" t="b">
        <v>0</v>
      </c>
      <c r="D98">
        <v>1</v>
      </c>
      <c r="E98">
        <v>0.22</v>
      </c>
      <c r="F98">
        <v>0.2273</v>
      </c>
    </row>
    <row r="99" spans="1:6" x14ac:dyDescent="0.3">
      <c r="A99">
        <v>1</v>
      </c>
      <c r="B99">
        <v>3</v>
      </c>
      <c r="C99" t="b">
        <v>0</v>
      </c>
      <c r="D99">
        <v>1</v>
      </c>
      <c r="E99">
        <v>0.2</v>
      </c>
      <c r="F99">
        <v>0.19700000000000001</v>
      </c>
    </row>
    <row r="100" spans="1:6" x14ac:dyDescent="0.3">
      <c r="A100">
        <v>1</v>
      </c>
      <c r="B100">
        <v>3</v>
      </c>
      <c r="C100" t="b">
        <v>0</v>
      </c>
      <c r="D100">
        <v>1</v>
      </c>
      <c r="E100">
        <v>0.18</v>
      </c>
      <c r="F100">
        <v>0.18179999999999999</v>
      </c>
    </row>
    <row r="101" spans="1:6" x14ac:dyDescent="0.3">
      <c r="A101">
        <v>1</v>
      </c>
      <c r="B101">
        <v>3</v>
      </c>
      <c r="C101" t="b">
        <v>0</v>
      </c>
      <c r="D101">
        <v>1</v>
      </c>
      <c r="E101">
        <v>0.2</v>
      </c>
      <c r="F101">
        <v>0.18179999999999999</v>
      </c>
    </row>
    <row r="102" spans="1:6" x14ac:dyDescent="0.3">
      <c r="A102">
        <v>1</v>
      </c>
      <c r="B102">
        <v>3</v>
      </c>
      <c r="C102" t="b">
        <v>0</v>
      </c>
      <c r="D102">
        <v>1</v>
      </c>
      <c r="E102">
        <v>0.22</v>
      </c>
      <c r="F102">
        <v>0.19700000000000001</v>
      </c>
    </row>
    <row r="103" spans="1:6" x14ac:dyDescent="0.3">
      <c r="A103">
        <v>1</v>
      </c>
      <c r="B103">
        <v>3</v>
      </c>
      <c r="C103" t="b">
        <v>0</v>
      </c>
      <c r="D103">
        <v>1</v>
      </c>
      <c r="E103">
        <v>0.22</v>
      </c>
      <c r="F103">
        <v>0.19700000000000001</v>
      </c>
    </row>
    <row r="104" spans="1:6" x14ac:dyDescent="0.3">
      <c r="A104">
        <v>1</v>
      </c>
      <c r="B104">
        <v>3</v>
      </c>
      <c r="C104" t="b">
        <v>0</v>
      </c>
      <c r="D104">
        <v>1</v>
      </c>
      <c r="E104">
        <v>0.26</v>
      </c>
      <c r="F104">
        <v>0.2273</v>
      </c>
    </row>
    <row r="105" spans="1:6" x14ac:dyDescent="0.3">
      <c r="A105">
        <v>1</v>
      </c>
      <c r="B105">
        <v>3</v>
      </c>
      <c r="C105" t="b">
        <v>0</v>
      </c>
      <c r="D105">
        <v>1</v>
      </c>
      <c r="E105">
        <v>0.26</v>
      </c>
      <c r="F105">
        <v>0.2273</v>
      </c>
    </row>
    <row r="106" spans="1:6" x14ac:dyDescent="0.3">
      <c r="A106">
        <v>1</v>
      </c>
      <c r="B106">
        <v>3</v>
      </c>
      <c r="C106" t="b">
        <v>0</v>
      </c>
      <c r="D106">
        <v>1</v>
      </c>
      <c r="E106">
        <v>0.28000000000000003</v>
      </c>
      <c r="F106">
        <v>0.2576</v>
      </c>
    </row>
    <row r="107" spans="1:6" x14ac:dyDescent="0.3">
      <c r="A107">
        <v>1</v>
      </c>
      <c r="B107">
        <v>3</v>
      </c>
      <c r="C107" t="b">
        <v>0</v>
      </c>
      <c r="D107">
        <v>1</v>
      </c>
      <c r="E107">
        <v>0.3</v>
      </c>
      <c r="F107">
        <v>0.28789999999999999</v>
      </c>
    </row>
    <row r="108" spans="1:6" x14ac:dyDescent="0.3">
      <c r="A108">
        <v>1</v>
      </c>
      <c r="B108">
        <v>3</v>
      </c>
      <c r="C108" t="b">
        <v>0</v>
      </c>
      <c r="D108">
        <v>1</v>
      </c>
      <c r="E108">
        <v>0.3</v>
      </c>
      <c r="F108">
        <v>0.28789999999999999</v>
      </c>
    </row>
    <row r="109" spans="1:6" x14ac:dyDescent="0.3">
      <c r="A109">
        <v>1</v>
      </c>
      <c r="B109">
        <v>3</v>
      </c>
      <c r="C109" t="b">
        <v>0</v>
      </c>
      <c r="D109">
        <v>1</v>
      </c>
      <c r="E109">
        <v>0.3</v>
      </c>
      <c r="F109">
        <v>0.31819999999999998</v>
      </c>
    </row>
    <row r="110" spans="1:6" x14ac:dyDescent="0.3">
      <c r="A110">
        <v>1</v>
      </c>
      <c r="B110">
        <v>3</v>
      </c>
      <c r="C110" t="b">
        <v>0</v>
      </c>
      <c r="D110">
        <v>1</v>
      </c>
      <c r="E110">
        <v>0.24</v>
      </c>
      <c r="F110">
        <v>0.2273</v>
      </c>
    </row>
    <row r="111" spans="1:6" x14ac:dyDescent="0.3">
      <c r="A111">
        <v>1</v>
      </c>
      <c r="B111">
        <v>3</v>
      </c>
      <c r="C111" t="b">
        <v>0</v>
      </c>
      <c r="D111">
        <v>1</v>
      </c>
      <c r="E111">
        <v>0.24</v>
      </c>
      <c r="F111">
        <v>0.2424</v>
      </c>
    </row>
    <row r="112" spans="1:6" x14ac:dyDescent="0.3">
      <c r="A112">
        <v>1</v>
      </c>
      <c r="B112">
        <v>3</v>
      </c>
      <c r="C112" t="b">
        <v>0</v>
      </c>
      <c r="D112">
        <v>1</v>
      </c>
      <c r="E112">
        <v>0.24</v>
      </c>
      <c r="F112">
        <v>0.2576</v>
      </c>
    </row>
    <row r="113" spans="1:6" x14ac:dyDescent="0.3">
      <c r="A113">
        <v>1</v>
      </c>
      <c r="B113">
        <v>3</v>
      </c>
      <c r="C113" t="b">
        <v>0</v>
      </c>
      <c r="D113">
        <v>1</v>
      </c>
      <c r="E113">
        <v>0.22</v>
      </c>
      <c r="F113">
        <v>0.2273</v>
      </c>
    </row>
    <row r="114" spans="1:6" x14ac:dyDescent="0.3">
      <c r="A114">
        <v>1</v>
      </c>
      <c r="B114">
        <v>3</v>
      </c>
      <c r="C114" t="b">
        <v>0</v>
      </c>
      <c r="D114">
        <v>1</v>
      </c>
      <c r="E114">
        <v>0.2</v>
      </c>
      <c r="F114">
        <v>0.19700000000000001</v>
      </c>
    </row>
    <row r="115" spans="1:6" x14ac:dyDescent="0.3">
      <c r="A115">
        <v>1</v>
      </c>
      <c r="B115">
        <v>3</v>
      </c>
      <c r="C115" t="b">
        <v>0</v>
      </c>
      <c r="D115">
        <v>1</v>
      </c>
      <c r="E115">
        <v>0.18</v>
      </c>
      <c r="F115">
        <v>0.19700000000000001</v>
      </c>
    </row>
    <row r="116" spans="1:6" x14ac:dyDescent="0.3">
      <c r="A116">
        <v>1</v>
      </c>
      <c r="B116">
        <v>3</v>
      </c>
      <c r="C116" t="b">
        <v>0</v>
      </c>
      <c r="D116">
        <v>1</v>
      </c>
      <c r="E116">
        <v>0.2</v>
      </c>
      <c r="F116">
        <v>0.2576</v>
      </c>
    </row>
    <row r="117" spans="1:6" x14ac:dyDescent="0.3">
      <c r="A117">
        <v>1</v>
      </c>
      <c r="B117">
        <v>4</v>
      </c>
      <c r="C117" t="b">
        <v>0</v>
      </c>
      <c r="D117">
        <v>1</v>
      </c>
      <c r="E117">
        <v>0.18</v>
      </c>
      <c r="F117">
        <v>0.2424</v>
      </c>
    </row>
    <row r="118" spans="1:6" x14ac:dyDescent="0.3">
      <c r="A118">
        <v>1</v>
      </c>
      <c r="B118">
        <v>4</v>
      </c>
      <c r="C118" t="b">
        <v>0</v>
      </c>
      <c r="D118">
        <v>1</v>
      </c>
      <c r="E118">
        <v>0.16</v>
      </c>
      <c r="F118">
        <v>0.2273</v>
      </c>
    </row>
    <row r="119" spans="1:6" x14ac:dyDescent="0.3">
      <c r="A119">
        <v>1</v>
      </c>
      <c r="B119">
        <v>4</v>
      </c>
      <c r="C119" t="b">
        <v>0</v>
      </c>
      <c r="D119">
        <v>1</v>
      </c>
      <c r="E119">
        <v>0.16</v>
      </c>
      <c r="F119">
        <v>0.2273</v>
      </c>
    </row>
    <row r="120" spans="1:6" x14ac:dyDescent="0.3">
      <c r="A120">
        <v>1</v>
      </c>
      <c r="B120">
        <v>4</v>
      </c>
      <c r="C120" t="b">
        <v>0</v>
      </c>
      <c r="D120">
        <v>2</v>
      </c>
      <c r="E120">
        <v>0.16</v>
      </c>
      <c r="F120">
        <v>0.19700000000000001</v>
      </c>
    </row>
    <row r="121" spans="1:6" x14ac:dyDescent="0.3">
      <c r="A121">
        <v>1</v>
      </c>
      <c r="B121">
        <v>4</v>
      </c>
      <c r="C121" t="b">
        <v>0</v>
      </c>
      <c r="D121">
        <v>2</v>
      </c>
      <c r="E121">
        <v>0.14000000000000001</v>
      </c>
      <c r="F121">
        <v>0.18179999999999999</v>
      </c>
    </row>
    <row r="122" spans="1:6" x14ac:dyDescent="0.3">
      <c r="A122">
        <v>1</v>
      </c>
      <c r="B122">
        <v>4</v>
      </c>
      <c r="C122" t="b">
        <v>0</v>
      </c>
      <c r="D122">
        <v>2</v>
      </c>
      <c r="E122">
        <v>0.14000000000000001</v>
      </c>
      <c r="F122">
        <v>0.16669999999999999</v>
      </c>
    </row>
    <row r="123" spans="1:6" x14ac:dyDescent="0.3">
      <c r="A123">
        <v>1</v>
      </c>
      <c r="B123">
        <v>4</v>
      </c>
      <c r="C123" t="b">
        <v>0</v>
      </c>
      <c r="D123">
        <v>2</v>
      </c>
      <c r="E123">
        <v>0.16</v>
      </c>
      <c r="F123">
        <v>0.2273</v>
      </c>
    </row>
    <row r="124" spans="1:6" x14ac:dyDescent="0.3">
      <c r="A124">
        <v>1</v>
      </c>
      <c r="B124">
        <v>4</v>
      </c>
      <c r="C124" t="b">
        <v>0</v>
      </c>
      <c r="D124">
        <v>1</v>
      </c>
      <c r="E124">
        <v>0.16</v>
      </c>
      <c r="F124">
        <v>0.2273</v>
      </c>
    </row>
    <row r="125" spans="1:6" x14ac:dyDescent="0.3">
      <c r="A125">
        <v>1</v>
      </c>
      <c r="B125">
        <v>4</v>
      </c>
      <c r="C125" t="b">
        <v>0</v>
      </c>
      <c r="D125">
        <v>2</v>
      </c>
      <c r="E125">
        <v>0.18</v>
      </c>
      <c r="F125">
        <v>0.2424</v>
      </c>
    </row>
    <row r="126" spans="1:6" x14ac:dyDescent="0.3">
      <c r="A126">
        <v>1</v>
      </c>
      <c r="B126">
        <v>4</v>
      </c>
      <c r="C126" t="b">
        <v>0</v>
      </c>
      <c r="D126">
        <v>1</v>
      </c>
      <c r="E126">
        <v>0.2</v>
      </c>
      <c r="F126">
        <v>0.2576</v>
      </c>
    </row>
    <row r="127" spans="1:6" x14ac:dyDescent="0.3">
      <c r="A127">
        <v>1</v>
      </c>
      <c r="B127">
        <v>4</v>
      </c>
      <c r="C127" t="b">
        <v>0</v>
      </c>
      <c r="D127">
        <v>1</v>
      </c>
      <c r="E127">
        <v>0.22</v>
      </c>
      <c r="F127">
        <v>0.2576</v>
      </c>
    </row>
    <row r="128" spans="1:6" x14ac:dyDescent="0.3">
      <c r="A128">
        <v>1</v>
      </c>
      <c r="B128">
        <v>4</v>
      </c>
      <c r="C128" t="b">
        <v>0</v>
      </c>
      <c r="D128">
        <v>1</v>
      </c>
      <c r="E128">
        <v>0.26</v>
      </c>
      <c r="F128">
        <v>0.28789999999999999</v>
      </c>
    </row>
    <row r="129" spans="1:6" x14ac:dyDescent="0.3">
      <c r="A129">
        <v>1</v>
      </c>
      <c r="B129">
        <v>4</v>
      </c>
      <c r="C129" t="b">
        <v>0</v>
      </c>
      <c r="D129">
        <v>1</v>
      </c>
      <c r="E129">
        <v>0.26</v>
      </c>
      <c r="F129">
        <v>0.2727</v>
      </c>
    </row>
    <row r="130" spans="1:6" x14ac:dyDescent="0.3">
      <c r="A130">
        <v>1</v>
      </c>
      <c r="B130">
        <v>4</v>
      </c>
      <c r="C130" t="b">
        <v>0</v>
      </c>
      <c r="D130">
        <v>1</v>
      </c>
      <c r="E130">
        <v>0.28000000000000003</v>
      </c>
      <c r="F130">
        <v>0.2727</v>
      </c>
    </row>
    <row r="131" spans="1:6" x14ac:dyDescent="0.3">
      <c r="A131">
        <v>1</v>
      </c>
      <c r="B131">
        <v>4</v>
      </c>
      <c r="C131" t="b">
        <v>0</v>
      </c>
      <c r="D131">
        <v>1</v>
      </c>
      <c r="E131">
        <v>0.28000000000000003</v>
      </c>
      <c r="F131">
        <v>0.2727</v>
      </c>
    </row>
    <row r="132" spans="1:6" x14ac:dyDescent="0.3">
      <c r="A132">
        <v>1</v>
      </c>
      <c r="B132">
        <v>4</v>
      </c>
      <c r="C132" t="b">
        <v>0</v>
      </c>
      <c r="D132">
        <v>1</v>
      </c>
      <c r="E132">
        <v>0.26</v>
      </c>
      <c r="F132">
        <v>0.2576</v>
      </c>
    </row>
    <row r="133" spans="1:6" x14ac:dyDescent="0.3">
      <c r="A133">
        <v>1</v>
      </c>
      <c r="B133">
        <v>4</v>
      </c>
      <c r="C133" t="b">
        <v>0</v>
      </c>
      <c r="D133">
        <v>1</v>
      </c>
      <c r="E133">
        <v>0.22</v>
      </c>
      <c r="F133">
        <v>0.2273</v>
      </c>
    </row>
    <row r="134" spans="1:6" x14ac:dyDescent="0.3">
      <c r="A134">
        <v>1</v>
      </c>
      <c r="B134">
        <v>4</v>
      </c>
      <c r="C134" t="b">
        <v>0</v>
      </c>
      <c r="D134">
        <v>1</v>
      </c>
      <c r="E134">
        <v>0.22</v>
      </c>
      <c r="F134">
        <v>0.2273</v>
      </c>
    </row>
    <row r="135" spans="1:6" x14ac:dyDescent="0.3">
      <c r="A135">
        <v>1</v>
      </c>
      <c r="B135">
        <v>4</v>
      </c>
      <c r="C135" t="b">
        <v>0</v>
      </c>
      <c r="D135">
        <v>1</v>
      </c>
      <c r="E135">
        <v>0.22</v>
      </c>
      <c r="F135">
        <v>0.2576</v>
      </c>
    </row>
    <row r="136" spans="1:6" x14ac:dyDescent="0.3">
      <c r="A136">
        <v>1</v>
      </c>
      <c r="B136">
        <v>4</v>
      </c>
      <c r="C136" t="b">
        <v>0</v>
      </c>
      <c r="D136">
        <v>1</v>
      </c>
      <c r="E136">
        <v>0.2</v>
      </c>
      <c r="F136">
        <v>0.21210000000000001</v>
      </c>
    </row>
    <row r="137" spans="1:6" x14ac:dyDescent="0.3">
      <c r="A137">
        <v>1</v>
      </c>
      <c r="B137">
        <v>4</v>
      </c>
      <c r="C137" t="b">
        <v>0</v>
      </c>
      <c r="D137">
        <v>2</v>
      </c>
      <c r="E137">
        <v>0.22</v>
      </c>
      <c r="F137">
        <v>0.21210000000000001</v>
      </c>
    </row>
    <row r="138" spans="1:6" x14ac:dyDescent="0.3">
      <c r="A138">
        <v>1</v>
      </c>
      <c r="B138">
        <v>4</v>
      </c>
      <c r="C138" t="b">
        <v>0</v>
      </c>
      <c r="D138">
        <v>2</v>
      </c>
      <c r="E138">
        <v>0.22</v>
      </c>
      <c r="F138">
        <v>0.21210000000000001</v>
      </c>
    </row>
    <row r="139" spans="1:6" x14ac:dyDescent="0.3">
      <c r="A139">
        <v>1</v>
      </c>
      <c r="B139">
        <v>4</v>
      </c>
      <c r="C139" t="b">
        <v>0</v>
      </c>
      <c r="D139">
        <v>2</v>
      </c>
      <c r="E139">
        <v>0.2</v>
      </c>
      <c r="F139">
        <v>0.19700000000000001</v>
      </c>
    </row>
    <row r="140" spans="1:6" x14ac:dyDescent="0.3">
      <c r="A140">
        <v>1</v>
      </c>
      <c r="B140">
        <v>5</v>
      </c>
      <c r="C140" t="b">
        <v>0</v>
      </c>
      <c r="D140">
        <v>2</v>
      </c>
      <c r="E140">
        <v>0.2</v>
      </c>
      <c r="F140">
        <v>0.19700000000000001</v>
      </c>
    </row>
    <row r="141" spans="1:6" x14ac:dyDescent="0.3">
      <c r="A141">
        <v>1</v>
      </c>
      <c r="B141">
        <v>5</v>
      </c>
      <c r="C141" t="b">
        <v>0</v>
      </c>
      <c r="D141">
        <v>2</v>
      </c>
      <c r="E141">
        <v>0.2</v>
      </c>
      <c r="F141">
        <v>0.19700000000000001</v>
      </c>
    </row>
    <row r="142" spans="1:6" x14ac:dyDescent="0.3">
      <c r="A142">
        <v>1</v>
      </c>
      <c r="B142">
        <v>5</v>
      </c>
      <c r="C142" t="b">
        <v>0</v>
      </c>
      <c r="D142">
        <v>2</v>
      </c>
      <c r="E142">
        <v>0.2</v>
      </c>
      <c r="F142">
        <v>0.19700000000000001</v>
      </c>
    </row>
    <row r="143" spans="1:6" x14ac:dyDescent="0.3">
      <c r="A143">
        <v>1</v>
      </c>
      <c r="B143">
        <v>5</v>
      </c>
      <c r="C143" t="b">
        <v>0</v>
      </c>
      <c r="D143">
        <v>2</v>
      </c>
      <c r="E143">
        <v>0.2</v>
      </c>
      <c r="F143">
        <v>0.21210000000000001</v>
      </c>
    </row>
    <row r="144" spans="1:6" x14ac:dyDescent="0.3">
      <c r="A144">
        <v>1</v>
      </c>
      <c r="B144">
        <v>5</v>
      </c>
      <c r="C144" t="b">
        <v>0</v>
      </c>
      <c r="D144">
        <v>3</v>
      </c>
      <c r="E144">
        <v>0.22</v>
      </c>
      <c r="F144">
        <v>0.2727</v>
      </c>
    </row>
    <row r="145" spans="1:6" x14ac:dyDescent="0.3">
      <c r="A145">
        <v>1</v>
      </c>
      <c r="B145">
        <v>5</v>
      </c>
      <c r="C145" t="b">
        <v>0</v>
      </c>
      <c r="D145">
        <v>2</v>
      </c>
      <c r="E145">
        <v>0.2</v>
      </c>
      <c r="F145">
        <v>0.2576</v>
      </c>
    </row>
    <row r="146" spans="1:6" x14ac:dyDescent="0.3">
      <c r="A146">
        <v>1</v>
      </c>
      <c r="B146">
        <v>5</v>
      </c>
      <c r="C146" t="b">
        <v>0</v>
      </c>
      <c r="D146">
        <v>1</v>
      </c>
      <c r="E146">
        <v>0.2</v>
      </c>
      <c r="F146">
        <v>0.21210000000000001</v>
      </c>
    </row>
    <row r="147" spans="1:6" x14ac:dyDescent="0.3">
      <c r="A147">
        <v>1</v>
      </c>
      <c r="B147">
        <v>5</v>
      </c>
      <c r="C147" t="b">
        <v>0</v>
      </c>
      <c r="D147">
        <v>1</v>
      </c>
      <c r="E147">
        <v>0.2</v>
      </c>
      <c r="F147">
        <v>0.19700000000000001</v>
      </c>
    </row>
    <row r="148" spans="1:6" x14ac:dyDescent="0.3">
      <c r="A148">
        <v>1</v>
      </c>
      <c r="B148">
        <v>5</v>
      </c>
      <c r="C148" t="b">
        <v>0</v>
      </c>
      <c r="D148">
        <v>1</v>
      </c>
      <c r="E148">
        <v>0.2</v>
      </c>
      <c r="F148">
        <v>0.18179999999999999</v>
      </c>
    </row>
    <row r="149" spans="1:6" x14ac:dyDescent="0.3">
      <c r="A149">
        <v>1</v>
      </c>
      <c r="B149">
        <v>5</v>
      </c>
      <c r="C149" t="b">
        <v>0</v>
      </c>
      <c r="D149">
        <v>1</v>
      </c>
      <c r="E149">
        <v>0.22</v>
      </c>
      <c r="F149">
        <v>0.19700000000000001</v>
      </c>
    </row>
    <row r="150" spans="1:6" x14ac:dyDescent="0.3">
      <c r="A150">
        <v>1</v>
      </c>
      <c r="B150">
        <v>5</v>
      </c>
      <c r="C150" t="b">
        <v>0</v>
      </c>
      <c r="D150">
        <v>2</v>
      </c>
      <c r="E150">
        <v>0.2</v>
      </c>
      <c r="F150">
        <v>0.19700000000000001</v>
      </c>
    </row>
    <row r="151" spans="1:6" x14ac:dyDescent="0.3">
      <c r="A151">
        <v>1</v>
      </c>
      <c r="B151">
        <v>5</v>
      </c>
      <c r="C151" t="b">
        <v>0</v>
      </c>
      <c r="D151">
        <v>2</v>
      </c>
      <c r="E151">
        <v>0.2</v>
      </c>
      <c r="F151">
        <v>0.19700000000000001</v>
      </c>
    </row>
    <row r="152" spans="1:6" x14ac:dyDescent="0.3">
      <c r="A152">
        <v>1</v>
      </c>
      <c r="B152">
        <v>5</v>
      </c>
      <c r="C152" t="b">
        <v>0</v>
      </c>
      <c r="D152">
        <v>2</v>
      </c>
      <c r="E152">
        <v>0.2</v>
      </c>
      <c r="F152">
        <v>0.18179999999999999</v>
      </c>
    </row>
    <row r="153" spans="1:6" x14ac:dyDescent="0.3">
      <c r="A153">
        <v>1</v>
      </c>
      <c r="B153">
        <v>5</v>
      </c>
      <c r="C153" t="b">
        <v>0</v>
      </c>
      <c r="D153">
        <v>2</v>
      </c>
      <c r="E153">
        <v>0.2</v>
      </c>
      <c r="F153">
        <v>0.19700000000000001</v>
      </c>
    </row>
    <row r="154" spans="1:6" x14ac:dyDescent="0.3">
      <c r="A154">
        <v>1</v>
      </c>
      <c r="B154">
        <v>5</v>
      </c>
      <c r="C154" t="b">
        <v>0</v>
      </c>
      <c r="D154">
        <v>2</v>
      </c>
      <c r="E154">
        <v>0.2</v>
      </c>
      <c r="F154">
        <v>0.21210000000000001</v>
      </c>
    </row>
    <row r="155" spans="1:6" x14ac:dyDescent="0.3">
      <c r="A155">
        <v>1</v>
      </c>
      <c r="B155">
        <v>5</v>
      </c>
      <c r="C155" t="b">
        <v>0</v>
      </c>
      <c r="D155">
        <v>2</v>
      </c>
      <c r="E155">
        <v>0.2</v>
      </c>
      <c r="F155">
        <v>0.21210000000000001</v>
      </c>
    </row>
    <row r="156" spans="1:6" x14ac:dyDescent="0.3">
      <c r="A156">
        <v>1</v>
      </c>
      <c r="B156">
        <v>5</v>
      </c>
      <c r="C156" t="b">
        <v>0</v>
      </c>
      <c r="D156">
        <v>2</v>
      </c>
      <c r="E156">
        <v>0.2</v>
      </c>
      <c r="F156">
        <v>0.2576</v>
      </c>
    </row>
    <row r="157" spans="1:6" x14ac:dyDescent="0.3">
      <c r="A157">
        <v>1</v>
      </c>
      <c r="B157">
        <v>5</v>
      </c>
      <c r="C157" t="b">
        <v>0</v>
      </c>
      <c r="D157">
        <v>1</v>
      </c>
      <c r="E157">
        <v>0.2</v>
      </c>
      <c r="F157">
        <v>0.2273</v>
      </c>
    </row>
    <row r="158" spans="1:6" x14ac:dyDescent="0.3">
      <c r="A158">
        <v>1</v>
      </c>
      <c r="B158">
        <v>5</v>
      </c>
      <c r="C158" t="b">
        <v>0</v>
      </c>
      <c r="D158">
        <v>1</v>
      </c>
      <c r="E158">
        <v>0.16</v>
      </c>
      <c r="F158">
        <v>0.19700000000000001</v>
      </c>
    </row>
    <row r="159" spans="1:6" x14ac:dyDescent="0.3">
      <c r="A159">
        <v>1</v>
      </c>
      <c r="B159">
        <v>5</v>
      </c>
      <c r="C159" t="b">
        <v>0</v>
      </c>
      <c r="D159">
        <v>1</v>
      </c>
      <c r="E159">
        <v>0.18</v>
      </c>
      <c r="F159">
        <v>0.21210000000000001</v>
      </c>
    </row>
    <row r="160" spans="1:6" x14ac:dyDescent="0.3">
      <c r="A160">
        <v>1</v>
      </c>
      <c r="B160">
        <v>5</v>
      </c>
      <c r="C160" t="b">
        <v>0</v>
      </c>
      <c r="D160">
        <v>1</v>
      </c>
      <c r="E160">
        <v>0.18</v>
      </c>
      <c r="F160">
        <v>0.19700000000000001</v>
      </c>
    </row>
    <row r="161" spans="1:6" x14ac:dyDescent="0.3">
      <c r="A161">
        <v>1</v>
      </c>
      <c r="B161">
        <v>5</v>
      </c>
      <c r="C161" t="b">
        <v>0</v>
      </c>
      <c r="D161">
        <v>2</v>
      </c>
      <c r="E161">
        <v>0.18</v>
      </c>
      <c r="F161">
        <v>0.19700000000000001</v>
      </c>
    </row>
    <row r="162" spans="1:6" x14ac:dyDescent="0.3">
      <c r="A162">
        <v>1</v>
      </c>
      <c r="B162">
        <v>5</v>
      </c>
      <c r="C162" t="b">
        <v>0</v>
      </c>
      <c r="D162">
        <v>2</v>
      </c>
      <c r="E162">
        <v>0.18</v>
      </c>
      <c r="F162">
        <v>0.19700000000000001</v>
      </c>
    </row>
    <row r="163" spans="1:6" x14ac:dyDescent="0.3">
      <c r="A163">
        <v>1</v>
      </c>
      <c r="B163">
        <v>6</v>
      </c>
      <c r="C163" t="b">
        <v>0</v>
      </c>
      <c r="D163">
        <v>2</v>
      </c>
      <c r="E163">
        <v>0.18</v>
      </c>
      <c r="F163">
        <v>0.19700000000000001</v>
      </c>
    </row>
    <row r="164" spans="1:6" x14ac:dyDescent="0.3">
      <c r="A164">
        <v>1</v>
      </c>
      <c r="B164">
        <v>6</v>
      </c>
      <c r="C164" t="b">
        <v>0</v>
      </c>
      <c r="D164">
        <v>2</v>
      </c>
      <c r="E164">
        <v>0.18</v>
      </c>
      <c r="F164">
        <v>0.21210000000000001</v>
      </c>
    </row>
    <row r="165" spans="1:6" x14ac:dyDescent="0.3">
      <c r="A165">
        <v>1</v>
      </c>
      <c r="B165">
        <v>6</v>
      </c>
      <c r="C165" t="b">
        <v>0</v>
      </c>
      <c r="D165">
        <v>2</v>
      </c>
      <c r="E165">
        <v>0.18</v>
      </c>
      <c r="F165">
        <v>0.2424</v>
      </c>
    </row>
    <row r="166" spans="1:6" x14ac:dyDescent="0.3">
      <c r="A166">
        <v>1</v>
      </c>
      <c r="B166">
        <v>6</v>
      </c>
      <c r="C166" t="b">
        <v>0</v>
      </c>
      <c r="D166">
        <v>3</v>
      </c>
      <c r="E166">
        <v>0.18</v>
      </c>
      <c r="F166">
        <v>0.19700000000000001</v>
      </c>
    </row>
    <row r="167" spans="1:6" x14ac:dyDescent="0.3">
      <c r="A167">
        <v>1</v>
      </c>
      <c r="B167">
        <v>6</v>
      </c>
      <c r="C167" t="b">
        <v>0</v>
      </c>
      <c r="D167">
        <v>3</v>
      </c>
      <c r="E167">
        <v>0.18</v>
      </c>
      <c r="F167">
        <v>0.19700000000000001</v>
      </c>
    </row>
    <row r="168" spans="1:6" x14ac:dyDescent="0.3">
      <c r="A168">
        <v>1</v>
      </c>
      <c r="B168">
        <v>6</v>
      </c>
      <c r="C168" t="b">
        <v>0</v>
      </c>
      <c r="D168">
        <v>2</v>
      </c>
      <c r="E168">
        <v>0.16</v>
      </c>
      <c r="F168">
        <v>0.16669999999999999</v>
      </c>
    </row>
    <row r="169" spans="1:6" x14ac:dyDescent="0.3">
      <c r="A169">
        <v>1</v>
      </c>
      <c r="B169">
        <v>6</v>
      </c>
      <c r="C169" t="b">
        <v>0</v>
      </c>
      <c r="D169">
        <v>2</v>
      </c>
      <c r="E169">
        <v>0.16</v>
      </c>
      <c r="F169">
        <v>0.16669999999999999</v>
      </c>
    </row>
    <row r="170" spans="1:6" x14ac:dyDescent="0.3">
      <c r="A170">
        <v>1</v>
      </c>
      <c r="B170">
        <v>6</v>
      </c>
      <c r="C170" t="b">
        <v>0</v>
      </c>
      <c r="D170">
        <v>2</v>
      </c>
      <c r="E170">
        <v>0.16</v>
      </c>
      <c r="F170">
        <v>0.18179999999999999</v>
      </c>
    </row>
    <row r="171" spans="1:6" x14ac:dyDescent="0.3">
      <c r="A171">
        <v>1</v>
      </c>
      <c r="B171">
        <v>6</v>
      </c>
      <c r="C171" t="b">
        <v>0</v>
      </c>
      <c r="D171">
        <v>3</v>
      </c>
      <c r="E171">
        <v>0.16</v>
      </c>
      <c r="F171">
        <v>0.18179999999999999</v>
      </c>
    </row>
    <row r="172" spans="1:6" x14ac:dyDescent="0.3">
      <c r="A172">
        <v>1</v>
      </c>
      <c r="B172">
        <v>6</v>
      </c>
      <c r="C172" t="b">
        <v>0</v>
      </c>
      <c r="D172">
        <v>3</v>
      </c>
      <c r="E172">
        <v>0.16</v>
      </c>
      <c r="F172">
        <v>0.18179999999999999</v>
      </c>
    </row>
    <row r="173" spans="1:6" x14ac:dyDescent="0.3">
      <c r="A173">
        <v>1</v>
      </c>
      <c r="B173">
        <v>6</v>
      </c>
      <c r="C173" t="b">
        <v>0</v>
      </c>
      <c r="D173">
        <v>2</v>
      </c>
      <c r="E173">
        <v>0.18</v>
      </c>
      <c r="F173">
        <v>0.19700000000000001</v>
      </c>
    </row>
    <row r="174" spans="1:6" x14ac:dyDescent="0.3">
      <c r="A174">
        <v>1</v>
      </c>
      <c r="B174">
        <v>6</v>
      </c>
      <c r="C174" t="b">
        <v>0</v>
      </c>
      <c r="D174">
        <v>2</v>
      </c>
      <c r="E174">
        <v>0.2</v>
      </c>
      <c r="F174">
        <v>0.18179999999999999</v>
      </c>
    </row>
    <row r="175" spans="1:6" x14ac:dyDescent="0.3">
      <c r="A175">
        <v>1</v>
      </c>
      <c r="B175">
        <v>6</v>
      </c>
      <c r="C175" t="b">
        <v>0</v>
      </c>
      <c r="D175">
        <v>2</v>
      </c>
      <c r="E175">
        <v>0.2</v>
      </c>
      <c r="F175">
        <v>0.18179999999999999</v>
      </c>
    </row>
    <row r="176" spans="1:6" x14ac:dyDescent="0.3">
      <c r="A176">
        <v>1</v>
      </c>
      <c r="B176">
        <v>6</v>
      </c>
      <c r="C176" t="b">
        <v>0</v>
      </c>
      <c r="D176">
        <v>1</v>
      </c>
      <c r="E176">
        <v>0.2</v>
      </c>
      <c r="F176">
        <v>0.18179999999999999</v>
      </c>
    </row>
    <row r="177" spans="1:6" x14ac:dyDescent="0.3">
      <c r="A177">
        <v>1</v>
      </c>
      <c r="B177">
        <v>6</v>
      </c>
      <c r="C177" t="b">
        <v>0</v>
      </c>
      <c r="D177">
        <v>1</v>
      </c>
      <c r="E177">
        <v>0.2</v>
      </c>
      <c r="F177">
        <v>0.16669999999999999</v>
      </c>
    </row>
    <row r="178" spans="1:6" x14ac:dyDescent="0.3">
      <c r="A178">
        <v>1</v>
      </c>
      <c r="B178">
        <v>6</v>
      </c>
      <c r="C178" t="b">
        <v>0</v>
      </c>
      <c r="D178">
        <v>1</v>
      </c>
      <c r="E178">
        <v>0.2</v>
      </c>
      <c r="F178">
        <v>0.16669999999999999</v>
      </c>
    </row>
    <row r="179" spans="1:6" x14ac:dyDescent="0.3">
      <c r="A179">
        <v>1</v>
      </c>
      <c r="B179">
        <v>6</v>
      </c>
      <c r="C179" t="b">
        <v>0</v>
      </c>
      <c r="D179">
        <v>1</v>
      </c>
      <c r="E179">
        <v>0.18</v>
      </c>
      <c r="F179">
        <v>0.13639999999999999</v>
      </c>
    </row>
    <row r="180" spans="1:6" x14ac:dyDescent="0.3">
      <c r="A180">
        <v>1</v>
      </c>
      <c r="B180">
        <v>6</v>
      </c>
      <c r="C180" t="b">
        <v>0</v>
      </c>
      <c r="D180">
        <v>1</v>
      </c>
      <c r="E180">
        <v>0.16</v>
      </c>
      <c r="F180">
        <v>0.1212</v>
      </c>
    </row>
    <row r="181" spans="1:6" x14ac:dyDescent="0.3">
      <c r="A181">
        <v>1</v>
      </c>
      <c r="B181">
        <v>6</v>
      </c>
      <c r="C181" t="b">
        <v>0</v>
      </c>
      <c r="D181">
        <v>1</v>
      </c>
      <c r="E181">
        <v>0.14000000000000001</v>
      </c>
      <c r="F181">
        <v>0.1212</v>
      </c>
    </row>
    <row r="182" spans="1:6" x14ac:dyDescent="0.3">
      <c r="A182">
        <v>1</v>
      </c>
      <c r="B182">
        <v>6</v>
      </c>
      <c r="C182" t="b">
        <v>0</v>
      </c>
      <c r="D182">
        <v>1</v>
      </c>
      <c r="E182">
        <v>0.14000000000000001</v>
      </c>
      <c r="F182">
        <v>0.1212</v>
      </c>
    </row>
    <row r="183" spans="1:6" x14ac:dyDescent="0.3">
      <c r="A183">
        <v>1</v>
      </c>
      <c r="B183">
        <v>6</v>
      </c>
      <c r="C183" t="b">
        <v>0</v>
      </c>
      <c r="D183">
        <v>1</v>
      </c>
      <c r="E183">
        <v>0.12</v>
      </c>
      <c r="F183">
        <v>0.1212</v>
      </c>
    </row>
    <row r="184" spans="1:6" x14ac:dyDescent="0.3">
      <c r="A184">
        <v>1</v>
      </c>
      <c r="B184">
        <v>6</v>
      </c>
      <c r="C184" t="b">
        <v>0</v>
      </c>
      <c r="D184">
        <v>1</v>
      </c>
      <c r="E184">
        <v>0.12</v>
      </c>
      <c r="F184">
        <v>0.1061</v>
      </c>
    </row>
    <row r="185" spans="1:6" x14ac:dyDescent="0.3">
      <c r="A185">
        <v>1</v>
      </c>
      <c r="B185">
        <v>6</v>
      </c>
      <c r="C185" t="b">
        <v>0</v>
      </c>
      <c r="D185">
        <v>1</v>
      </c>
      <c r="E185">
        <v>0.12</v>
      </c>
      <c r="F185">
        <v>0.1061</v>
      </c>
    </row>
    <row r="186" spans="1:6" x14ac:dyDescent="0.3">
      <c r="A186">
        <v>1</v>
      </c>
      <c r="B186">
        <v>6</v>
      </c>
      <c r="C186" t="b">
        <v>0</v>
      </c>
      <c r="D186">
        <v>1</v>
      </c>
      <c r="E186">
        <v>0.1</v>
      </c>
      <c r="F186">
        <v>6.0600000000000001E-2</v>
      </c>
    </row>
    <row r="187" spans="1:6" x14ac:dyDescent="0.3">
      <c r="A187">
        <v>1</v>
      </c>
      <c r="B187">
        <v>0</v>
      </c>
      <c r="C187" t="b">
        <v>0</v>
      </c>
      <c r="D187">
        <v>1</v>
      </c>
      <c r="E187">
        <v>0.1</v>
      </c>
      <c r="F187">
        <v>7.5800000000000006E-2</v>
      </c>
    </row>
    <row r="188" spans="1:6" x14ac:dyDescent="0.3">
      <c r="A188">
        <v>1</v>
      </c>
      <c r="B188">
        <v>0</v>
      </c>
      <c r="C188" t="b">
        <v>0</v>
      </c>
      <c r="D188">
        <v>1</v>
      </c>
      <c r="E188">
        <v>0.1</v>
      </c>
      <c r="F188">
        <v>6.0600000000000001E-2</v>
      </c>
    </row>
    <row r="189" spans="1:6" x14ac:dyDescent="0.3">
      <c r="A189">
        <v>1</v>
      </c>
      <c r="B189">
        <v>0</v>
      </c>
      <c r="C189" t="b">
        <v>0</v>
      </c>
      <c r="D189">
        <v>1</v>
      </c>
      <c r="E189">
        <v>0.1</v>
      </c>
      <c r="F189">
        <v>6.0600000000000001E-2</v>
      </c>
    </row>
    <row r="190" spans="1:6" x14ac:dyDescent="0.3">
      <c r="A190">
        <v>1</v>
      </c>
      <c r="B190">
        <v>0</v>
      </c>
      <c r="C190" t="b">
        <v>0</v>
      </c>
      <c r="D190">
        <v>1</v>
      </c>
      <c r="E190">
        <v>0.1</v>
      </c>
      <c r="F190">
        <v>7.5800000000000006E-2</v>
      </c>
    </row>
    <row r="191" spans="1:6" x14ac:dyDescent="0.3">
      <c r="A191">
        <v>1</v>
      </c>
      <c r="B191">
        <v>0</v>
      </c>
      <c r="C191" t="b">
        <v>0</v>
      </c>
      <c r="D191">
        <v>1</v>
      </c>
      <c r="E191">
        <v>0.08</v>
      </c>
      <c r="F191">
        <v>9.0899999999999995E-2</v>
      </c>
    </row>
    <row r="192" spans="1:6" x14ac:dyDescent="0.3">
      <c r="A192">
        <v>1</v>
      </c>
      <c r="B192">
        <v>0</v>
      </c>
      <c r="C192" t="b">
        <v>0</v>
      </c>
      <c r="D192">
        <v>1</v>
      </c>
      <c r="E192">
        <v>0.08</v>
      </c>
      <c r="F192">
        <v>9.0899999999999995E-2</v>
      </c>
    </row>
    <row r="193" spans="1:6" x14ac:dyDescent="0.3">
      <c r="A193">
        <v>1</v>
      </c>
      <c r="B193">
        <v>0</v>
      </c>
      <c r="C193" t="b">
        <v>0</v>
      </c>
      <c r="D193">
        <v>1</v>
      </c>
      <c r="E193">
        <v>0.1</v>
      </c>
      <c r="F193">
        <v>9.0899999999999995E-2</v>
      </c>
    </row>
    <row r="194" spans="1:6" x14ac:dyDescent="0.3">
      <c r="A194">
        <v>1</v>
      </c>
      <c r="B194">
        <v>0</v>
      </c>
      <c r="C194" t="b">
        <v>0</v>
      </c>
      <c r="D194">
        <v>1</v>
      </c>
      <c r="E194">
        <v>0.08</v>
      </c>
      <c r="F194">
        <v>9.0899999999999995E-2</v>
      </c>
    </row>
    <row r="195" spans="1:6" x14ac:dyDescent="0.3">
      <c r="A195">
        <v>1</v>
      </c>
      <c r="B195">
        <v>0</v>
      </c>
      <c r="C195" t="b">
        <v>0</v>
      </c>
      <c r="D195">
        <v>1</v>
      </c>
      <c r="E195">
        <v>0.1</v>
      </c>
      <c r="F195">
        <v>9.0899999999999995E-2</v>
      </c>
    </row>
    <row r="196" spans="1:6" x14ac:dyDescent="0.3">
      <c r="A196">
        <v>1</v>
      </c>
      <c r="B196">
        <v>0</v>
      </c>
      <c r="C196" t="b">
        <v>0</v>
      </c>
      <c r="D196">
        <v>1</v>
      </c>
      <c r="E196">
        <v>0.12</v>
      </c>
      <c r="F196">
        <v>7.5800000000000006E-2</v>
      </c>
    </row>
    <row r="197" spans="1:6" x14ac:dyDescent="0.3">
      <c r="A197">
        <v>1</v>
      </c>
      <c r="B197">
        <v>0</v>
      </c>
      <c r="C197" t="b">
        <v>0</v>
      </c>
      <c r="D197">
        <v>1</v>
      </c>
      <c r="E197">
        <v>0.14000000000000001</v>
      </c>
      <c r="F197">
        <v>0.1061</v>
      </c>
    </row>
    <row r="198" spans="1:6" x14ac:dyDescent="0.3">
      <c r="A198">
        <v>1</v>
      </c>
      <c r="B198">
        <v>0</v>
      </c>
      <c r="C198" t="b">
        <v>0</v>
      </c>
      <c r="D198">
        <v>1</v>
      </c>
      <c r="E198">
        <v>0.16</v>
      </c>
      <c r="F198">
        <v>0.1212</v>
      </c>
    </row>
    <row r="199" spans="1:6" x14ac:dyDescent="0.3">
      <c r="A199">
        <v>1</v>
      </c>
      <c r="B199">
        <v>0</v>
      </c>
      <c r="C199" t="b">
        <v>0</v>
      </c>
      <c r="D199">
        <v>1</v>
      </c>
      <c r="E199">
        <v>0.18</v>
      </c>
      <c r="F199">
        <v>0.13639999999999999</v>
      </c>
    </row>
    <row r="200" spans="1:6" x14ac:dyDescent="0.3">
      <c r="A200">
        <v>1</v>
      </c>
      <c r="B200">
        <v>0</v>
      </c>
      <c r="C200" t="b">
        <v>0</v>
      </c>
      <c r="D200">
        <v>1</v>
      </c>
      <c r="E200">
        <v>0.2</v>
      </c>
      <c r="F200">
        <v>0.16669999999999999</v>
      </c>
    </row>
    <row r="201" spans="1:6" x14ac:dyDescent="0.3">
      <c r="A201">
        <v>1</v>
      </c>
      <c r="B201">
        <v>0</v>
      </c>
      <c r="C201" t="b">
        <v>0</v>
      </c>
      <c r="D201">
        <v>1</v>
      </c>
      <c r="E201">
        <v>0.22</v>
      </c>
      <c r="F201">
        <v>0.18179999999999999</v>
      </c>
    </row>
    <row r="202" spans="1:6" x14ac:dyDescent="0.3">
      <c r="A202">
        <v>1</v>
      </c>
      <c r="B202">
        <v>0</v>
      </c>
      <c r="C202" t="b">
        <v>0</v>
      </c>
      <c r="D202">
        <v>1</v>
      </c>
      <c r="E202">
        <v>0.22</v>
      </c>
      <c r="F202">
        <v>0.19700000000000001</v>
      </c>
    </row>
    <row r="203" spans="1:6" x14ac:dyDescent="0.3">
      <c r="A203">
        <v>1</v>
      </c>
      <c r="B203">
        <v>0</v>
      </c>
      <c r="C203" t="b">
        <v>0</v>
      </c>
      <c r="D203">
        <v>1</v>
      </c>
      <c r="E203">
        <v>0.2</v>
      </c>
      <c r="F203">
        <v>0.16669999999999999</v>
      </c>
    </row>
    <row r="204" spans="1:6" x14ac:dyDescent="0.3">
      <c r="A204">
        <v>1</v>
      </c>
      <c r="B204">
        <v>0</v>
      </c>
      <c r="C204" t="b">
        <v>0</v>
      </c>
      <c r="D204">
        <v>1</v>
      </c>
      <c r="E204">
        <v>0.18</v>
      </c>
      <c r="F204">
        <v>0.1515</v>
      </c>
    </row>
    <row r="205" spans="1:6" x14ac:dyDescent="0.3">
      <c r="A205">
        <v>1</v>
      </c>
      <c r="B205">
        <v>0</v>
      </c>
      <c r="C205" t="b">
        <v>0</v>
      </c>
      <c r="D205">
        <v>1</v>
      </c>
      <c r="E205">
        <v>0.16</v>
      </c>
      <c r="F205">
        <v>0.13639999999999999</v>
      </c>
    </row>
    <row r="206" spans="1:6" x14ac:dyDescent="0.3">
      <c r="A206">
        <v>1</v>
      </c>
      <c r="B206">
        <v>0</v>
      </c>
      <c r="C206" t="b">
        <v>0</v>
      </c>
      <c r="D206">
        <v>1</v>
      </c>
      <c r="E206">
        <v>0.16</v>
      </c>
      <c r="F206">
        <v>0.13639999999999999</v>
      </c>
    </row>
    <row r="207" spans="1:6" x14ac:dyDescent="0.3">
      <c r="A207">
        <v>1</v>
      </c>
      <c r="B207">
        <v>0</v>
      </c>
      <c r="C207" t="b">
        <v>0</v>
      </c>
      <c r="D207">
        <v>1</v>
      </c>
      <c r="E207">
        <v>0.14000000000000001</v>
      </c>
      <c r="F207">
        <v>0.1212</v>
      </c>
    </row>
    <row r="208" spans="1:6" x14ac:dyDescent="0.3">
      <c r="A208">
        <v>1</v>
      </c>
      <c r="B208">
        <v>0</v>
      </c>
      <c r="C208" t="b">
        <v>0</v>
      </c>
      <c r="D208">
        <v>1</v>
      </c>
      <c r="E208">
        <v>0.14000000000000001</v>
      </c>
      <c r="F208">
        <v>0.1061</v>
      </c>
    </row>
    <row r="209" spans="1:6" x14ac:dyDescent="0.3">
      <c r="A209">
        <v>1</v>
      </c>
      <c r="B209">
        <v>0</v>
      </c>
      <c r="C209" t="b">
        <v>0</v>
      </c>
      <c r="D209">
        <v>1</v>
      </c>
      <c r="E209">
        <v>0.14000000000000001</v>
      </c>
      <c r="F209">
        <v>0.1212</v>
      </c>
    </row>
    <row r="210" spans="1:6" x14ac:dyDescent="0.3">
      <c r="A210">
        <v>1</v>
      </c>
      <c r="B210">
        <v>0</v>
      </c>
      <c r="C210" t="b">
        <v>0</v>
      </c>
      <c r="D210">
        <v>1</v>
      </c>
      <c r="E210">
        <v>0.12</v>
      </c>
      <c r="F210">
        <v>0.13639999999999999</v>
      </c>
    </row>
    <row r="211" spans="1:6" x14ac:dyDescent="0.3">
      <c r="A211">
        <v>1</v>
      </c>
      <c r="B211">
        <v>1</v>
      </c>
      <c r="C211" t="b">
        <v>0</v>
      </c>
      <c r="D211">
        <v>1</v>
      </c>
      <c r="E211">
        <v>0.12</v>
      </c>
      <c r="F211">
        <v>0.1212</v>
      </c>
    </row>
    <row r="212" spans="1:6" x14ac:dyDescent="0.3">
      <c r="A212">
        <v>1</v>
      </c>
      <c r="B212">
        <v>1</v>
      </c>
      <c r="C212" t="b">
        <v>0</v>
      </c>
      <c r="D212">
        <v>1</v>
      </c>
      <c r="E212">
        <v>0.12</v>
      </c>
      <c r="F212">
        <v>0.1212</v>
      </c>
    </row>
    <row r="213" spans="1:6" x14ac:dyDescent="0.3">
      <c r="A213">
        <v>1</v>
      </c>
      <c r="B213">
        <v>1</v>
      </c>
      <c r="C213" t="b">
        <v>0</v>
      </c>
      <c r="D213">
        <v>1</v>
      </c>
      <c r="E213">
        <v>0.12</v>
      </c>
      <c r="F213">
        <v>0.1212</v>
      </c>
    </row>
    <row r="214" spans="1:6" x14ac:dyDescent="0.3">
      <c r="A214">
        <v>1</v>
      </c>
      <c r="B214">
        <v>1</v>
      </c>
      <c r="C214" t="b">
        <v>0</v>
      </c>
      <c r="D214">
        <v>1</v>
      </c>
      <c r="E214">
        <v>0.12</v>
      </c>
      <c r="F214">
        <v>0.1212</v>
      </c>
    </row>
    <row r="215" spans="1:6" x14ac:dyDescent="0.3">
      <c r="A215">
        <v>1</v>
      </c>
      <c r="B215">
        <v>1</v>
      </c>
      <c r="C215" t="b">
        <v>0</v>
      </c>
      <c r="D215">
        <v>1</v>
      </c>
      <c r="E215">
        <v>0.1</v>
      </c>
      <c r="F215">
        <v>0.1212</v>
      </c>
    </row>
    <row r="216" spans="1:6" x14ac:dyDescent="0.3">
      <c r="A216">
        <v>1</v>
      </c>
      <c r="B216">
        <v>1</v>
      </c>
      <c r="C216" t="b">
        <v>0</v>
      </c>
      <c r="D216">
        <v>1</v>
      </c>
      <c r="E216">
        <v>0.1</v>
      </c>
      <c r="F216">
        <v>0.1061</v>
      </c>
    </row>
    <row r="217" spans="1:6" x14ac:dyDescent="0.3">
      <c r="A217">
        <v>1</v>
      </c>
      <c r="B217">
        <v>1</v>
      </c>
      <c r="C217" t="b">
        <v>0</v>
      </c>
      <c r="D217">
        <v>1</v>
      </c>
      <c r="E217">
        <v>0.12</v>
      </c>
      <c r="F217">
        <v>0.1212</v>
      </c>
    </row>
    <row r="218" spans="1:6" x14ac:dyDescent="0.3">
      <c r="A218">
        <v>1</v>
      </c>
      <c r="B218">
        <v>1</v>
      </c>
      <c r="C218" t="b">
        <v>0</v>
      </c>
      <c r="D218">
        <v>1</v>
      </c>
      <c r="E218">
        <v>0.12</v>
      </c>
      <c r="F218">
        <v>0.1212</v>
      </c>
    </row>
    <row r="219" spans="1:6" x14ac:dyDescent="0.3">
      <c r="A219">
        <v>1</v>
      </c>
      <c r="B219">
        <v>1</v>
      </c>
      <c r="C219" t="b">
        <v>0</v>
      </c>
      <c r="D219">
        <v>2</v>
      </c>
      <c r="E219">
        <v>0.12</v>
      </c>
      <c r="F219">
        <v>0.1212</v>
      </c>
    </row>
    <row r="220" spans="1:6" x14ac:dyDescent="0.3">
      <c r="A220">
        <v>1</v>
      </c>
      <c r="B220">
        <v>1</v>
      </c>
      <c r="C220" t="b">
        <v>0</v>
      </c>
      <c r="D220">
        <v>2</v>
      </c>
      <c r="E220">
        <v>0.14000000000000001</v>
      </c>
      <c r="F220">
        <v>0.1212</v>
      </c>
    </row>
    <row r="221" spans="1:6" x14ac:dyDescent="0.3">
      <c r="A221">
        <v>1</v>
      </c>
      <c r="B221">
        <v>1</v>
      </c>
      <c r="C221" t="b">
        <v>0</v>
      </c>
      <c r="D221">
        <v>2</v>
      </c>
      <c r="E221">
        <v>0.14000000000000001</v>
      </c>
      <c r="F221">
        <v>0.1212</v>
      </c>
    </row>
    <row r="222" spans="1:6" x14ac:dyDescent="0.3">
      <c r="A222">
        <v>1</v>
      </c>
      <c r="B222">
        <v>1</v>
      </c>
      <c r="C222" t="b">
        <v>0</v>
      </c>
      <c r="D222">
        <v>2</v>
      </c>
      <c r="E222">
        <v>0.16</v>
      </c>
      <c r="F222">
        <v>0.13639999999999999</v>
      </c>
    </row>
    <row r="223" spans="1:6" x14ac:dyDescent="0.3">
      <c r="A223">
        <v>1</v>
      </c>
      <c r="B223">
        <v>1</v>
      </c>
      <c r="C223" t="b">
        <v>0</v>
      </c>
      <c r="D223">
        <v>2</v>
      </c>
      <c r="E223">
        <v>0.2</v>
      </c>
      <c r="F223">
        <v>0.18179999999999999</v>
      </c>
    </row>
    <row r="224" spans="1:6" x14ac:dyDescent="0.3">
      <c r="A224">
        <v>1</v>
      </c>
      <c r="B224">
        <v>1</v>
      </c>
      <c r="C224" t="b">
        <v>0</v>
      </c>
      <c r="D224">
        <v>2</v>
      </c>
      <c r="E224">
        <v>0.2</v>
      </c>
      <c r="F224">
        <v>0.18179999999999999</v>
      </c>
    </row>
    <row r="225" spans="1:6" x14ac:dyDescent="0.3">
      <c r="A225">
        <v>1</v>
      </c>
      <c r="B225">
        <v>1</v>
      </c>
      <c r="C225" t="b">
        <v>0</v>
      </c>
      <c r="D225">
        <v>2</v>
      </c>
      <c r="E225">
        <v>0.2</v>
      </c>
      <c r="F225">
        <v>0.19700000000000001</v>
      </c>
    </row>
    <row r="226" spans="1:6" x14ac:dyDescent="0.3">
      <c r="A226">
        <v>1</v>
      </c>
      <c r="B226">
        <v>1</v>
      </c>
      <c r="C226" t="b">
        <v>0</v>
      </c>
      <c r="D226">
        <v>2</v>
      </c>
      <c r="E226">
        <v>0.2</v>
      </c>
      <c r="F226">
        <v>0.19700000000000001</v>
      </c>
    </row>
    <row r="227" spans="1:6" x14ac:dyDescent="0.3">
      <c r="A227">
        <v>1</v>
      </c>
      <c r="B227">
        <v>1</v>
      </c>
      <c r="C227" t="b">
        <v>0</v>
      </c>
      <c r="D227">
        <v>1</v>
      </c>
      <c r="E227">
        <v>0.2</v>
      </c>
      <c r="F227">
        <v>0.21210000000000001</v>
      </c>
    </row>
    <row r="228" spans="1:6" x14ac:dyDescent="0.3">
      <c r="A228">
        <v>1</v>
      </c>
      <c r="B228">
        <v>1</v>
      </c>
      <c r="C228" t="b">
        <v>0</v>
      </c>
      <c r="D228">
        <v>1</v>
      </c>
      <c r="E228">
        <v>0.2</v>
      </c>
      <c r="F228">
        <v>0.2273</v>
      </c>
    </row>
    <row r="229" spans="1:6" x14ac:dyDescent="0.3">
      <c r="A229">
        <v>1</v>
      </c>
      <c r="B229">
        <v>1</v>
      </c>
      <c r="C229" t="b">
        <v>0</v>
      </c>
      <c r="D229">
        <v>1</v>
      </c>
      <c r="E229">
        <v>0.2</v>
      </c>
      <c r="F229">
        <v>0.19700000000000001</v>
      </c>
    </row>
    <row r="230" spans="1:6" x14ac:dyDescent="0.3">
      <c r="A230">
        <v>1</v>
      </c>
      <c r="B230">
        <v>1</v>
      </c>
      <c r="C230" t="b">
        <v>0</v>
      </c>
      <c r="D230">
        <v>1</v>
      </c>
      <c r="E230">
        <v>0.16</v>
      </c>
      <c r="F230">
        <v>0.16669999999999999</v>
      </c>
    </row>
    <row r="231" spans="1:6" x14ac:dyDescent="0.3">
      <c r="A231">
        <v>1</v>
      </c>
      <c r="B231">
        <v>1</v>
      </c>
      <c r="C231" t="b">
        <v>0</v>
      </c>
      <c r="D231">
        <v>1</v>
      </c>
      <c r="E231">
        <v>0.16</v>
      </c>
      <c r="F231">
        <v>0.16669999999999999</v>
      </c>
    </row>
    <row r="232" spans="1:6" x14ac:dyDescent="0.3">
      <c r="A232">
        <v>1</v>
      </c>
      <c r="B232">
        <v>1</v>
      </c>
      <c r="C232" t="b">
        <v>0</v>
      </c>
      <c r="D232">
        <v>1</v>
      </c>
      <c r="E232">
        <v>0.14000000000000001</v>
      </c>
      <c r="F232">
        <v>0.13639999999999999</v>
      </c>
    </row>
    <row r="233" spans="1:6" x14ac:dyDescent="0.3">
      <c r="A233">
        <v>1</v>
      </c>
      <c r="B233">
        <v>1</v>
      </c>
      <c r="C233" t="b">
        <v>0</v>
      </c>
      <c r="D233">
        <v>1</v>
      </c>
      <c r="E233">
        <v>0.14000000000000001</v>
      </c>
      <c r="F233">
        <v>0.1515</v>
      </c>
    </row>
    <row r="234" spans="1:6" x14ac:dyDescent="0.3">
      <c r="A234">
        <v>1</v>
      </c>
      <c r="B234">
        <v>1</v>
      </c>
      <c r="C234" t="b">
        <v>0</v>
      </c>
      <c r="D234">
        <v>1</v>
      </c>
      <c r="E234">
        <v>0.14000000000000001</v>
      </c>
      <c r="F234">
        <v>0.1515</v>
      </c>
    </row>
    <row r="235" spans="1:6" x14ac:dyDescent="0.3">
      <c r="A235">
        <v>1</v>
      </c>
      <c r="B235">
        <v>2</v>
      </c>
      <c r="C235" t="b">
        <v>0</v>
      </c>
      <c r="D235">
        <v>1</v>
      </c>
      <c r="E235">
        <v>0.14000000000000001</v>
      </c>
      <c r="F235">
        <v>0.16669999999999999</v>
      </c>
    </row>
    <row r="236" spans="1:6" x14ac:dyDescent="0.3">
      <c r="A236">
        <v>1</v>
      </c>
      <c r="B236">
        <v>2</v>
      </c>
      <c r="C236" t="b">
        <v>0</v>
      </c>
      <c r="D236">
        <v>1</v>
      </c>
      <c r="E236">
        <v>0.14000000000000001</v>
      </c>
      <c r="F236">
        <v>0.1515</v>
      </c>
    </row>
    <row r="237" spans="1:6" x14ac:dyDescent="0.3">
      <c r="A237">
        <v>1</v>
      </c>
      <c r="B237">
        <v>2</v>
      </c>
      <c r="C237" t="b">
        <v>0</v>
      </c>
      <c r="D237">
        <v>2</v>
      </c>
      <c r="E237">
        <v>0.16</v>
      </c>
      <c r="F237">
        <v>0.1515</v>
      </c>
    </row>
    <row r="238" spans="1:6" x14ac:dyDescent="0.3">
      <c r="A238">
        <v>1</v>
      </c>
      <c r="B238">
        <v>2</v>
      </c>
      <c r="C238" t="b">
        <v>0</v>
      </c>
      <c r="D238">
        <v>2</v>
      </c>
      <c r="E238">
        <v>0.16</v>
      </c>
      <c r="F238">
        <v>0.18179999999999999</v>
      </c>
    </row>
    <row r="239" spans="1:6" x14ac:dyDescent="0.3">
      <c r="A239">
        <v>1</v>
      </c>
      <c r="B239">
        <v>2</v>
      </c>
      <c r="C239" t="b">
        <v>0</v>
      </c>
      <c r="D239">
        <v>2</v>
      </c>
      <c r="E239">
        <v>0.16</v>
      </c>
      <c r="F239">
        <v>0.18179999999999999</v>
      </c>
    </row>
    <row r="240" spans="1:6" x14ac:dyDescent="0.3">
      <c r="A240">
        <v>1</v>
      </c>
      <c r="B240">
        <v>2</v>
      </c>
      <c r="C240" t="b">
        <v>0</v>
      </c>
      <c r="D240">
        <v>2</v>
      </c>
      <c r="E240">
        <v>0.16</v>
      </c>
      <c r="F240">
        <v>0.2273</v>
      </c>
    </row>
    <row r="241" spans="1:6" x14ac:dyDescent="0.3">
      <c r="A241">
        <v>1</v>
      </c>
      <c r="B241">
        <v>2</v>
      </c>
      <c r="C241" t="b">
        <v>0</v>
      </c>
      <c r="D241">
        <v>2</v>
      </c>
      <c r="E241">
        <v>0.18</v>
      </c>
      <c r="F241">
        <v>0.21210000000000001</v>
      </c>
    </row>
    <row r="242" spans="1:6" x14ac:dyDescent="0.3">
      <c r="A242">
        <v>1</v>
      </c>
      <c r="B242">
        <v>2</v>
      </c>
      <c r="C242" t="b">
        <v>0</v>
      </c>
      <c r="D242">
        <v>2</v>
      </c>
      <c r="E242">
        <v>0.18</v>
      </c>
      <c r="F242">
        <v>0.19700000000000001</v>
      </c>
    </row>
    <row r="243" spans="1:6" x14ac:dyDescent="0.3">
      <c r="A243">
        <v>1</v>
      </c>
      <c r="B243">
        <v>2</v>
      </c>
      <c r="C243" t="b">
        <v>0</v>
      </c>
      <c r="D243">
        <v>2</v>
      </c>
      <c r="E243">
        <v>0.2</v>
      </c>
      <c r="F243">
        <v>0.21210000000000001</v>
      </c>
    </row>
    <row r="244" spans="1:6" x14ac:dyDescent="0.3">
      <c r="A244">
        <v>1</v>
      </c>
      <c r="B244">
        <v>2</v>
      </c>
      <c r="C244" t="b">
        <v>0</v>
      </c>
      <c r="D244">
        <v>2</v>
      </c>
      <c r="E244">
        <v>0.2</v>
      </c>
      <c r="F244">
        <v>0.21210000000000001</v>
      </c>
    </row>
    <row r="245" spans="1:6" x14ac:dyDescent="0.3">
      <c r="A245">
        <v>1</v>
      </c>
      <c r="B245">
        <v>2</v>
      </c>
      <c r="C245" t="b">
        <v>0</v>
      </c>
      <c r="D245">
        <v>2</v>
      </c>
      <c r="E245">
        <v>0.2</v>
      </c>
      <c r="F245">
        <v>0.2273</v>
      </c>
    </row>
    <row r="246" spans="1:6" x14ac:dyDescent="0.3">
      <c r="A246">
        <v>1</v>
      </c>
      <c r="B246">
        <v>2</v>
      </c>
      <c r="C246" t="b">
        <v>0</v>
      </c>
      <c r="D246">
        <v>2</v>
      </c>
      <c r="E246">
        <v>0.2</v>
      </c>
      <c r="F246">
        <v>0.2273</v>
      </c>
    </row>
    <row r="247" spans="1:6" x14ac:dyDescent="0.3">
      <c r="A247">
        <v>1</v>
      </c>
      <c r="B247">
        <v>2</v>
      </c>
      <c r="C247" t="b">
        <v>0</v>
      </c>
      <c r="D247">
        <v>2</v>
      </c>
      <c r="E247">
        <v>0.2</v>
      </c>
      <c r="F247">
        <v>0.2273</v>
      </c>
    </row>
    <row r="248" spans="1:6" x14ac:dyDescent="0.3">
      <c r="A248">
        <v>1</v>
      </c>
      <c r="B248">
        <v>2</v>
      </c>
      <c r="C248" t="b">
        <v>0</v>
      </c>
      <c r="D248">
        <v>2</v>
      </c>
      <c r="E248">
        <v>0.16</v>
      </c>
      <c r="F248">
        <v>0.19700000000000001</v>
      </c>
    </row>
    <row r="249" spans="1:6" x14ac:dyDescent="0.3">
      <c r="A249">
        <v>1</v>
      </c>
      <c r="B249">
        <v>2</v>
      </c>
      <c r="C249" t="b">
        <v>0</v>
      </c>
      <c r="D249">
        <v>2</v>
      </c>
      <c r="E249">
        <v>0.16</v>
      </c>
      <c r="F249">
        <v>0.1515</v>
      </c>
    </row>
    <row r="250" spans="1:6" x14ac:dyDescent="0.3">
      <c r="A250">
        <v>1</v>
      </c>
      <c r="B250">
        <v>2</v>
      </c>
      <c r="C250" t="b">
        <v>0</v>
      </c>
      <c r="D250">
        <v>2</v>
      </c>
      <c r="E250">
        <v>0.16</v>
      </c>
      <c r="F250">
        <v>0.1515</v>
      </c>
    </row>
    <row r="251" spans="1:6" x14ac:dyDescent="0.3">
      <c r="A251">
        <v>1</v>
      </c>
      <c r="B251">
        <v>2</v>
      </c>
      <c r="C251" t="b">
        <v>0</v>
      </c>
      <c r="D251">
        <v>3</v>
      </c>
      <c r="E251">
        <v>0.16</v>
      </c>
      <c r="F251">
        <v>0.18179999999999999</v>
      </c>
    </row>
    <row r="252" spans="1:6" x14ac:dyDescent="0.3">
      <c r="A252">
        <v>1</v>
      </c>
      <c r="B252">
        <v>2</v>
      </c>
      <c r="C252" t="b">
        <v>0</v>
      </c>
      <c r="D252">
        <v>3</v>
      </c>
      <c r="E252">
        <v>0.16</v>
      </c>
      <c r="F252">
        <v>0.2273</v>
      </c>
    </row>
    <row r="253" spans="1:6" x14ac:dyDescent="0.3">
      <c r="A253">
        <v>1</v>
      </c>
      <c r="B253">
        <v>2</v>
      </c>
      <c r="C253" t="b">
        <v>0</v>
      </c>
      <c r="D253">
        <v>3</v>
      </c>
      <c r="E253">
        <v>0.16</v>
      </c>
      <c r="F253">
        <v>0.1515</v>
      </c>
    </row>
    <row r="254" spans="1:6" x14ac:dyDescent="0.3">
      <c r="A254">
        <v>1</v>
      </c>
      <c r="B254">
        <v>2</v>
      </c>
      <c r="C254" t="b">
        <v>0</v>
      </c>
      <c r="D254">
        <v>3</v>
      </c>
      <c r="E254">
        <v>0.16</v>
      </c>
      <c r="F254">
        <v>0.19700000000000001</v>
      </c>
    </row>
    <row r="255" spans="1:6" x14ac:dyDescent="0.3">
      <c r="A255">
        <v>1</v>
      </c>
      <c r="B255">
        <v>2</v>
      </c>
      <c r="C255" t="b">
        <v>0</v>
      </c>
      <c r="D255">
        <v>3</v>
      </c>
      <c r="E255">
        <v>0.16</v>
      </c>
      <c r="F255">
        <v>0.18179999999999999</v>
      </c>
    </row>
    <row r="256" spans="1:6" x14ac:dyDescent="0.3">
      <c r="A256">
        <v>1</v>
      </c>
      <c r="B256">
        <v>2</v>
      </c>
      <c r="C256" t="b">
        <v>0</v>
      </c>
      <c r="D256">
        <v>3</v>
      </c>
      <c r="E256">
        <v>0.16</v>
      </c>
      <c r="F256">
        <v>0.19700000000000001</v>
      </c>
    </row>
    <row r="257" spans="1:6" x14ac:dyDescent="0.3">
      <c r="A257">
        <v>1</v>
      </c>
      <c r="B257">
        <v>3</v>
      </c>
      <c r="C257" t="b">
        <v>0</v>
      </c>
      <c r="D257">
        <v>2</v>
      </c>
      <c r="E257">
        <v>0.16</v>
      </c>
      <c r="F257">
        <v>0.19700000000000001</v>
      </c>
    </row>
    <row r="258" spans="1:6" x14ac:dyDescent="0.3">
      <c r="A258">
        <v>1</v>
      </c>
      <c r="B258">
        <v>3</v>
      </c>
      <c r="C258" t="b">
        <v>0</v>
      </c>
      <c r="D258">
        <v>2</v>
      </c>
      <c r="E258">
        <v>0.16</v>
      </c>
      <c r="F258">
        <v>0.18179999999999999</v>
      </c>
    </row>
    <row r="259" spans="1:6" x14ac:dyDescent="0.3">
      <c r="A259">
        <v>1</v>
      </c>
      <c r="B259">
        <v>3</v>
      </c>
      <c r="C259" t="b">
        <v>0</v>
      </c>
      <c r="D259">
        <v>1</v>
      </c>
      <c r="E259">
        <v>0.14000000000000001</v>
      </c>
      <c r="F259">
        <v>0.1515</v>
      </c>
    </row>
    <row r="260" spans="1:6" x14ac:dyDescent="0.3">
      <c r="A260">
        <v>1</v>
      </c>
      <c r="B260">
        <v>3</v>
      </c>
      <c r="C260" t="b">
        <v>0</v>
      </c>
      <c r="D260">
        <v>1</v>
      </c>
      <c r="E260">
        <v>0.14000000000000001</v>
      </c>
      <c r="F260">
        <v>0.1515</v>
      </c>
    </row>
    <row r="261" spans="1:6" x14ac:dyDescent="0.3">
      <c r="A261">
        <v>1</v>
      </c>
      <c r="B261">
        <v>3</v>
      </c>
      <c r="C261" t="b">
        <v>0</v>
      </c>
      <c r="D261">
        <v>1</v>
      </c>
      <c r="E261">
        <v>0.12</v>
      </c>
      <c r="F261">
        <v>0.1515</v>
      </c>
    </row>
    <row r="262" spans="1:6" x14ac:dyDescent="0.3">
      <c r="A262">
        <v>1</v>
      </c>
      <c r="B262">
        <v>3</v>
      </c>
      <c r="C262" t="b">
        <v>0</v>
      </c>
      <c r="D262">
        <v>1</v>
      </c>
      <c r="E262">
        <v>0.14000000000000001</v>
      </c>
      <c r="F262">
        <v>0.1515</v>
      </c>
    </row>
    <row r="263" spans="1:6" x14ac:dyDescent="0.3">
      <c r="A263">
        <v>1</v>
      </c>
      <c r="B263">
        <v>3</v>
      </c>
      <c r="C263" t="b">
        <v>0</v>
      </c>
      <c r="D263">
        <v>1</v>
      </c>
      <c r="E263">
        <v>0.16</v>
      </c>
      <c r="F263">
        <v>0.16669999999999999</v>
      </c>
    </row>
    <row r="264" spans="1:6" x14ac:dyDescent="0.3">
      <c r="A264">
        <v>1</v>
      </c>
      <c r="B264">
        <v>3</v>
      </c>
      <c r="C264" t="b">
        <v>0</v>
      </c>
      <c r="D264">
        <v>1</v>
      </c>
      <c r="E264">
        <v>0.16</v>
      </c>
      <c r="F264">
        <v>0.13639999999999999</v>
      </c>
    </row>
    <row r="265" spans="1:6" x14ac:dyDescent="0.3">
      <c r="A265">
        <v>1</v>
      </c>
      <c r="B265">
        <v>3</v>
      </c>
      <c r="C265" t="b">
        <v>0</v>
      </c>
      <c r="D265">
        <v>1</v>
      </c>
      <c r="E265">
        <v>0.18</v>
      </c>
      <c r="F265">
        <v>0.18179999999999999</v>
      </c>
    </row>
    <row r="266" spans="1:6" x14ac:dyDescent="0.3">
      <c r="A266">
        <v>1</v>
      </c>
      <c r="B266">
        <v>3</v>
      </c>
      <c r="C266" t="b">
        <v>0</v>
      </c>
      <c r="D266">
        <v>1</v>
      </c>
      <c r="E266">
        <v>0.2</v>
      </c>
      <c r="F266">
        <v>0.18179999999999999</v>
      </c>
    </row>
    <row r="267" spans="1:6" x14ac:dyDescent="0.3">
      <c r="A267">
        <v>1</v>
      </c>
      <c r="B267">
        <v>3</v>
      </c>
      <c r="C267" t="b">
        <v>0</v>
      </c>
      <c r="D267">
        <v>1</v>
      </c>
      <c r="E267">
        <v>0.2</v>
      </c>
      <c r="F267">
        <v>0.1515</v>
      </c>
    </row>
    <row r="268" spans="1:6" x14ac:dyDescent="0.3">
      <c r="A268">
        <v>1</v>
      </c>
      <c r="B268">
        <v>3</v>
      </c>
      <c r="C268" t="b">
        <v>0</v>
      </c>
      <c r="D268">
        <v>1</v>
      </c>
      <c r="E268">
        <v>0.22</v>
      </c>
      <c r="F268">
        <v>0.19700000000000001</v>
      </c>
    </row>
    <row r="269" spans="1:6" x14ac:dyDescent="0.3">
      <c r="A269">
        <v>1</v>
      </c>
      <c r="B269">
        <v>3</v>
      </c>
      <c r="C269" t="b">
        <v>0</v>
      </c>
      <c r="D269">
        <v>1</v>
      </c>
      <c r="E269">
        <v>0.2</v>
      </c>
      <c r="F269">
        <v>0.18179999999999999</v>
      </c>
    </row>
    <row r="270" spans="1:6" x14ac:dyDescent="0.3">
      <c r="A270">
        <v>1</v>
      </c>
      <c r="B270">
        <v>3</v>
      </c>
      <c r="C270" t="b">
        <v>0</v>
      </c>
      <c r="D270">
        <v>1</v>
      </c>
      <c r="E270">
        <v>0.2</v>
      </c>
      <c r="F270">
        <v>0.16669999999999999</v>
      </c>
    </row>
    <row r="271" spans="1:6" x14ac:dyDescent="0.3">
      <c r="A271">
        <v>1</v>
      </c>
      <c r="B271">
        <v>3</v>
      </c>
      <c r="C271" t="b">
        <v>0</v>
      </c>
      <c r="D271">
        <v>1</v>
      </c>
      <c r="E271">
        <v>0.22</v>
      </c>
      <c r="F271">
        <v>0.19700000000000001</v>
      </c>
    </row>
    <row r="272" spans="1:6" x14ac:dyDescent="0.3">
      <c r="A272">
        <v>1</v>
      </c>
      <c r="B272">
        <v>3</v>
      </c>
      <c r="C272" t="b">
        <v>0</v>
      </c>
      <c r="D272">
        <v>1</v>
      </c>
      <c r="E272">
        <v>0.2</v>
      </c>
      <c r="F272">
        <v>0.18179999999999999</v>
      </c>
    </row>
    <row r="273" spans="1:6" x14ac:dyDescent="0.3">
      <c r="A273">
        <v>1</v>
      </c>
      <c r="B273">
        <v>3</v>
      </c>
      <c r="C273" t="b">
        <v>0</v>
      </c>
      <c r="D273">
        <v>1</v>
      </c>
      <c r="E273">
        <v>0.2</v>
      </c>
      <c r="F273">
        <v>0.1515</v>
      </c>
    </row>
    <row r="274" spans="1:6" x14ac:dyDescent="0.3">
      <c r="A274">
        <v>1</v>
      </c>
      <c r="B274">
        <v>3</v>
      </c>
      <c r="C274" t="b">
        <v>0</v>
      </c>
      <c r="D274">
        <v>1</v>
      </c>
      <c r="E274">
        <v>0.18</v>
      </c>
      <c r="F274">
        <v>0.1515</v>
      </c>
    </row>
    <row r="275" spans="1:6" x14ac:dyDescent="0.3">
      <c r="A275">
        <v>1</v>
      </c>
      <c r="B275">
        <v>3</v>
      </c>
      <c r="C275" t="b">
        <v>0</v>
      </c>
      <c r="D275">
        <v>1</v>
      </c>
      <c r="E275">
        <v>0.16</v>
      </c>
      <c r="F275">
        <v>0.13639999999999999</v>
      </c>
    </row>
    <row r="276" spans="1:6" x14ac:dyDescent="0.3">
      <c r="A276">
        <v>1</v>
      </c>
      <c r="B276">
        <v>3</v>
      </c>
      <c r="C276" t="b">
        <v>0</v>
      </c>
      <c r="D276">
        <v>1</v>
      </c>
      <c r="E276">
        <v>0.16</v>
      </c>
      <c r="F276">
        <v>0.13639999999999999</v>
      </c>
    </row>
    <row r="277" spans="1:6" x14ac:dyDescent="0.3">
      <c r="A277">
        <v>1</v>
      </c>
      <c r="B277">
        <v>3</v>
      </c>
      <c r="C277" t="b">
        <v>0</v>
      </c>
      <c r="D277">
        <v>1</v>
      </c>
      <c r="E277">
        <v>0.16</v>
      </c>
      <c r="F277">
        <v>0.1212</v>
      </c>
    </row>
    <row r="278" spans="1:6" x14ac:dyDescent="0.3">
      <c r="A278">
        <v>1</v>
      </c>
      <c r="B278">
        <v>3</v>
      </c>
      <c r="C278" t="b">
        <v>0</v>
      </c>
      <c r="D278">
        <v>1</v>
      </c>
      <c r="E278">
        <v>0.14000000000000001</v>
      </c>
      <c r="F278">
        <v>0.1061</v>
      </c>
    </row>
    <row r="279" spans="1:6" x14ac:dyDescent="0.3">
      <c r="A279">
        <v>1</v>
      </c>
      <c r="B279">
        <v>4</v>
      </c>
      <c r="C279" t="b">
        <v>0</v>
      </c>
      <c r="D279">
        <v>1</v>
      </c>
      <c r="E279">
        <v>0.14000000000000001</v>
      </c>
      <c r="F279">
        <v>0.1212</v>
      </c>
    </row>
    <row r="280" spans="1:6" x14ac:dyDescent="0.3">
      <c r="A280">
        <v>1</v>
      </c>
      <c r="B280">
        <v>4</v>
      </c>
      <c r="C280" t="b">
        <v>0</v>
      </c>
      <c r="D280">
        <v>1</v>
      </c>
      <c r="E280">
        <v>0.14000000000000001</v>
      </c>
      <c r="F280">
        <v>0.1212</v>
      </c>
    </row>
    <row r="281" spans="1:6" x14ac:dyDescent="0.3">
      <c r="A281">
        <v>1</v>
      </c>
      <c r="B281">
        <v>4</v>
      </c>
      <c r="C281" t="b">
        <v>0</v>
      </c>
      <c r="D281">
        <v>1</v>
      </c>
      <c r="E281">
        <v>0.14000000000000001</v>
      </c>
      <c r="F281">
        <v>0.1212</v>
      </c>
    </row>
    <row r="282" spans="1:6" x14ac:dyDescent="0.3">
      <c r="A282">
        <v>1</v>
      </c>
      <c r="B282">
        <v>4</v>
      </c>
      <c r="C282" t="b">
        <v>0</v>
      </c>
      <c r="D282">
        <v>1</v>
      </c>
      <c r="E282">
        <v>0.14000000000000001</v>
      </c>
      <c r="F282">
        <v>0.1212</v>
      </c>
    </row>
    <row r="283" spans="1:6" x14ac:dyDescent="0.3">
      <c r="A283">
        <v>1</v>
      </c>
      <c r="B283">
        <v>4</v>
      </c>
      <c r="C283" t="b">
        <v>0</v>
      </c>
      <c r="D283">
        <v>1</v>
      </c>
      <c r="E283">
        <v>0.14000000000000001</v>
      </c>
      <c r="F283">
        <v>0.1212</v>
      </c>
    </row>
    <row r="284" spans="1:6" x14ac:dyDescent="0.3">
      <c r="A284">
        <v>1</v>
      </c>
      <c r="B284">
        <v>4</v>
      </c>
      <c r="C284" t="b">
        <v>0</v>
      </c>
      <c r="D284">
        <v>1</v>
      </c>
      <c r="E284">
        <v>0.14000000000000001</v>
      </c>
      <c r="F284">
        <v>0.1212</v>
      </c>
    </row>
    <row r="285" spans="1:6" x14ac:dyDescent="0.3">
      <c r="A285">
        <v>1</v>
      </c>
      <c r="B285">
        <v>4</v>
      </c>
      <c r="C285" t="b">
        <v>0</v>
      </c>
      <c r="D285">
        <v>1</v>
      </c>
      <c r="E285">
        <v>0.12</v>
      </c>
      <c r="F285">
        <v>0.1515</v>
      </c>
    </row>
    <row r="286" spans="1:6" x14ac:dyDescent="0.3">
      <c r="A286">
        <v>1</v>
      </c>
      <c r="B286">
        <v>4</v>
      </c>
      <c r="C286" t="b">
        <v>0</v>
      </c>
      <c r="D286">
        <v>1</v>
      </c>
      <c r="E286">
        <v>0.12</v>
      </c>
      <c r="F286">
        <v>0.1515</v>
      </c>
    </row>
    <row r="287" spans="1:6" x14ac:dyDescent="0.3">
      <c r="A287">
        <v>1</v>
      </c>
      <c r="B287">
        <v>4</v>
      </c>
      <c r="C287" t="b">
        <v>0</v>
      </c>
      <c r="D287">
        <v>1</v>
      </c>
      <c r="E287">
        <v>0.14000000000000001</v>
      </c>
      <c r="F287">
        <v>0.13639999999999999</v>
      </c>
    </row>
    <row r="288" spans="1:6" x14ac:dyDescent="0.3">
      <c r="A288">
        <v>1</v>
      </c>
      <c r="B288">
        <v>4</v>
      </c>
      <c r="C288" t="b">
        <v>0</v>
      </c>
      <c r="D288">
        <v>1</v>
      </c>
      <c r="E288">
        <v>0.14000000000000001</v>
      </c>
      <c r="F288">
        <v>0.1212</v>
      </c>
    </row>
    <row r="289" spans="1:6" x14ac:dyDescent="0.3">
      <c r="A289">
        <v>1</v>
      </c>
      <c r="B289">
        <v>4</v>
      </c>
      <c r="C289" t="b">
        <v>0</v>
      </c>
      <c r="D289">
        <v>2</v>
      </c>
      <c r="E289">
        <v>0.16</v>
      </c>
      <c r="F289">
        <v>0.13639999999999999</v>
      </c>
    </row>
    <row r="290" spans="1:6" x14ac:dyDescent="0.3">
      <c r="A290">
        <v>1</v>
      </c>
      <c r="B290">
        <v>4</v>
      </c>
      <c r="C290" t="b">
        <v>0</v>
      </c>
      <c r="D290">
        <v>2</v>
      </c>
      <c r="E290">
        <v>0.2</v>
      </c>
      <c r="F290">
        <v>0.16669999999999999</v>
      </c>
    </row>
    <row r="291" spans="1:6" x14ac:dyDescent="0.3">
      <c r="A291">
        <v>1</v>
      </c>
      <c r="B291">
        <v>4</v>
      </c>
      <c r="C291" t="b">
        <v>0</v>
      </c>
      <c r="D291">
        <v>1</v>
      </c>
      <c r="E291">
        <v>0.2</v>
      </c>
      <c r="F291">
        <v>0.16669999999999999</v>
      </c>
    </row>
    <row r="292" spans="1:6" x14ac:dyDescent="0.3">
      <c r="A292">
        <v>1</v>
      </c>
      <c r="B292">
        <v>4</v>
      </c>
      <c r="C292" t="b">
        <v>0</v>
      </c>
      <c r="D292">
        <v>1</v>
      </c>
      <c r="E292">
        <v>0.22</v>
      </c>
      <c r="F292">
        <v>0.19700000000000001</v>
      </c>
    </row>
    <row r="293" spans="1:6" x14ac:dyDescent="0.3">
      <c r="A293">
        <v>1</v>
      </c>
      <c r="B293">
        <v>4</v>
      </c>
      <c r="C293" t="b">
        <v>0</v>
      </c>
      <c r="D293">
        <v>1</v>
      </c>
      <c r="E293">
        <v>0.22</v>
      </c>
      <c r="F293">
        <v>0.19700000000000001</v>
      </c>
    </row>
    <row r="294" spans="1:6" x14ac:dyDescent="0.3">
      <c r="A294">
        <v>1</v>
      </c>
      <c r="B294">
        <v>4</v>
      </c>
      <c r="C294" t="b">
        <v>0</v>
      </c>
      <c r="D294">
        <v>1</v>
      </c>
      <c r="E294">
        <v>0.24</v>
      </c>
      <c r="F294">
        <v>0.21210000000000001</v>
      </c>
    </row>
    <row r="295" spans="1:6" x14ac:dyDescent="0.3">
      <c r="A295">
        <v>1</v>
      </c>
      <c r="B295">
        <v>4</v>
      </c>
      <c r="C295" t="b">
        <v>0</v>
      </c>
      <c r="D295">
        <v>1</v>
      </c>
      <c r="E295">
        <v>0.24</v>
      </c>
      <c r="F295">
        <v>0.21210000000000001</v>
      </c>
    </row>
    <row r="296" spans="1:6" x14ac:dyDescent="0.3">
      <c r="A296">
        <v>1</v>
      </c>
      <c r="B296">
        <v>4</v>
      </c>
      <c r="C296" t="b">
        <v>0</v>
      </c>
      <c r="D296">
        <v>1</v>
      </c>
      <c r="E296">
        <v>0.2</v>
      </c>
      <c r="F296">
        <v>0.18179999999999999</v>
      </c>
    </row>
    <row r="297" spans="1:6" x14ac:dyDescent="0.3">
      <c r="A297">
        <v>1</v>
      </c>
      <c r="B297">
        <v>4</v>
      </c>
      <c r="C297" t="b">
        <v>0</v>
      </c>
      <c r="D297">
        <v>1</v>
      </c>
      <c r="E297">
        <v>0.2</v>
      </c>
      <c r="F297">
        <v>0.18179999999999999</v>
      </c>
    </row>
    <row r="298" spans="1:6" x14ac:dyDescent="0.3">
      <c r="A298">
        <v>1</v>
      </c>
      <c r="B298">
        <v>4</v>
      </c>
      <c r="C298" t="b">
        <v>0</v>
      </c>
      <c r="D298">
        <v>1</v>
      </c>
      <c r="E298">
        <v>0.16</v>
      </c>
      <c r="F298">
        <v>0.1515</v>
      </c>
    </row>
    <row r="299" spans="1:6" x14ac:dyDescent="0.3">
      <c r="A299">
        <v>1</v>
      </c>
      <c r="B299">
        <v>4</v>
      </c>
      <c r="C299" t="b">
        <v>0</v>
      </c>
      <c r="D299">
        <v>1</v>
      </c>
      <c r="E299">
        <v>0.16</v>
      </c>
      <c r="F299">
        <v>0.1515</v>
      </c>
    </row>
    <row r="300" spans="1:6" x14ac:dyDescent="0.3">
      <c r="A300">
        <v>1</v>
      </c>
      <c r="B300">
        <v>4</v>
      </c>
      <c r="C300" t="b">
        <v>0</v>
      </c>
      <c r="D300">
        <v>1</v>
      </c>
      <c r="E300">
        <v>0.14000000000000001</v>
      </c>
      <c r="F300">
        <v>0.1212</v>
      </c>
    </row>
    <row r="301" spans="1:6" x14ac:dyDescent="0.3">
      <c r="A301">
        <v>1</v>
      </c>
      <c r="B301">
        <v>4</v>
      </c>
      <c r="C301" t="b">
        <v>0</v>
      </c>
      <c r="D301">
        <v>1</v>
      </c>
      <c r="E301">
        <v>0.14000000000000001</v>
      </c>
      <c r="F301">
        <v>0.1212</v>
      </c>
    </row>
    <row r="302" spans="1:6" x14ac:dyDescent="0.3">
      <c r="A302">
        <v>1</v>
      </c>
      <c r="B302">
        <v>4</v>
      </c>
      <c r="C302" t="b">
        <v>0</v>
      </c>
      <c r="D302">
        <v>1</v>
      </c>
      <c r="E302">
        <v>0.12</v>
      </c>
      <c r="F302">
        <v>0.13639999999999999</v>
      </c>
    </row>
    <row r="303" spans="1:6" x14ac:dyDescent="0.3">
      <c r="A303">
        <v>1</v>
      </c>
      <c r="B303">
        <v>5</v>
      </c>
      <c r="C303" t="b">
        <v>0</v>
      </c>
      <c r="D303">
        <v>1</v>
      </c>
      <c r="E303">
        <v>0.12</v>
      </c>
      <c r="F303">
        <v>0.13639999999999999</v>
      </c>
    </row>
    <row r="304" spans="1:6" x14ac:dyDescent="0.3">
      <c r="A304">
        <v>1</v>
      </c>
      <c r="B304">
        <v>5</v>
      </c>
      <c r="C304" t="b">
        <v>0</v>
      </c>
      <c r="D304">
        <v>1</v>
      </c>
      <c r="E304">
        <v>0.1</v>
      </c>
      <c r="F304">
        <v>0.1212</v>
      </c>
    </row>
    <row r="305" spans="1:6" x14ac:dyDescent="0.3">
      <c r="A305">
        <v>1</v>
      </c>
      <c r="B305">
        <v>5</v>
      </c>
      <c r="C305" t="b">
        <v>0</v>
      </c>
      <c r="D305">
        <v>1</v>
      </c>
      <c r="E305">
        <v>0.1</v>
      </c>
      <c r="F305">
        <v>0.1212</v>
      </c>
    </row>
    <row r="306" spans="1:6" x14ac:dyDescent="0.3">
      <c r="A306">
        <v>1</v>
      </c>
      <c r="B306">
        <v>5</v>
      </c>
      <c r="C306" t="b">
        <v>0</v>
      </c>
      <c r="D306">
        <v>1</v>
      </c>
      <c r="E306">
        <v>0.1</v>
      </c>
      <c r="F306">
        <v>0.13639999999999999</v>
      </c>
    </row>
    <row r="307" spans="1:6" x14ac:dyDescent="0.3">
      <c r="A307">
        <v>1</v>
      </c>
      <c r="B307">
        <v>5</v>
      </c>
      <c r="C307" t="b">
        <v>0</v>
      </c>
      <c r="D307">
        <v>1</v>
      </c>
      <c r="E307">
        <v>0.1</v>
      </c>
      <c r="F307">
        <v>0.13639999999999999</v>
      </c>
    </row>
    <row r="308" spans="1:6" x14ac:dyDescent="0.3">
      <c r="A308">
        <v>1</v>
      </c>
      <c r="B308">
        <v>5</v>
      </c>
      <c r="C308" t="b">
        <v>0</v>
      </c>
      <c r="D308">
        <v>1</v>
      </c>
      <c r="E308">
        <v>0.1</v>
      </c>
      <c r="F308">
        <v>0.18179999999999999</v>
      </c>
    </row>
    <row r="309" spans="1:6" x14ac:dyDescent="0.3">
      <c r="A309">
        <v>1</v>
      </c>
      <c r="B309">
        <v>5</v>
      </c>
      <c r="C309" t="b">
        <v>0</v>
      </c>
      <c r="D309">
        <v>1</v>
      </c>
      <c r="E309">
        <v>0.1</v>
      </c>
      <c r="F309">
        <v>0.1212</v>
      </c>
    </row>
    <row r="310" spans="1:6" x14ac:dyDescent="0.3">
      <c r="A310">
        <v>1</v>
      </c>
      <c r="B310">
        <v>5</v>
      </c>
      <c r="C310" t="b">
        <v>0</v>
      </c>
      <c r="D310">
        <v>1</v>
      </c>
      <c r="E310">
        <v>0.12</v>
      </c>
      <c r="F310">
        <v>0.16669999999999999</v>
      </c>
    </row>
    <row r="311" spans="1:6" x14ac:dyDescent="0.3">
      <c r="A311">
        <v>1</v>
      </c>
      <c r="B311">
        <v>5</v>
      </c>
      <c r="C311" t="b">
        <v>0</v>
      </c>
      <c r="D311">
        <v>1</v>
      </c>
      <c r="E311">
        <v>0.14000000000000001</v>
      </c>
      <c r="F311">
        <v>0.1515</v>
      </c>
    </row>
    <row r="312" spans="1:6" x14ac:dyDescent="0.3">
      <c r="A312">
        <v>1</v>
      </c>
      <c r="B312">
        <v>5</v>
      </c>
      <c r="C312" t="b">
        <v>0</v>
      </c>
      <c r="D312">
        <v>1</v>
      </c>
      <c r="E312">
        <v>0.18</v>
      </c>
      <c r="F312">
        <v>0.18179999999999999</v>
      </c>
    </row>
    <row r="313" spans="1:6" x14ac:dyDescent="0.3">
      <c r="A313">
        <v>1</v>
      </c>
      <c r="B313">
        <v>5</v>
      </c>
      <c r="C313" t="b">
        <v>0</v>
      </c>
      <c r="D313">
        <v>1</v>
      </c>
      <c r="E313">
        <v>0.18</v>
      </c>
      <c r="F313">
        <v>0.16669999999999999</v>
      </c>
    </row>
    <row r="314" spans="1:6" x14ac:dyDescent="0.3">
      <c r="A314">
        <v>1</v>
      </c>
      <c r="B314">
        <v>5</v>
      </c>
      <c r="C314" t="b">
        <v>0</v>
      </c>
      <c r="D314">
        <v>1</v>
      </c>
      <c r="E314">
        <v>0.2</v>
      </c>
      <c r="F314">
        <v>0.19700000000000001</v>
      </c>
    </row>
    <row r="315" spans="1:6" x14ac:dyDescent="0.3">
      <c r="A315">
        <v>1</v>
      </c>
      <c r="B315">
        <v>5</v>
      </c>
      <c r="C315" t="b">
        <v>0</v>
      </c>
      <c r="D315">
        <v>1</v>
      </c>
      <c r="E315">
        <v>0.22</v>
      </c>
      <c r="F315">
        <v>0.19700000000000001</v>
      </c>
    </row>
    <row r="316" spans="1:6" x14ac:dyDescent="0.3">
      <c r="A316">
        <v>1</v>
      </c>
      <c r="B316">
        <v>5</v>
      </c>
      <c r="C316" t="b">
        <v>0</v>
      </c>
      <c r="D316">
        <v>1</v>
      </c>
      <c r="E316">
        <v>0.22</v>
      </c>
      <c r="F316">
        <v>0.21210000000000001</v>
      </c>
    </row>
    <row r="317" spans="1:6" x14ac:dyDescent="0.3">
      <c r="A317">
        <v>1</v>
      </c>
      <c r="B317">
        <v>5</v>
      </c>
      <c r="C317" t="b">
        <v>0</v>
      </c>
      <c r="D317">
        <v>1</v>
      </c>
      <c r="E317">
        <v>0.24</v>
      </c>
      <c r="F317">
        <v>0.2424</v>
      </c>
    </row>
    <row r="318" spans="1:6" x14ac:dyDescent="0.3">
      <c r="A318">
        <v>1</v>
      </c>
      <c r="B318">
        <v>5</v>
      </c>
      <c r="C318" t="b">
        <v>0</v>
      </c>
      <c r="D318">
        <v>1</v>
      </c>
      <c r="E318">
        <v>0.22</v>
      </c>
      <c r="F318">
        <v>0.2424</v>
      </c>
    </row>
    <row r="319" spans="1:6" x14ac:dyDescent="0.3">
      <c r="A319">
        <v>1</v>
      </c>
      <c r="B319">
        <v>5</v>
      </c>
      <c r="C319" t="b">
        <v>0</v>
      </c>
      <c r="D319">
        <v>1</v>
      </c>
      <c r="E319">
        <v>0.22</v>
      </c>
      <c r="F319">
        <v>0.2273</v>
      </c>
    </row>
    <row r="320" spans="1:6" x14ac:dyDescent="0.3">
      <c r="A320">
        <v>1</v>
      </c>
      <c r="B320">
        <v>5</v>
      </c>
      <c r="C320" t="b">
        <v>0</v>
      </c>
      <c r="D320">
        <v>1</v>
      </c>
      <c r="E320">
        <v>0.2</v>
      </c>
      <c r="F320">
        <v>0.2576</v>
      </c>
    </row>
    <row r="321" spans="1:6" x14ac:dyDescent="0.3">
      <c r="A321">
        <v>1</v>
      </c>
      <c r="B321">
        <v>5</v>
      </c>
      <c r="C321" t="b">
        <v>0</v>
      </c>
      <c r="D321">
        <v>1</v>
      </c>
      <c r="E321">
        <v>0.16</v>
      </c>
      <c r="F321">
        <v>0.19700000000000001</v>
      </c>
    </row>
    <row r="322" spans="1:6" x14ac:dyDescent="0.3">
      <c r="A322">
        <v>1</v>
      </c>
      <c r="B322">
        <v>5</v>
      </c>
      <c r="C322" t="b">
        <v>0</v>
      </c>
      <c r="D322">
        <v>1</v>
      </c>
      <c r="E322">
        <v>0.18</v>
      </c>
      <c r="F322">
        <v>0.2424</v>
      </c>
    </row>
    <row r="323" spans="1:6" x14ac:dyDescent="0.3">
      <c r="A323">
        <v>1</v>
      </c>
      <c r="B323">
        <v>5</v>
      </c>
      <c r="C323" t="b">
        <v>0</v>
      </c>
      <c r="D323">
        <v>1</v>
      </c>
      <c r="E323">
        <v>0.16</v>
      </c>
      <c r="F323">
        <v>0.2273</v>
      </c>
    </row>
    <row r="324" spans="1:6" x14ac:dyDescent="0.3">
      <c r="A324">
        <v>1</v>
      </c>
      <c r="B324">
        <v>5</v>
      </c>
      <c r="C324" t="b">
        <v>0</v>
      </c>
      <c r="D324">
        <v>2</v>
      </c>
      <c r="E324">
        <v>0.16</v>
      </c>
      <c r="F324">
        <v>0.2273</v>
      </c>
    </row>
    <row r="325" spans="1:6" x14ac:dyDescent="0.3">
      <c r="A325">
        <v>1</v>
      </c>
      <c r="B325">
        <v>5</v>
      </c>
      <c r="C325" t="b">
        <v>0</v>
      </c>
      <c r="D325">
        <v>2</v>
      </c>
      <c r="E325">
        <v>0.18</v>
      </c>
      <c r="F325">
        <v>0.2424</v>
      </c>
    </row>
    <row r="326" spans="1:6" x14ac:dyDescent="0.3">
      <c r="A326">
        <v>1</v>
      </c>
      <c r="B326">
        <v>6</v>
      </c>
      <c r="C326" t="b">
        <v>0</v>
      </c>
      <c r="D326">
        <v>1</v>
      </c>
      <c r="E326">
        <v>0.18</v>
      </c>
      <c r="F326">
        <v>0.2424</v>
      </c>
    </row>
    <row r="327" spans="1:6" x14ac:dyDescent="0.3">
      <c r="A327">
        <v>1</v>
      </c>
      <c r="B327">
        <v>6</v>
      </c>
      <c r="C327" t="b">
        <v>0</v>
      </c>
      <c r="D327">
        <v>2</v>
      </c>
      <c r="E327">
        <v>0.16</v>
      </c>
      <c r="F327">
        <v>0.19700000000000001</v>
      </c>
    </row>
    <row r="328" spans="1:6" x14ac:dyDescent="0.3">
      <c r="A328">
        <v>1</v>
      </c>
      <c r="B328">
        <v>6</v>
      </c>
      <c r="C328" t="b">
        <v>0</v>
      </c>
      <c r="D328">
        <v>2</v>
      </c>
      <c r="E328">
        <v>0.16</v>
      </c>
      <c r="F328">
        <v>0.19700000000000001</v>
      </c>
    </row>
    <row r="329" spans="1:6" x14ac:dyDescent="0.3">
      <c r="A329">
        <v>1</v>
      </c>
      <c r="B329">
        <v>6</v>
      </c>
      <c r="C329" t="b">
        <v>0</v>
      </c>
      <c r="D329">
        <v>2</v>
      </c>
      <c r="E329">
        <v>0.16</v>
      </c>
      <c r="F329">
        <v>0.2273</v>
      </c>
    </row>
    <row r="330" spans="1:6" x14ac:dyDescent="0.3">
      <c r="A330">
        <v>1</v>
      </c>
      <c r="B330">
        <v>6</v>
      </c>
      <c r="C330" t="b">
        <v>0</v>
      </c>
      <c r="D330">
        <v>2</v>
      </c>
      <c r="E330">
        <v>0.16</v>
      </c>
      <c r="F330">
        <v>0.2273</v>
      </c>
    </row>
    <row r="331" spans="1:6" x14ac:dyDescent="0.3">
      <c r="A331">
        <v>1</v>
      </c>
      <c r="B331">
        <v>6</v>
      </c>
      <c r="C331" t="b">
        <v>0</v>
      </c>
      <c r="D331">
        <v>1</v>
      </c>
      <c r="E331">
        <v>0.16</v>
      </c>
      <c r="F331">
        <v>0.2273</v>
      </c>
    </row>
    <row r="332" spans="1:6" x14ac:dyDescent="0.3">
      <c r="A332">
        <v>1</v>
      </c>
      <c r="B332">
        <v>6</v>
      </c>
      <c r="C332" t="b">
        <v>0</v>
      </c>
      <c r="D332">
        <v>1</v>
      </c>
      <c r="E332">
        <v>0.14000000000000001</v>
      </c>
      <c r="F332">
        <v>0.16669999999999999</v>
      </c>
    </row>
    <row r="333" spans="1:6" x14ac:dyDescent="0.3">
      <c r="A333">
        <v>1</v>
      </c>
      <c r="B333">
        <v>6</v>
      </c>
      <c r="C333" t="b">
        <v>0</v>
      </c>
      <c r="D333">
        <v>1</v>
      </c>
      <c r="E333">
        <v>0.14000000000000001</v>
      </c>
      <c r="F333">
        <v>0.21210000000000001</v>
      </c>
    </row>
    <row r="334" spans="1:6" x14ac:dyDescent="0.3">
      <c r="A334">
        <v>1</v>
      </c>
      <c r="B334">
        <v>6</v>
      </c>
      <c r="C334" t="b">
        <v>0</v>
      </c>
      <c r="D334">
        <v>1</v>
      </c>
      <c r="E334">
        <v>0.14000000000000001</v>
      </c>
      <c r="F334">
        <v>0.1515</v>
      </c>
    </row>
    <row r="335" spans="1:6" x14ac:dyDescent="0.3">
      <c r="A335">
        <v>1</v>
      </c>
      <c r="B335">
        <v>6</v>
      </c>
      <c r="C335" t="b">
        <v>0</v>
      </c>
      <c r="D335">
        <v>1</v>
      </c>
      <c r="E335">
        <v>0.16</v>
      </c>
      <c r="F335">
        <v>0.18179999999999999</v>
      </c>
    </row>
    <row r="336" spans="1:6" x14ac:dyDescent="0.3">
      <c r="A336">
        <v>1</v>
      </c>
      <c r="B336">
        <v>6</v>
      </c>
      <c r="C336" t="b">
        <v>0</v>
      </c>
      <c r="D336">
        <v>1</v>
      </c>
      <c r="E336">
        <v>0.18</v>
      </c>
      <c r="F336">
        <v>0.19700000000000001</v>
      </c>
    </row>
    <row r="337" spans="1:6" x14ac:dyDescent="0.3">
      <c r="A337">
        <v>1</v>
      </c>
      <c r="B337">
        <v>6</v>
      </c>
      <c r="C337" t="b">
        <v>0</v>
      </c>
      <c r="D337">
        <v>1</v>
      </c>
      <c r="E337">
        <v>0.2</v>
      </c>
      <c r="F337">
        <v>0.19700000000000001</v>
      </c>
    </row>
    <row r="338" spans="1:6" x14ac:dyDescent="0.3">
      <c r="A338">
        <v>1</v>
      </c>
      <c r="B338">
        <v>6</v>
      </c>
      <c r="C338" t="b">
        <v>0</v>
      </c>
      <c r="D338">
        <v>1</v>
      </c>
      <c r="E338">
        <v>0.24</v>
      </c>
      <c r="F338">
        <v>0.2273</v>
      </c>
    </row>
    <row r="339" spans="1:6" x14ac:dyDescent="0.3">
      <c r="A339">
        <v>1</v>
      </c>
      <c r="B339">
        <v>6</v>
      </c>
      <c r="C339" t="b">
        <v>0</v>
      </c>
      <c r="D339">
        <v>1</v>
      </c>
      <c r="E339">
        <v>0.28000000000000003</v>
      </c>
      <c r="F339">
        <v>0.2576</v>
      </c>
    </row>
    <row r="340" spans="1:6" x14ac:dyDescent="0.3">
      <c r="A340">
        <v>1</v>
      </c>
      <c r="B340">
        <v>6</v>
      </c>
      <c r="C340" t="b">
        <v>0</v>
      </c>
      <c r="D340">
        <v>1</v>
      </c>
      <c r="E340">
        <v>0.3</v>
      </c>
      <c r="F340">
        <v>0.28789999999999999</v>
      </c>
    </row>
    <row r="341" spans="1:6" x14ac:dyDescent="0.3">
      <c r="A341">
        <v>1</v>
      </c>
      <c r="B341">
        <v>6</v>
      </c>
      <c r="C341" t="b">
        <v>0</v>
      </c>
      <c r="D341">
        <v>2</v>
      </c>
      <c r="E341">
        <v>0.32</v>
      </c>
      <c r="F341">
        <v>0.31819999999999998</v>
      </c>
    </row>
    <row r="342" spans="1:6" x14ac:dyDescent="0.3">
      <c r="A342">
        <v>1</v>
      </c>
      <c r="B342">
        <v>6</v>
      </c>
      <c r="C342" t="b">
        <v>0</v>
      </c>
      <c r="D342">
        <v>2</v>
      </c>
      <c r="E342">
        <v>0.34</v>
      </c>
      <c r="F342">
        <v>0.33329999999999999</v>
      </c>
    </row>
    <row r="343" spans="1:6" x14ac:dyDescent="0.3">
      <c r="A343">
        <v>1</v>
      </c>
      <c r="B343">
        <v>6</v>
      </c>
      <c r="C343" t="b">
        <v>0</v>
      </c>
      <c r="D343">
        <v>2</v>
      </c>
      <c r="E343">
        <v>0.32</v>
      </c>
      <c r="F343">
        <v>0.30299999999999999</v>
      </c>
    </row>
    <row r="344" spans="1:6" x14ac:dyDescent="0.3">
      <c r="A344">
        <v>1</v>
      </c>
      <c r="B344">
        <v>6</v>
      </c>
      <c r="C344" t="b">
        <v>0</v>
      </c>
      <c r="D344">
        <v>2</v>
      </c>
      <c r="E344">
        <v>0.3</v>
      </c>
      <c r="F344">
        <v>0.28789999999999999</v>
      </c>
    </row>
    <row r="345" spans="1:6" x14ac:dyDescent="0.3">
      <c r="A345">
        <v>1</v>
      </c>
      <c r="B345">
        <v>6</v>
      </c>
      <c r="C345" t="b">
        <v>0</v>
      </c>
      <c r="D345">
        <v>2</v>
      </c>
      <c r="E345">
        <v>0.32</v>
      </c>
      <c r="F345">
        <v>0.30299999999999999</v>
      </c>
    </row>
    <row r="346" spans="1:6" x14ac:dyDescent="0.3">
      <c r="A346">
        <v>1</v>
      </c>
      <c r="B346">
        <v>6</v>
      </c>
      <c r="C346" t="b">
        <v>0</v>
      </c>
      <c r="D346">
        <v>2</v>
      </c>
      <c r="E346">
        <v>0.32</v>
      </c>
      <c r="F346">
        <v>0.30299999999999999</v>
      </c>
    </row>
    <row r="347" spans="1:6" x14ac:dyDescent="0.3">
      <c r="A347">
        <v>1</v>
      </c>
      <c r="B347">
        <v>6</v>
      </c>
      <c r="C347" t="b">
        <v>0</v>
      </c>
      <c r="D347">
        <v>2</v>
      </c>
      <c r="E347">
        <v>0.32</v>
      </c>
      <c r="F347">
        <v>0.30299999999999999</v>
      </c>
    </row>
    <row r="348" spans="1:6" x14ac:dyDescent="0.3">
      <c r="A348">
        <v>1</v>
      </c>
      <c r="B348">
        <v>6</v>
      </c>
      <c r="C348" t="b">
        <v>0</v>
      </c>
      <c r="D348">
        <v>2</v>
      </c>
      <c r="E348">
        <v>0.3</v>
      </c>
      <c r="F348">
        <v>0.31819999999999998</v>
      </c>
    </row>
    <row r="349" spans="1:6" x14ac:dyDescent="0.3">
      <c r="A349">
        <v>1</v>
      </c>
      <c r="B349">
        <v>6</v>
      </c>
      <c r="C349" t="b">
        <v>0</v>
      </c>
      <c r="D349">
        <v>1</v>
      </c>
      <c r="E349">
        <v>0.3</v>
      </c>
      <c r="F349">
        <v>0.28789999999999999</v>
      </c>
    </row>
    <row r="350" spans="1:6" x14ac:dyDescent="0.3">
      <c r="A350">
        <v>1</v>
      </c>
      <c r="B350">
        <v>0</v>
      </c>
      <c r="C350" t="b">
        <v>0</v>
      </c>
      <c r="D350">
        <v>1</v>
      </c>
      <c r="E350">
        <v>0.26</v>
      </c>
      <c r="F350">
        <v>0.30299999999999999</v>
      </c>
    </row>
    <row r="351" spans="1:6" x14ac:dyDescent="0.3">
      <c r="A351">
        <v>1</v>
      </c>
      <c r="B351">
        <v>0</v>
      </c>
      <c r="C351" t="b">
        <v>0</v>
      </c>
      <c r="D351">
        <v>1</v>
      </c>
      <c r="E351">
        <v>0.26</v>
      </c>
      <c r="F351">
        <v>0.2727</v>
      </c>
    </row>
    <row r="352" spans="1:6" x14ac:dyDescent="0.3">
      <c r="A352">
        <v>1</v>
      </c>
      <c r="B352">
        <v>0</v>
      </c>
      <c r="C352" t="b">
        <v>0</v>
      </c>
      <c r="D352">
        <v>1</v>
      </c>
      <c r="E352">
        <v>0.26</v>
      </c>
      <c r="F352">
        <v>0.28789999999999999</v>
      </c>
    </row>
    <row r="353" spans="1:6" x14ac:dyDescent="0.3">
      <c r="A353">
        <v>1</v>
      </c>
      <c r="B353">
        <v>0</v>
      </c>
      <c r="C353" t="b">
        <v>0</v>
      </c>
      <c r="D353">
        <v>1</v>
      </c>
      <c r="E353">
        <v>0.22</v>
      </c>
      <c r="F353">
        <v>0.2727</v>
      </c>
    </row>
    <row r="354" spans="1:6" x14ac:dyDescent="0.3">
      <c r="A354">
        <v>1</v>
      </c>
      <c r="B354">
        <v>0</v>
      </c>
      <c r="C354" t="b">
        <v>0</v>
      </c>
      <c r="D354">
        <v>1</v>
      </c>
      <c r="E354">
        <v>0.26</v>
      </c>
      <c r="F354">
        <v>0.2576</v>
      </c>
    </row>
    <row r="355" spans="1:6" x14ac:dyDescent="0.3">
      <c r="A355">
        <v>1</v>
      </c>
      <c r="B355">
        <v>0</v>
      </c>
      <c r="C355" t="b">
        <v>0</v>
      </c>
      <c r="D355">
        <v>2</v>
      </c>
      <c r="E355">
        <v>0.26</v>
      </c>
      <c r="F355">
        <v>0.2576</v>
      </c>
    </row>
    <row r="356" spans="1:6" x14ac:dyDescent="0.3">
      <c r="A356">
        <v>1</v>
      </c>
      <c r="B356">
        <v>0</v>
      </c>
      <c r="C356" t="b">
        <v>0</v>
      </c>
      <c r="D356">
        <v>2</v>
      </c>
      <c r="E356">
        <v>0.26</v>
      </c>
      <c r="F356">
        <v>0.2576</v>
      </c>
    </row>
    <row r="357" spans="1:6" x14ac:dyDescent="0.3">
      <c r="A357">
        <v>1</v>
      </c>
      <c r="B357">
        <v>0</v>
      </c>
      <c r="C357" t="b">
        <v>0</v>
      </c>
      <c r="D357">
        <v>2</v>
      </c>
      <c r="E357">
        <v>0.24</v>
      </c>
      <c r="F357">
        <v>0.21210000000000001</v>
      </c>
    </row>
    <row r="358" spans="1:6" x14ac:dyDescent="0.3">
      <c r="A358">
        <v>1</v>
      </c>
      <c r="B358">
        <v>0</v>
      </c>
      <c r="C358" t="b">
        <v>0</v>
      </c>
      <c r="D358">
        <v>1</v>
      </c>
      <c r="E358">
        <v>0.22</v>
      </c>
      <c r="F358">
        <v>0.21210000000000001</v>
      </c>
    </row>
    <row r="359" spans="1:6" x14ac:dyDescent="0.3">
      <c r="A359">
        <v>1</v>
      </c>
      <c r="B359">
        <v>0</v>
      </c>
      <c r="C359" t="b">
        <v>0</v>
      </c>
      <c r="D359">
        <v>1</v>
      </c>
      <c r="E359">
        <v>0.22</v>
      </c>
      <c r="F359">
        <v>0.21210000000000001</v>
      </c>
    </row>
    <row r="360" spans="1:6" x14ac:dyDescent="0.3">
      <c r="A360">
        <v>1</v>
      </c>
      <c r="B360">
        <v>0</v>
      </c>
      <c r="C360" t="b">
        <v>0</v>
      </c>
      <c r="D360">
        <v>1</v>
      </c>
      <c r="E360">
        <v>0.22</v>
      </c>
      <c r="F360">
        <v>0.21210000000000001</v>
      </c>
    </row>
    <row r="361" spans="1:6" x14ac:dyDescent="0.3">
      <c r="A361">
        <v>1</v>
      </c>
      <c r="B361">
        <v>0</v>
      </c>
      <c r="C361" t="b">
        <v>0</v>
      </c>
      <c r="D361">
        <v>1</v>
      </c>
      <c r="E361">
        <v>0.24</v>
      </c>
      <c r="F361">
        <v>0.2273</v>
      </c>
    </row>
    <row r="362" spans="1:6" x14ac:dyDescent="0.3">
      <c r="A362">
        <v>1</v>
      </c>
      <c r="B362">
        <v>0</v>
      </c>
      <c r="C362" t="b">
        <v>0</v>
      </c>
      <c r="D362">
        <v>1</v>
      </c>
      <c r="E362">
        <v>0.24</v>
      </c>
      <c r="F362">
        <v>0.21210000000000001</v>
      </c>
    </row>
    <row r="363" spans="1:6" x14ac:dyDescent="0.3">
      <c r="A363">
        <v>1</v>
      </c>
      <c r="B363">
        <v>0</v>
      </c>
      <c r="C363" t="b">
        <v>0</v>
      </c>
      <c r="D363">
        <v>1</v>
      </c>
      <c r="E363">
        <v>0.26</v>
      </c>
      <c r="F363">
        <v>0.2273</v>
      </c>
    </row>
    <row r="364" spans="1:6" x14ac:dyDescent="0.3">
      <c r="A364">
        <v>1</v>
      </c>
      <c r="B364">
        <v>0</v>
      </c>
      <c r="C364" t="b">
        <v>0</v>
      </c>
      <c r="D364">
        <v>1</v>
      </c>
      <c r="E364">
        <v>0.28000000000000003</v>
      </c>
      <c r="F364">
        <v>0.2727</v>
      </c>
    </row>
    <row r="365" spans="1:6" x14ac:dyDescent="0.3">
      <c r="A365">
        <v>1</v>
      </c>
      <c r="B365">
        <v>0</v>
      </c>
      <c r="C365" t="b">
        <v>0</v>
      </c>
      <c r="D365">
        <v>1</v>
      </c>
      <c r="E365">
        <v>0.26</v>
      </c>
      <c r="F365">
        <v>0.2424</v>
      </c>
    </row>
    <row r="366" spans="1:6" x14ac:dyDescent="0.3">
      <c r="A366">
        <v>1</v>
      </c>
      <c r="B366">
        <v>0</v>
      </c>
      <c r="C366" t="b">
        <v>0</v>
      </c>
      <c r="D366">
        <v>1</v>
      </c>
      <c r="E366">
        <v>0.24</v>
      </c>
      <c r="F366">
        <v>0.2273</v>
      </c>
    </row>
    <row r="367" spans="1:6" x14ac:dyDescent="0.3">
      <c r="A367">
        <v>1</v>
      </c>
      <c r="B367">
        <v>0</v>
      </c>
      <c r="C367" t="b">
        <v>0</v>
      </c>
      <c r="D367">
        <v>1</v>
      </c>
      <c r="E367">
        <v>0.22</v>
      </c>
      <c r="F367">
        <v>0.21210000000000001</v>
      </c>
    </row>
    <row r="368" spans="1:6" x14ac:dyDescent="0.3">
      <c r="A368">
        <v>1</v>
      </c>
      <c r="B368">
        <v>0</v>
      </c>
      <c r="C368" t="b">
        <v>0</v>
      </c>
      <c r="D368">
        <v>1</v>
      </c>
      <c r="E368">
        <v>0.2</v>
      </c>
      <c r="F368">
        <v>0.21210000000000001</v>
      </c>
    </row>
    <row r="369" spans="1:6" x14ac:dyDescent="0.3">
      <c r="A369">
        <v>1</v>
      </c>
      <c r="B369">
        <v>0</v>
      </c>
      <c r="C369" t="b">
        <v>0</v>
      </c>
      <c r="D369">
        <v>1</v>
      </c>
      <c r="E369">
        <v>0.18</v>
      </c>
      <c r="F369">
        <v>0.19700000000000001</v>
      </c>
    </row>
    <row r="370" spans="1:6" x14ac:dyDescent="0.3">
      <c r="A370">
        <v>1</v>
      </c>
      <c r="B370">
        <v>0</v>
      </c>
      <c r="C370" t="b">
        <v>0</v>
      </c>
      <c r="D370">
        <v>1</v>
      </c>
      <c r="E370">
        <v>0.18</v>
      </c>
      <c r="F370">
        <v>0.19700000000000001</v>
      </c>
    </row>
    <row r="371" spans="1:6" x14ac:dyDescent="0.3">
      <c r="A371">
        <v>1</v>
      </c>
      <c r="B371">
        <v>0</v>
      </c>
      <c r="C371" t="b">
        <v>0</v>
      </c>
      <c r="D371">
        <v>1</v>
      </c>
      <c r="E371">
        <v>0.18</v>
      </c>
      <c r="F371">
        <v>0.19700000000000001</v>
      </c>
    </row>
    <row r="372" spans="1:6" x14ac:dyDescent="0.3">
      <c r="A372">
        <v>1</v>
      </c>
      <c r="B372">
        <v>0</v>
      </c>
      <c r="C372" t="b">
        <v>0</v>
      </c>
      <c r="D372">
        <v>2</v>
      </c>
      <c r="E372">
        <v>0.2</v>
      </c>
      <c r="F372">
        <v>0.21210000000000001</v>
      </c>
    </row>
    <row r="373" spans="1:6" x14ac:dyDescent="0.3">
      <c r="A373">
        <v>1</v>
      </c>
      <c r="B373">
        <v>0</v>
      </c>
      <c r="C373" t="b">
        <v>0</v>
      </c>
      <c r="D373">
        <v>2</v>
      </c>
      <c r="E373">
        <v>0.2</v>
      </c>
      <c r="F373">
        <v>0.2273</v>
      </c>
    </row>
    <row r="374" spans="1:6" x14ac:dyDescent="0.3">
      <c r="A374">
        <v>1</v>
      </c>
      <c r="B374">
        <v>1</v>
      </c>
      <c r="C374" t="b">
        <v>1</v>
      </c>
      <c r="D374">
        <v>2</v>
      </c>
      <c r="E374">
        <v>0.2</v>
      </c>
      <c r="F374">
        <v>0.19700000000000001</v>
      </c>
    </row>
    <row r="375" spans="1:6" x14ac:dyDescent="0.3">
      <c r="A375">
        <v>1</v>
      </c>
      <c r="B375">
        <v>1</v>
      </c>
      <c r="C375" t="b">
        <v>1</v>
      </c>
      <c r="D375">
        <v>2</v>
      </c>
      <c r="E375">
        <v>0.2</v>
      </c>
      <c r="F375">
        <v>0.19700000000000001</v>
      </c>
    </row>
    <row r="376" spans="1:6" x14ac:dyDescent="0.3">
      <c r="A376">
        <v>1</v>
      </c>
      <c r="B376">
        <v>1</v>
      </c>
      <c r="C376" t="b">
        <v>1</v>
      </c>
      <c r="D376">
        <v>2</v>
      </c>
      <c r="E376">
        <v>0.18</v>
      </c>
      <c r="F376">
        <v>0.16669999999999999</v>
      </c>
    </row>
    <row r="377" spans="1:6" x14ac:dyDescent="0.3">
      <c r="A377">
        <v>1</v>
      </c>
      <c r="B377">
        <v>1</v>
      </c>
      <c r="C377" t="b">
        <v>1</v>
      </c>
      <c r="D377">
        <v>2</v>
      </c>
      <c r="E377">
        <v>0.18</v>
      </c>
      <c r="F377">
        <v>0.18179999999999999</v>
      </c>
    </row>
    <row r="378" spans="1:6" x14ac:dyDescent="0.3">
      <c r="A378">
        <v>1</v>
      </c>
      <c r="B378">
        <v>1</v>
      </c>
      <c r="C378" t="b">
        <v>1</v>
      </c>
      <c r="D378">
        <v>2</v>
      </c>
      <c r="E378">
        <v>0.18</v>
      </c>
      <c r="F378">
        <v>0.19700000000000001</v>
      </c>
    </row>
    <row r="379" spans="1:6" x14ac:dyDescent="0.3">
      <c r="A379">
        <v>1</v>
      </c>
      <c r="B379">
        <v>1</v>
      </c>
      <c r="C379" t="b">
        <v>1</v>
      </c>
      <c r="D379">
        <v>2</v>
      </c>
      <c r="E379">
        <v>0.18</v>
      </c>
      <c r="F379">
        <v>0.19700000000000001</v>
      </c>
    </row>
    <row r="380" spans="1:6" x14ac:dyDescent="0.3">
      <c r="A380">
        <v>1</v>
      </c>
      <c r="B380">
        <v>1</v>
      </c>
      <c r="C380" t="b">
        <v>1</v>
      </c>
      <c r="D380">
        <v>2</v>
      </c>
      <c r="E380">
        <v>0.18</v>
      </c>
      <c r="F380">
        <v>0.18179999999999999</v>
      </c>
    </row>
    <row r="381" spans="1:6" x14ac:dyDescent="0.3">
      <c r="A381">
        <v>1</v>
      </c>
      <c r="B381">
        <v>1</v>
      </c>
      <c r="C381" t="b">
        <v>1</v>
      </c>
      <c r="D381">
        <v>2</v>
      </c>
      <c r="E381">
        <v>0.16</v>
      </c>
      <c r="F381">
        <v>0.18179999999999999</v>
      </c>
    </row>
    <row r="382" spans="1:6" x14ac:dyDescent="0.3">
      <c r="A382">
        <v>1</v>
      </c>
      <c r="B382">
        <v>1</v>
      </c>
      <c r="C382" t="b">
        <v>1</v>
      </c>
      <c r="D382">
        <v>2</v>
      </c>
      <c r="E382">
        <v>0.16</v>
      </c>
      <c r="F382">
        <v>0.1515</v>
      </c>
    </row>
    <row r="383" spans="1:6" x14ac:dyDescent="0.3">
      <c r="A383">
        <v>1</v>
      </c>
      <c r="B383">
        <v>1</v>
      </c>
      <c r="C383" t="b">
        <v>1</v>
      </c>
      <c r="D383">
        <v>2</v>
      </c>
      <c r="E383">
        <v>0.16</v>
      </c>
      <c r="F383">
        <v>0.1515</v>
      </c>
    </row>
    <row r="384" spans="1:6" x14ac:dyDescent="0.3">
      <c r="A384">
        <v>1</v>
      </c>
      <c r="B384">
        <v>1</v>
      </c>
      <c r="C384" t="b">
        <v>1</v>
      </c>
      <c r="D384">
        <v>2</v>
      </c>
      <c r="E384">
        <v>0.16</v>
      </c>
      <c r="F384">
        <v>0.1515</v>
      </c>
    </row>
    <row r="385" spans="1:6" x14ac:dyDescent="0.3">
      <c r="A385">
        <v>1</v>
      </c>
      <c r="B385">
        <v>1</v>
      </c>
      <c r="C385" t="b">
        <v>1</v>
      </c>
      <c r="D385">
        <v>2</v>
      </c>
      <c r="E385">
        <v>0.16</v>
      </c>
      <c r="F385">
        <v>0.1515</v>
      </c>
    </row>
    <row r="386" spans="1:6" x14ac:dyDescent="0.3">
      <c r="A386">
        <v>1</v>
      </c>
      <c r="B386">
        <v>1</v>
      </c>
      <c r="C386" t="b">
        <v>1</v>
      </c>
      <c r="D386">
        <v>2</v>
      </c>
      <c r="E386">
        <v>0.18</v>
      </c>
      <c r="F386">
        <v>0.19700000000000001</v>
      </c>
    </row>
    <row r="387" spans="1:6" x14ac:dyDescent="0.3">
      <c r="A387">
        <v>1</v>
      </c>
      <c r="B387">
        <v>1</v>
      </c>
      <c r="C387" t="b">
        <v>1</v>
      </c>
      <c r="D387">
        <v>2</v>
      </c>
      <c r="E387">
        <v>0.18</v>
      </c>
      <c r="F387">
        <v>0.19700000000000001</v>
      </c>
    </row>
    <row r="388" spans="1:6" x14ac:dyDescent="0.3">
      <c r="A388">
        <v>1</v>
      </c>
      <c r="B388">
        <v>1</v>
      </c>
      <c r="C388" t="b">
        <v>1</v>
      </c>
      <c r="D388">
        <v>2</v>
      </c>
      <c r="E388">
        <v>0.18</v>
      </c>
      <c r="F388">
        <v>0.21210000000000001</v>
      </c>
    </row>
    <row r="389" spans="1:6" x14ac:dyDescent="0.3">
      <c r="A389">
        <v>1</v>
      </c>
      <c r="B389">
        <v>1</v>
      </c>
      <c r="C389" t="b">
        <v>1</v>
      </c>
      <c r="D389">
        <v>2</v>
      </c>
      <c r="E389">
        <v>0.2</v>
      </c>
      <c r="F389">
        <v>0.21210000000000001</v>
      </c>
    </row>
    <row r="390" spans="1:6" x14ac:dyDescent="0.3">
      <c r="A390">
        <v>1</v>
      </c>
      <c r="B390">
        <v>1</v>
      </c>
      <c r="C390" t="b">
        <v>1</v>
      </c>
      <c r="D390">
        <v>2</v>
      </c>
      <c r="E390">
        <v>0.2</v>
      </c>
      <c r="F390">
        <v>0.21210000000000001</v>
      </c>
    </row>
    <row r="391" spans="1:6" x14ac:dyDescent="0.3">
      <c r="A391">
        <v>1</v>
      </c>
      <c r="B391">
        <v>1</v>
      </c>
      <c r="C391" t="b">
        <v>1</v>
      </c>
      <c r="D391">
        <v>1</v>
      </c>
      <c r="E391">
        <v>0.2</v>
      </c>
      <c r="F391">
        <v>0.19700000000000001</v>
      </c>
    </row>
    <row r="392" spans="1:6" x14ac:dyDescent="0.3">
      <c r="A392">
        <v>1</v>
      </c>
      <c r="B392">
        <v>1</v>
      </c>
      <c r="C392" t="b">
        <v>1</v>
      </c>
      <c r="D392">
        <v>2</v>
      </c>
      <c r="E392">
        <v>0.18</v>
      </c>
      <c r="F392">
        <v>0.16669999999999999</v>
      </c>
    </row>
    <row r="393" spans="1:6" x14ac:dyDescent="0.3">
      <c r="A393">
        <v>1</v>
      </c>
      <c r="B393">
        <v>1</v>
      </c>
      <c r="C393" t="b">
        <v>1</v>
      </c>
      <c r="D393">
        <v>3</v>
      </c>
      <c r="E393">
        <v>0.18</v>
      </c>
      <c r="F393">
        <v>0.18179999999999999</v>
      </c>
    </row>
    <row r="394" spans="1:6" x14ac:dyDescent="0.3">
      <c r="A394">
        <v>1</v>
      </c>
      <c r="B394">
        <v>1</v>
      </c>
      <c r="C394" t="b">
        <v>1</v>
      </c>
      <c r="D394">
        <v>3</v>
      </c>
      <c r="E394">
        <v>0.16</v>
      </c>
      <c r="F394">
        <v>0.1515</v>
      </c>
    </row>
    <row r="395" spans="1:6" x14ac:dyDescent="0.3">
      <c r="A395">
        <v>1</v>
      </c>
      <c r="B395">
        <v>1</v>
      </c>
      <c r="C395" t="b">
        <v>1</v>
      </c>
      <c r="D395">
        <v>3</v>
      </c>
      <c r="E395">
        <v>0.16</v>
      </c>
      <c r="F395">
        <v>0.1515</v>
      </c>
    </row>
    <row r="396" spans="1:6" x14ac:dyDescent="0.3">
      <c r="A396">
        <v>1</v>
      </c>
      <c r="B396">
        <v>1</v>
      </c>
      <c r="C396" t="b">
        <v>1</v>
      </c>
      <c r="D396">
        <v>3</v>
      </c>
      <c r="E396">
        <v>0.14000000000000001</v>
      </c>
      <c r="F396">
        <v>0.1212</v>
      </c>
    </row>
    <row r="397" spans="1:6" x14ac:dyDescent="0.3">
      <c r="A397">
        <v>1</v>
      </c>
      <c r="B397">
        <v>1</v>
      </c>
      <c r="C397" t="b">
        <v>1</v>
      </c>
      <c r="D397">
        <v>3</v>
      </c>
      <c r="E397">
        <v>0.16</v>
      </c>
      <c r="F397">
        <v>0.13639999999999999</v>
      </c>
    </row>
    <row r="398" spans="1:6" x14ac:dyDescent="0.3">
      <c r="A398">
        <v>1</v>
      </c>
      <c r="B398">
        <v>2</v>
      </c>
      <c r="C398" t="b">
        <v>0</v>
      </c>
      <c r="D398">
        <v>2</v>
      </c>
      <c r="E398">
        <v>0.2</v>
      </c>
      <c r="F398">
        <v>0.18179999999999999</v>
      </c>
    </row>
    <row r="399" spans="1:6" x14ac:dyDescent="0.3">
      <c r="A399">
        <v>1</v>
      </c>
      <c r="B399">
        <v>2</v>
      </c>
      <c r="C399" t="b">
        <v>0</v>
      </c>
      <c r="D399">
        <v>2</v>
      </c>
      <c r="E399">
        <v>0.2</v>
      </c>
      <c r="F399">
        <v>0.19700000000000001</v>
      </c>
    </row>
    <row r="400" spans="1:6" x14ac:dyDescent="0.3">
      <c r="A400">
        <v>1</v>
      </c>
      <c r="B400">
        <v>2</v>
      </c>
      <c r="C400" t="b">
        <v>0</v>
      </c>
      <c r="D400">
        <v>2</v>
      </c>
      <c r="E400">
        <v>0.22</v>
      </c>
      <c r="F400">
        <v>0.2273</v>
      </c>
    </row>
    <row r="401" spans="1:6" x14ac:dyDescent="0.3">
      <c r="A401">
        <v>1</v>
      </c>
      <c r="B401">
        <v>2</v>
      </c>
      <c r="C401" t="b">
        <v>0</v>
      </c>
      <c r="D401">
        <v>2</v>
      </c>
      <c r="E401">
        <v>0.22</v>
      </c>
      <c r="F401">
        <v>0.2273</v>
      </c>
    </row>
    <row r="402" spans="1:6" x14ac:dyDescent="0.3">
      <c r="A402">
        <v>1</v>
      </c>
      <c r="B402">
        <v>2</v>
      </c>
      <c r="C402" t="b">
        <v>0</v>
      </c>
      <c r="D402">
        <v>2</v>
      </c>
      <c r="E402">
        <v>0.22</v>
      </c>
      <c r="F402">
        <v>0.2273</v>
      </c>
    </row>
    <row r="403" spans="1:6" x14ac:dyDescent="0.3">
      <c r="A403">
        <v>1</v>
      </c>
      <c r="B403">
        <v>2</v>
      </c>
      <c r="C403" t="b">
        <v>0</v>
      </c>
      <c r="D403">
        <v>2</v>
      </c>
      <c r="E403">
        <v>0.22</v>
      </c>
      <c r="F403">
        <v>0.2273</v>
      </c>
    </row>
    <row r="404" spans="1:6" x14ac:dyDescent="0.3">
      <c r="A404">
        <v>1</v>
      </c>
      <c r="B404">
        <v>2</v>
      </c>
      <c r="C404" t="b">
        <v>0</v>
      </c>
      <c r="D404">
        <v>2</v>
      </c>
      <c r="E404">
        <v>0.22</v>
      </c>
      <c r="F404">
        <v>0.2273</v>
      </c>
    </row>
    <row r="405" spans="1:6" x14ac:dyDescent="0.3">
      <c r="A405">
        <v>1</v>
      </c>
      <c r="B405">
        <v>2</v>
      </c>
      <c r="C405" t="b">
        <v>0</v>
      </c>
      <c r="D405">
        <v>2</v>
      </c>
      <c r="E405">
        <v>0.22</v>
      </c>
      <c r="F405">
        <v>0.2273</v>
      </c>
    </row>
    <row r="406" spans="1:6" x14ac:dyDescent="0.3">
      <c r="A406">
        <v>1</v>
      </c>
      <c r="B406">
        <v>2</v>
      </c>
      <c r="C406" t="b">
        <v>0</v>
      </c>
      <c r="D406">
        <v>2</v>
      </c>
      <c r="E406">
        <v>0.22</v>
      </c>
      <c r="F406">
        <v>0.2727</v>
      </c>
    </row>
    <row r="407" spans="1:6" x14ac:dyDescent="0.3">
      <c r="A407">
        <v>1</v>
      </c>
      <c r="B407">
        <v>2</v>
      </c>
      <c r="C407" t="b">
        <v>0</v>
      </c>
      <c r="D407">
        <v>2</v>
      </c>
      <c r="E407">
        <v>0.22</v>
      </c>
      <c r="F407">
        <v>0.2424</v>
      </c>
    </row>
    <row r="408" spans="1:6" x14ac:dyDescent="0.3">
      <c r="A408">
        <v>1</v>
      </c>
      <c r="B408">
        <v>2</v>
      </c>
      <c r="C408" t="b">
        <v>0</v>
      </c>
      <c r="D408">
        <v>2</v>
      </c>
      <c r="E408">
        <v>0.22</v>
      </c>
      <c r="F408">
        <v>0.2576</v>
      </c>
    </row>
    <row r="409" spans="1:6" x14ac:dyDescent="0.3">
      <c r="A409">
        <v>1</v>
      </c>
      <c r="B409">
        <v>2</v>
      </c>
      <c r="C409" t="b">
        <v>0</v>
      </c>
      <c r="D409">
        <v>2</v>
      </c>
      <c r="E409">
        <v>0.22</v>
      </c>
      <c r="F409">
        <v>0.2727</v>
      </c>
    </row>
    <row r="410" spans="1:6" x14ac:dyDescent="0.3">
      <c r="A410">
        <v>1</v>
      </c>
      <c r="B410">
        <v>3</v>
      </c>
      <c r="C410" t="b">
        <v>0</v>
      </c>
      <c r="D410">
        <v>2</v>
      </c>
      <c r="E410">
        <v>0.22</v>
      </c>
      <c r="F410">
        <v>0.2727</v>
      </c>
    </row>
    <row r="411" spans="1:6" x14ac:dyDescent="0.3">
      <c r="A411">
        <v>1</v>
      </c>
      <c r="B411">
        <v>3</v>
      </c>
      <c r="C411" t="b">
        <v>0</v>
      </c>
      <c r="D411">
        <v>3</v>
      </c>
      <c r="E411">
        <v>0.22</v>
      </c>
      <c r="F411">
        <v>0.2273</v>
      </c>
    </row>
    <row r="412" spans="1:6" x14ac:dyDescent="0.3">
      <c r="A412">
        <v>1</v>
      </c>
      <c r="B412">
        <v>3</v>
      </c>
      <c r="C412" t="b">
        <v>0</v>
      </c>
      <c r="D412">
        <v>3</v>
      </c>
      <c r="E412">
        <v>0.22</v>
      </c>
      <c r="F412">
        <v>0.2273</v>
      </c>
    </row>
    <row r="413" spans="1:6" x14ac:dyDescent="0.3">
      <c r="A413">
        <v>1</v>
      </c>
      <c r="B413">
        <v>3</v>
      </c>
      <c r="C413" t="b">
        <v>0</v>
      </c>
      <c r="D413">
        <v>3</v>
      </c>
      <c r="E413">
        <v>0.22</v>
      </c>
      <c r="F413">
        <v>0.2273</v>
      </c>
    </row>
    <row r="414" spans="1:6" x14ac:dyDescent="0.3">
      <c r="A414">
        <v>1</v>
      </c>
      <c r="B414">
        <v>3</v>
      </c>
      <c r="C414" t="b">
        <v>0</v>
      </c>
      <c r="D414">
        <v>2</v>
      </c>
      <c r="E414">
        <v>0.22</v>
      </c>
      <c r="F414">
        <v>0.2576</v>
      </c>
    </row>
    <row r="415" spans="1:6" x14ac:dyDescent="0.3">
      <c r="A415">
        <v>1</v>
      </c>
      <c r="B415">
        <v>3</v>
      </c>
      <c r="C415" t="b">
        <v>0</v>
      </c>
      <c r="D415">
        <v>2</v>
      </c>
      <c r="E415">
        <v>0.22</v>
      </c>
      <c r="F415">
        <v>0.2576</v>
      </c>
    </row>
    <row r="416" spans="1:6" x14ac:dyDescent="0.3">
      <c r="A416">
        <v>1</v>
      </c>
      <c r="B416">
        <v>3</v>
      </c>
      <c r="C416" t="b">
        <v>0</v>
      </c>
      <c r="D416">
        <v>2</v>
      </c>
      <c r="E416">
        <v>0.24</v>
      </c>
      <c r="F416">
        <v>0.2576</v>
      </c>
    </row>
    <row r="417" spans="1:6" x14ac:dyDescent="0.3">
      <c r="A417">
        <v>1</v>
      </c>
      <c r="B417">
        <v>3</v>
      </c>
      <c r="C417" t="b">
        <v>0</v>
      </c>
      <c r="D417">
        <v>2</v>
      </c>
      <c r="E417">
        <v>0.24</v>
      </c>
      <c r="F417">
        <v>0.2576</v>
      </c>
    </row>
    <row r="418" spans="1:6" x14ac:dyDescent="0.3">
      <c r="A418">
        <v>1</v>
      </c>
      <c r="B418">
        <v>3</v>
      </c>
      <c r="C418" t="b">
        <v>0</v>
      </c>
      <c r="D418">
        <v>2</v>
      </c>
      <c r="E418">
        <v>0.24</v>
      </c>
      <c r="F418">
        <v>0.2576</v>
      </c>
    </row>
    <row r="419" spans="1:6" x14ac:dyDescent="0.3">
      <c r="A419">
        <v>1</v>
      </c>
      <c r="B419">
        <v>3</v>
      </c>
      <c r="C419" t="b">
        <v>0</v>
      </c>
      <c r="D419">
        <v>2</v>
      </c>
      <c r="E419">
        <v>0.26</v>
      </c>
      <c r="F419">
        <v>0.2727</v>
      </c>
    </row>
    <row r="420" spans="1:6" x14ac:dyDescent="0.3">
      <c r="A420">
        <v>1</v>
      </c>
      <c r="B420">
        <v>3</v>
      </c>
      <c r="C420" t="b">
        <v>0</v>
      </c>
      <c r="D420">
        <v>2</v>
      </c>
      <c r="E420">
        <v>0.28000000000000003</v>
      </c>
      <c r="F420">
        <v>0.30299999999999999</v>
      </c>
    </row>
    <row r="421" spans="1:6" x14ac:dyDescent="0.3">
      <c r="A421">
        <v>1</v>
      </c>
      <c r="B421">
        <v>3</v>
      </c>
      <c r="C421" t="b">
        <v>0</v>
      </c>
      <c r="D421">
        <v>2</v>
      </c>
      <c r="E421">
        <v>0.3</v>
      </c>
      <c r="F421">
        <v>0.31819999999999998</v>
      </c>
    </row>
    <row r="422" spans="1:6" x14ac:dyDescent="0.3">
      <c r="A422">
        <v>1</v>
      </c>
      <c r="B422">
        <v>3</v>
      </c>
      <c r="C422" t="b">
        <v>0</v>
      </c>
      <c r="D422">
        <v>1</v>
      </c>
      <c r="E422">
        <v>0.4</v>
      </c>
      <c r="F422">
        <v>0.40910000000000002</v>
      </c>
    </row>
    <row r="423" spans="1:6" x14ac:dyDescent="0.3">
      <c r="A423">
        <v>1</v>
      </c>
      <c r="B423">
        <v>3</v>
      </c>
      <c r="C423" t="b">
        <v>0</v>
      </c>
      <c r="D423">
        <v>1</v>
      </c>
      <c r="E423">
        <v>0.4</v>
      </c>
      <c r="F423">
        <v>0.40910000000000002</v>
      </c>
    </row>
    <row r="424" spans="1:6" x14ac:dyDescent="0.3">
      <c r="A424">
        <v>1</v>
      </c>
      <c r="B424">
        <v>3</v>
      </c>
      <c r="C424" t="b">
        <v>0</v>
      </c>
      <c r="D424">
        <v>1</v>
      </c>
      <c r="E424">
        <v>0.4</v>
      </c>
      <c r="F424">
        <v>0.40910000000000002</v>
      </c>
    </row>
    <row r="425" spans="1:6" x14ac:dyDescent="0.3">
      <c r="A425">
        <v>1</v>
      </c>
      <c r="B425">
        <v>3</v>
      </c>
      <c r="C425" t="b">
        <v>0</v>
      </c>
      <c r="D425">
        <v>1</v>
      </c>
      <c r="E425">
        <v>0.38</v>
      </c>
      <c r="F425">
        <v>0.39389999999999997</v>
      </c>
    </row>
    <row r="426" spans="1:6" x14ac:dyDescent="0.3">
      <c r="A426">
        <v>1</v>
      </c>
      <c r="B426">
        <v>3</v>
      </c>
      <c r="C426" t="b">
        <v>0</v>
      </c>
      <c r="D426">
        <v>1</v>
      </c>
      <c r="E426">
        <v>0.36</v>
      </c>
      <c r="F426">
        <v>0.33329999999999999</v>
      </c>
    </row>
    <row r="427" spans="1:6" x14ac:dyDescent="0.3">
      <c r="A427">
        <v>1</v>
      </c>
      <c r="B427">
        <v>3</v>
      </c>
      <c r="C427" t="b">
        <v>0</v>
      </c>
      <c r="D427">
        <v>1</v>
      </c>
      <c r="E427">
        <v>0.34</v>
      </c>
      <c r="F427">
        <v>0.31819999999999998</v>
      </c>
    </row>
    <row r="428" spans="1:6" x14ac:dyDescent="0.3">
      <c r="A428">
        <v>1</v>
      </c>
      <c r="B428">
        <v>3</v>
      </c>
      <c r="C428" t="b">
        <v>0</v>
      </c>
      <c r="D428">
        <v>1</v>
      </c>
      <c r="E428">
        <v>0.32</v>
      </c>
      <c r="F428">
        <v>0.28789999999999999</v>
      </c>
    </row>
    <row r="429" spans="1:6" x14ac:dyDescent="0.3">
      <c r="A429">
        <v>1</v>
      </c>
      <c r="B429">
        <v>3</v>
      </c>
      <c r="C429" t="b">
        <v>0</v>
      </c>
      <c r="D429">
        <v>1</v>
      </c>
      <c r="E429">
        <v>0.32</v>
      </c>
      <c r="F429">
        <v>0.30299999999999999</v>
      </c>
    </row>
    <row r="430" spans="1:6" x14ac:dyDescent="0.3">
      <c r="A430">
        <v>1</v>
      </c>
      <c r="B430">
        <v>3</v>
      </c>
      <c r="C430" t="b">
        <v>0</v>
      </c>
      <c r="D430">
        <v>1</v>
      </c>
      <c r="E430">
        <v>0.32</v>
      </c>
      <c r="F430">
        <v>0.28789999999999999</v>
      </c>
    </row>
    <row r="431" spans="1:6" x14ac:dyDescent="0.3">
      <c r="A431">
        <v>1</v>
      </c>
      <c r="B431">
        <v>3</v>
      </c>
      <c r="C431" t="b">
        <v>0</v>
      </c>
      <c r="D431">
        <v>1</v>
      </c>
      <c r="E431">
        <v>0.3</v>
      </c>
      <c r="F431">
        <v>0.30299999999999999</v>
      </c>
    </row>
    <row r="432" spans="1:6" x14ac:dyDescent="0.3">
      <c r="A432">
        <v>1</v>
      </c>
      <c r="B432">
        <v>3</v>
      </c>
      <c r="C432" t="b">
        <v>0</v>
      </c>
      <c r="D432">
        <v>1</v>
      </c>
      <c r="E432">
        <v>0.3</v>
      </c>
      <c r="F432">
        <v>0.2727</v>
      </c>
    </row>
    <row r="433" spans="1:6" x14ac:dyDescent="0.3">
      <c r="A433">
        <v>1</v>
      </c>
      <c r="B433">
        <v>4</v>
      </c>
      <c r="C433" t="b">
        <v>0</v>
      </c>
      <c r="D433">
        <v>1</v>
      </c>
      <c r="E433">
        <v>0.26</v>
      </c>
      <c r="F433">
        <v>0.2273</v>
      </c>
    </row>
    <row r="434" spans="1:6" x14ac:dyDescent="0.3">
      <c r="A434">
        <v>1</v>
      </c>
      <c r="B434">
        <v>4</v>
      </c>
      <c r="C434" t="b">
        <v>0</v>
      </c>
      <c r="D434">
        <v>1</v>
      </c>
      <c r="E434">
        <v>0.26</v>
      </c>
      <c r="F434">
        <v>0.2727</v>
      </c>
    </row>
    <row r="435" spans="1:6" x14ac:dyDescent="0.3">
      <c r="A435">
        <v>1</v>
      </c>
      <c r="B435">
        <v>4</v>
      </c>
      <c r="C435" t="b">
        <v>0</v>
      </c>
      <c r="D435">
        <v>1</v>
      </c>
      <c r="E435">
        <v>0.26</v>
      </c>
      <c r="F435">
        <v>0.2727</v>
      </c>
    </row>
    <row r="436" spans="1:6" x14ac:dyDescent="0.3">
      <c r="A436">
        <v>1</v>
      </c>
      <c r="B436">
        <v>4</v>
      </c>
      <c r="C436" t="b">
        <v>0</v>
      </c>
      <c r="D436">
        <v>1</v>
      </c>
      <c r="E436">
        <v>0.26</v>
      </c>
      <c r="F436">
        <v>0.2576</v>
      </c>
    </row>
    <row r="437" spans="1:6" x14ac:dyDescent="0.3">
      <c r="A437">
        <v>1</v>
      </c>
      <c r="B437">
        <v>4</v>
      </c>
      <c r="C437" t="b">
        <v>0</v>
      </c>
      <c r="D437">
        <v>1</v>
      </c>
      <c r="E437">
        <v>0.26</v>
      </c>
      <c r="F437">
        <v>0.2576</v>
      </c>
    </row>
    <row r="438" spans="1:6" x14ac:dyDescent="0.3">
      <c r="A438">
        <v>1</v>
      </c>
      <c r="B438">
        <v>4</v>
      </c>
      <c r="C438" t="b">
        <v>0</v>
      </c>
      <c r="D438">
        <v>1</v>
      </c>
      <c r="E438">
        <v>0.24</v>
      </c>
      <c r="F438">
        <v>0.2273</v>
      </c>
    </row>
    <row r="439" spans="1:6" x14ac:dyDescent="0.3">
      <c r="A439">
        <v>1</v>
      </c>
      <c r="B439">
        <v>4</v>
      </c>
      <c r="C439" t="b">
        <v>0</v>
      </c>
      <c r="D439">
        <v>1</v>
      </c>
      <c r="E439">
        <v>0.22</v>
      </c>
      <c r="F439">
        <v>0.21210000000000001</v>
      </c>
    </row>
    <row r="440" spans="1:6" x14ac:dyDescent="0.3">
      <c r="A440">
        <v>1</v>
      </c>
      <c r="B440">
        <v>4</v>
      </c>
      <c r="C440" t="b">
        <v>0</v>
      </c>
      <c r="D440">
        <v>1</v>
      </c>
      <c r="E440">
        <v>0.22</v>
      </c>
      <c r="F440">
        <v>0.21210000000000001</v>
      </c>
    </row>
    <row r="441" spans="1:6" x14ac:dyDescent="0.3">
      <c r="A441">
        <v>1</v>
      </c>
      <c r="B441">
        <v>4</v>
      </c>
      <c r="C441" t="b">
        <v>0</v>
      </c>
      <c r="D441">
        <v>1</v>
      </c>
      <c r="E441">
        <v>0.22</v>
      </c>
      <c r="F441">
        <v>0.21210000000000001</v>
      </c>
    </row>
    <row r="442" spans="1:6" x14ac:dyDescent="0.3">
      <c r="A442">
        <v>1</v>
      </c>
      <c r="B442">
        <v>4</v>
      </c>
      <c r="C442" t="b">
        <v>0</v>
      </c>
      <c r="D442">
        <v>2</v>
      </c>
      <c r="E442">
        <v>0.24</v>
      </c>
      <c r="F442">
        <v>0.2273</v>
      </c>
    </row>
    <row r="443" spans="1:6" x14ac:dyDescent="0.3">
      <c r="A443">
        <v>1</v>
      </c>
      <c r="B443">
        <v>4</v>
      </c>
      <c r="C443" t="b">
        <v>0</v>
      </c>
      <c r="D443">
        <v>1</v>
      </c>
      <c r="E443">
        <v>0.26</v>
      </c>
      <c r="F443">
        <v>0.2273</v>
      </c>
    </row>
    <row r="444" spans="1:6" x14ac:dyDescent="0.3">
      <c r="A444">
        <v>1</v>
      </c>
      <c r="B444">
        <v>4</v>
      </c>
      <c r="C444" t="b">
        <v>0</v>
      </c>
      <c r="D444">
        <v>2</v>
      </c>
      <c r="E444">
        <v>0.28000000000000003</v>
      </c>
      <c r="F444">
        <v>0.2727</v>
      </c>
    </row>
    <row r="445" spans="1:6" x14ac:dyDescent="0.3">
      <c r="A445">
        <v>1</v>
      </c>
      <c r="B445">
        <v>4</v>
      </c>
      <c r="C445" t="b">
        <v>0</v>
      </c>
      <c r="D445">
        <v>2</v>
      </c>
      <c r="E445">
        <v>0.3</v>
      </c>
      <c r="F445">
        <v>0.33329999999999999</v>
      </c>
    </row>
    <row r="446" spans="1:6" x14ac:dyDescent="0.3">
      <c r="A446">
        <v>1</v>
      </c>
      <c r="B446">
        <v>4</v>
      </c>
      <c r="C446" t="b">
        <v>0</v>
      </c>
      <c r="D446">
        <v>2</v>
      </c>
      <c r="E446">
        <v>0.28000000000000003</v>
      </c>
      <c r="F446">
        <v>0.28789999999999999</v>
      </c>
    </row>
    <row r="447" spans="1:6" x14ac:dyDescent="0.3">
      <c r="A447">
        <v>1</v>
      </c>
      <c r="B447">
        <v>4</v>
      </c>
      <c r="C447" t="b">
        <v>0</v>
      </c>
      <c r="D447">
        <v>2</v>
      </c>
      <c r="E447">
        <v>0.3</v>
      </c>
      <c r="F447">
        <v>0.30299999999999999</v>
      </c>
    </row>
    <row r="448" spans="1:6" x14ac:dyDescent="0.3">
      <c r="A448">
        <v>1</v>
      </c>
      <c r="B448">
        <v>4</v>
      </c>
      <c r="C448" t="b">
        <v>0</v>
      </c>
      <c r="D448">
        <v>2</v>
      </c>
      <c r="E448">
        <v>0.32</v>
      </c>
      <c r="F448">
        <v>0.31819999999999998</v>
      </c>
    </row>
    <row r="449" spans="1:6" x14ac:dyDescent="0.3">
      <c r="A449">
        <v>1</v>
      </c>
      <c r="B449">
        <v>4</v>
      </c>
      <c r="C449" t="b">
        <v>0</v>
      </c>
      <c r="D449">
        <v>2</v>
      </c>
      <c r="E449">
        <v>0.3</v>
      </c>
      <c r="F449">
        <v>0.30299999999999999</v>
      </c>
    </row>
    <row r="450" spans="1:6" x14ac:dyDescent="0.3">
      <c r="A450">
        <v>1</v>
      </c>
      <c r="B450">
        <v>4</v>
      </c>
      <c r="C450" t="b">
        <v>0</v>
      </c>
      <c r="D450">
        <v>2</v>
      </c>
      <c r="E450">
        <v>0.3</v>
      </c>
      <c r="F450">
        <v>0.31819999999999998</v>
      </c>
    </row>
    <row r="451" spans="1:6" x14ac:dyDescent="0.3">
      <c r="A451">
        <v>1</v>
      </c>
      <c r="B451">
        <v>4</v>
      </c>
      <c r="C451" t="b">
        <v>0</v>
      </c>
      <c r="D451">
        <v>2</v>
      </c>
      <c r="E451">
        <v>0.26</v>
      </c>
      <c r="F451">
        <v>0.2576</v>
      </c>
    </row>
    <row r="452" spans="1:6" x14ac:dyDescent="0.3">
      <c r="A452">
        <v>1</v>
      </c>
      <c r="B452">
        <v>4</v>
      </c>
      <c r="C452" t="b">
        <v>0</v>
      </c>
      <c r="D452">
        <v>1</v>
      </c>
      <c r="E452">
        <v>0.26</v>
      </c>
      <c r="F452">
        <v>0.2273</v>
      </c>
    </row>
    <row r="453" spans="1:6" x14ac:dyDescent="0.3">
      <c r="A453">
        <v>1</v>
      </c>
      <c r="B453">
        <v>4</v>
      </c>
      <c r="C453" t="b">
        <v>0</v>
      </c>
      <c r="D453">
        <v>2</v>
      </c>
      <c r="E453">
        <v>0.26</v>
      </c>
      <c r="F453">
        <v>0.2424</v>
      </c>
    </row>
    <row r="454" spans="1:6" x14ac:dyDescent="0.3">
      <c r="A454">
        <v>1</v>
      </c>
      <c r="B454">
        <v>4</v>
      </c>
      <c r="C454" t="b">
        <v>0</v>
      </c>
      <c r="D454">
        <v>2</v>
      </c>
      <c r="E454">
        <v>0.24</v>
      </c>
      <c r="F454">
        <v>0.2273</v>
      </c>
    </row>
    <row r="455" spans="1:6" x14ac:dyDescent="0.3">
      <c r="A455">
        <v>1</v>
      </c>
      <c r="B455">
        <v>4</v>
      </c>
      <c r="C455" t="b">
        <v>0</v>
      </c>
      <c r="D455">
        <v>2</v>
      </c>
      <c r="E455">
        <v>0.24</v>
      </c>
      <c r="F455">
        <v>0.21210000000000001</v>
      </c>
    </row>
    <row r="456" spans="1:6" x14ac:dyDescent="0.3">
      <c r="A456">
        <v>1</v>
      </c>
      <c r="B456">
        <v>4</v>
      </c>
      <c r="C456" t="b">
        <v>0</v>
      </c>
      <c r="D456">
        <v>2</v>
      </c>
      <c r="E456">
        <v>0.24</v>
      </c>
      <c r="F456">
        <v>0.21210000000000001</v>
      </c>
    </row>
    <row r="457" spans="1:6" x14ac:dyDescent="0.3">
      <c r="A457">
        <v>1</v>
      </c>
      <c r="B457">
        <v>5</v>
      </c>
      <c r="C457" t="b">
        <v>0</v>
      </c>
      <c r="D457">
        <v>2</v>
      </c>
      <c r="E457">
        <v>0.24</v>
      </c>
      <c r="F457">
        <v>0.2273</v>
      </c>
    </row>
    <row r="458" spans="1:6" x14ac:dyDescent="0.3">
      <c r="A458">
        <v>1</v>
      </c>
      <c r="B458">
        <v>5</v>
      </c>
      <c r="C458" t="b">
        <v>0</v>
      </c>
      <c r="D458">
        <v>2</v>
      </c>
      <c r="E458">
        <v>0.24</v>
      </c>
      <c r="F458">
        <v>0.2273</v>
      </c>
    </row>
    <row r="459" spans="1:6" x14ac:dyDescent="0.3">
      <c r="A459">
        <v>1</v>
      </c>
      <c r="B459">
        <v>5</v>
      </c>
      <c r="C459" t="b">
        <v>0</v>
      </c>
      <c r="D459">
        <v>3</v>
      </c>
      <c r="E459">
        <v>0.24</v>
      </c>
      <c r="F459">
        <v>0.2424</v>
      </c>
    </row>
    <row r="460" spans="1:6" x14ac:dyDescent="0.3">
      <c r="A460">
        <v>1</v>
      </c>
      <c r="B460">
        <v>5</v>
      </c>
      <c r="C460" t="b">
        <v>0</v>
      </c>
      <c r="D460">
        <v>3</v>
      </c>
      <c r="E460">
        <v>0.22</v>
      </c>
      <c r="F460">
        <v>0.21210000000000001</v>
      </c>
    </row>
    <row r="461" spans="1:6" x14ac:dyDescent="0.3">
      <c r="A461">
        <v>1</v>
      </c>
      <c r="B461">
        <v>5</v>
      </c>
      <c r="C461" t="b">
        <v>0</v>
      </c>
      <c r="D461">
        <v>2</v>
      </c>
      <c r="E461">
        <v>0.22</v>
      </c>
      <c r="F461">
        <v>0.2576</v>
      </c>
    </row>
    <row r="462" spans="1:6" x14ac:dyDescent="0.3">
      <c r="A462">
        <v>1</v>
      </c>
      <c r="B462">
        <v>5</v>
      </c>
      <c r="C462" t="b">
        <v>0</v>
      </c>
      <c r="D462">
        <v>1</v>
      </c>
      <c r="E462">
        <v>0.24</v>
      </c>
      <c r="F462">
        <v>0.19700000000000001</v>
      </c>
    </row>
    <row r="463" spans="1:6" x14ac:dyDescent="0.3">
      <c r="A463">
        <v>1</v>
      </c>
      <c r="B463">
        <v>5</v>
      </c>
      <c r="C463" t="b">
        <v>0</v>
      </c>
      <c r="D463">
        <v>1</v>
      </c>
      <c r="E463">
        <v>0.22</v>
      </c>
      <c r="F463">
        <v>0.21210000000000001</v>
      </c>
    </row>
    <row r="464" spans="1:6" x14ac:dyDescent="0.3">
      <c r="A464">
        <v>1</v>
      </c>
      <c r="B464">
        <v>5</v>
      </c>
      <c r="C464" t="b">
        <v>0</v>
      </c>
      <c r="D464">
        <v>1</v>
      </c>
      <c r="E464">
        <v>0.2</v>
      </c>
      <c r="F464">
        <v>0.18179999999999999</v>
      </c>
    </row>
    <row r="465" spans="1:6" x14ac:dyDescent="0.3">
      <c r="A465">
        <v>1</v>
      </c>
      <c r="B465">
        <v>5</v>
      </c>
      <c r="C465" t="b">
        <v>0</v>
      </c>
      <c r="D465">
        <v>1</v>
      </c>
      <c r="E465">
        <v>0.2</v>
      </c>
      <c r="F465">
        <v>0.18179999999999999</v>
      </c>
    </row>
    <row r="466" spans="1:6" x14ac:dyDescent="0.3">
      <c r="A466">
        <v>1</v>
      </c>
      <c r="B466">
        <v>5</v>
      </c>
      <c r="C466" t="b">
        <v>0</v>
      </c>
      <c r="D466">
        <v>1</v>
      </c>
      <c r="E466">
        <v>0.2</v>
      </c>
      <c r="F466">
        <v>0.18179999999999999</v>
      </c>
    </row>
    <row r="467" spans="1:6" x14ac:dyDescent="0.3">
      <c r="A467">
        <v>1</v>
      </c>
      <c r="B467">
        <v>5</v>
      </c>
      <c r="C467" t="b">
        <v>0</v>
      </c>
      <c r="D467">
        <v>1</v>
      </c>
      <c r="E467">
        <v>0.2</v>
      </c>
      <c r="F467">
        <v>0.16669999999999999</v>
      </c>
    </row>
    <row r="468" spans="1:6" x14ac:dyDescent="0.3">
      <c r="A468">
        <v>1</v>
      </c>
      <c r="B468">
        <v>5</v>
      </c>
      <c r="C468" t="b">
        <v>0</v>
      </c>
      <c r="D468">
        <v>1</v>
      </c>
      <c r="E468">
        <v>0.22</v>
      </c>
      <c r="F468">
        <v>0.18179999999999999</v>
      </c>
    </row>
    <row r="469" spans="1:6" x14ac:dyDescent="0.3">
      <c r="A469">
        <v>1</v>
      </c>
      <c r="B469">
        <v>5</v>
      </c>
      <c r="C469" t="b">
        <v>0</v>
      </c>
      <c r="D469">
        <v>1</v>
      </c>
      <c r="E469">
        <v>0.22</v>
      </c>
      <c r="F469">
        <v>0.18179999999999999</v>
      </c>
    </row>
    <row r="470" spans="1:6" x14ac:dyDescent="0.3">
      <c r="A470">
        <v>1</v>
      </c>
      <c r="B470">
        <v>5</v>
      </c>
      <c r="C470" t="b">
        <v>0</v>
      </c>
      <c r="D470">
        <v>1</v>
      </c>
      <c r="E470">
        <v>0.2</v>
      </c>
      <c r="F470">
        <v>0.1515</v>
      </c>
    </row>
    <row r="471" spans="1:6" x14ac:dyDescent="0.3">
      <c r="A471">
        <v>1</v>
      </c>
      <c r="B471">
        <v>5</v>
      </c>
      <c r="C471" t="b">
        <v>0</v>
      </c>
      <c r="D471">
        <v>1</v>
      </c>
      <c r="E471">
        <v>0.2</v>
      </c>
      <c r="F471">
        <v>0.1515</v>
      </c>
    </row>
    <row r="472" spans="1:6" x14ac:dyDescent="0.3">
      <c r="A472">
        <v>1</v>
      </c>
      <c r="B472">
        <v>5</v>
      </c>
      <c r="C472" t="b">
        <v>0</v>
      </c>
      <c r="D472">
        <v>1</v>
      </c>
      <c r="E472">
        <v>0.16</v>
      </c>
      <c r="F472">
        <v>0.1212</v>
      </c>
    </row>
    <row r="473" spans="1:6" x14ac:dyDescent="0.3">
      <c r="A473">
        <v>1</v>
      </c>
      <c r="B473">
        <v>5</v>
      </c>
      <c r="C473" t="b">
        <v>0</v>
      </c>
      <c r="D473">
        <v>1</v>
      </c>
      <c r="E473">
        <v>0.16</v>
      </c>
      <c r="F473">
        <v>0.13639999999999999</v>
      </c>
    </row>
    <row r="474" spans="1:6" x14ac:dyDescent="0.3">
      <c r="A474">
        <v>1</v>
      </c>
      <c r="B474">
        <v>5</v>
      </c>
      <c r="C474" t="b">
        <v>0</v>
      </c>
      <c r="D474">
        <v>1</v>
      </c>
      <c r="E474">
        <v>0.14000000000000001</v>
      </c>
      <c r="F474">
        <v>0.1212</v>
      </c>
    </row>
    <row r="475" spans="1:6" x14ac:dyDescent="0.3">
      <c r="A475">
        <v>1</v>
      </c>
      <c r="B475">
        <v>5</v>
      </c>
      <c r="C475" t="b">
        <v>0</v>
      </c>
      <c r="D475">
        <v>1</v>
      </c>
      <c r="E475">
        <v>0.12</v>
      </c>
      <c r="F475">
        <v>0.1212</v>
      </c>
    </row>
    <row r="476" spans="1:6" x14ac:dyDescent="0.3">
      <c r="A476">
        <v>1</v>
      </c>
      <c r="B476">
        <v>5</v>
      </c>
      <c r="C476" t="b">
        <v>0</v>
      </c>
      <c r="D476">
        <v>1</v>
      </c>
      <c r="E476">
        <v>0.12</v>
      </c>
      <c r="F476">
        <v>0.1061</v>
      </c>
    </row>
    <row r="477" spans="1:6" x14ac:dyDescent="0.3">
      <c r="A477">
        <v>1</v>
      </c>
      <c r="B477">
        <v>5</v>
      </c>
      <c r="C477" t="b">
        <v>0</v>
      </c>
      <c r="D477">
        <v>1</v>
      </c>
      <c r="E477">
        <v>0.1</v>
      </c>
      <c r="F477">
        <v>7.5800000000000006E-2</v>
      </c>
    </row>
    <row r="478" spans="1:6" x14ac:dyDescent="0.3">
      <c r="A478">
        <v>1</v>
      </c>
      <c r="B478">
        <v>5</v>
      </c>
      <c r="C478" t="b">
        <v>0</v>
      </c>
      <c r="D478">
        <v>1</v>
      </c>
      <c r="E478">
        <v>0.08</v>
      </c>
      <c r="F478">
        <v>7.5800000000000006E-2</v>
      </c>
    </row>
    <row r="479" spans="1:6" x14ac:dyDescent="0.3">
      <c r="A479">
        <v>1</v>
      </c>
      <c r="B479">
        <v>5</v>
      </c>
      <c r="C479" t="b">
        <v>0</v>
      </c>
      <c r="D479">
        <v>1</v>
      </c>
      <c r="E479">
        <v>0.06</v>
      </c>
      <c r="F479">
        <v>3.0300000000000001E-2</v>
      </c>
    </row>
    <row r="480" spans="1:6" x14ac:dyDescent="0.3">
      <c r="A480">
        <v>1</v>
      </c>
      <c r="B480">
        <v>5</v>
      </c>
      <c r="C480" t="b">
        <v>0</v>
      </c>
      <c r="D480">
        <v>1</v>
      </c>
      <c r="E480">
        <v>0.06</v>
      </c>
      <c r="F480">
        <v>4.5499999999999999E-2</v>
      </c>
    </row>
    <row r="481" spans="1:6" x14ac:dyDescent="0.3">
      <c r="A481">
        <v>1</v>
      </c>
      <c r="B481">
        <v>6</v>
      </c>
      <c r="C481" t="b">
        <v>0</v>
      </c>
      <c r="D481">
        <v>1</v>
      </c>
      <c r="E481">
        <v>0.04</v>
      </c>
      <c r="F481">
        <v>3.0300000000000001E-2</v>
      </c>
    </row>
    <row r="482" spans="1:6" x14ac:dyDescent="0.3">
      <c r="A482">
        <v>1</v>
      </c>
      <c r="B482">
        <v>6</v>
      </c>
      <c r="C482" t="b">
        <v>0</v>
      </c>
      <c r="D482">
        <v>2</v>
      </c>
      <c r="E482">
        <v>0.04</v>
      </c>
      <c r="F482">
        <v>0</v>
      </c>
    </row>
    <row r="483" spans="1:6" x14ac:dyDescent="0.3">
      <c r="A483">
        <v>1</v>
      </c>
      <c r="B483">
        <v>6</v>
      </c>
      <c r="C483" t="b">
        <v>0</v>
      </c>
      <c r="D483">
        <v>2</v>
      </c>
      <c r="E483">
        <v>0.04</v>
      </c>
      <c r="F483">
        <v>3.0300000000000001E-2</v>
      </c>
    </row>
    <row r="484" spans="1:6" x14ac:dyDescent="0.3">
      <c r="A484">
        <v>1</v>
      </c>
      <c r="B484">
        <v>6</v>
      </c>
      <c r="C484" t="b">
        <v>0</v>
      </c>
      <c r="D484">
        <v>2</v>
      </c>
      <c r="E484">
        <v>0.04</v>
      </c>
      <c r="F484">
        <v>3.0300000000000001E-2</v>
      </c>
    </row>
    <row r="485" spans="1:6" x14ac:dyDescent="0.3">
      <c r="A485">
        <v>1</v>
      </c>
      <c r="B485">
        <v>6</v>
      </c>
      <c r="C485" t="b">
        <v>0</v>
      </c>
      <c r="D485">
        <v>2</v>
      </c>
      <c r="E485">
        <v>0.02</v>
      </c>
      <c r="F485">
        <v>1.52E-2</v>
      </c>
    </row>
    <row r="486" spans="1:6" x14ac:dyDescent="0.3">
      <c r="A486">
        <v>1</v>
      </c>
      <c r="B486">
        <v>6</v>
      </c>
      <c r="C486" t="b">
        <v>0</v>
      </c>
      <c r="D486">
        <v>2</v>
      </c>
      <c r="E486">
        <v>0.02</v>
      </c>
      <c r="F486">
        <v>3.0300000000000001E-2</v>
      </c>
    </row>
    <row r="487" spans="1:6" x14ac:dyDescent="0.3">
      <c r="A487">
        <v>1</v>
      </c>
      <c r="B487">
        <v>6</v>
      </c>
      <c r="C487" t="b">
        <v>0</v>
      </c>
      <c r="D487">
        <v>1</v>
      </c>
      <c r="E487">
        <v>0.02</v>
      </c>
      <c r="F487">
        <v>1.52E-2</v>
      </c>
    </row>
    <row r="488" spans="1:6" x14ac:dyDescent="0.3">
      <c r="A488">
        <v>1</v>
      </c>
      <c r="B488">
        <v>6</v>
      </c>
      <c r="C488" t="b">
        <v>0</v>
      </c>
      <c r="D488">
        <v>1</v>
      </c>
      <c r="E488">
        <v>0.02</v>
      </c>
      <c r="F488">
        <v>0</v>
      </c>
    </row>
    <row r="489" spans="1:6" x14ac:dyDescent="0.3">
      <c r="A489">
        <v>1</v>
      </c>
      <c r="B489">
        <v>6</v>
      </c>
      <c r="C489" t="b">
        <v>0</v>
      </c>
      <c r="D489">
        <v>1</v>
      </c>
      <c r="E489">
        <v>0.04</v>
      </c>
      <c r="F489">
        <v>3.0300000000000001E-2</v>
      </c>
    </row>
    <row r="490" spans="1:6" x14ac:dyDescent="0.3">
      <c r="A490">
        <v>1</v>
      </c>
      <c r="B490">
        <v>6</v>
      </c>
      <c r="C490" t="b">
        <v>0</v>
      </c>
      <c r="D490">
        <v>2</v>
      </c>
      <c r="E490">
        <v>0.04</v>
      </c>
      <c r="F490">
        <v>6.0600000000000001E-2</v>
      </c>
    </row>
    <row r="491" spans="1:6" x14ac:dyDescent="0.3">
      <c r="A491">
        <v>1</v>
      </c>
      <c r="B491">
        <v>6</v>
      </c>
      <c r="C491" t="b">
        <v>0</v>
      </c>
      <c r="D491">
        <v>2</v>
      </c>
      <c r="E491">
        <v>0.06</v>
      </c>
      <c r="F491">
        <v>7.5800000000000006E-2</v>
      </c>
    </row>
    <row r="492" spans="1:6" x14ac:dyDescent="0.3">
      <c r="A492">
        <v>1</v>
      </c>
      <c r="B492">
        <v>6</v>
      </c>
      <c r="C492" t="b">
        <v>0</v>
      </c>
      <c r="D492">
        <v>2</v>
      </c>
      <c r="E492">
        <v>0.06</v>
      </c>
      <c r="F492">
        <v>0.1061</v>
      </c>
    </row>
    <row r="493" spans="1:6" x14ac:dyDescent="0.3">
      <c r="A493">
        <v>1</v>
      </c>
      <c r="B493">
        <v>6</v>
      </c>
      <c r="C493" t="b">
        <v>0</v>
      </c>
      <c r="D493">
        <v>1</v>
      </c>
      <c r="E493">
        <v>0.08</v>
      </c>
      <c r="F493">
        <v>0.16669999999999999</v>
      </c>
    </row>
    <row r="494" spans="1:6" x14ac:dyDescent="0.3">
      <c r="A494">
        <v>1</v>
      </c>
      <c r="B494">
        <v>6</v>
      </c>
      <c r="C494" t="b">
        <v>0</v>
      </c>
      <c r="D494">
        <v>1</v>
      </c>
      <c r="E494">
        <v>0.1</v>
      </c>
      <c r="F494">
        <v>0.13639999999999999</v>
      </c>
    </row>
    <row r="495" spans="1:6" x14ac:dyDescent="0.3">
      <c r="A495">
        <v>1</v>
      </c>
      <c r="B495">
        <v>6</v>
      </c>
      <c r="C495" t="b">
        <v>0</v>
      </c>
      <c r="D495">
        <v>1</v>
      </c>
      <c r="E495">
        <v>0.12</v>
      </c>
      <c r="F495">
        <v>0.1515</v>
      </c>
    </row>
    <row r="496" spans="1:6" x14ac:dyDescent="0.3">
      <c r="A496">
        <v>1</v>
      </c>
      <c r="B496">
        <v>6</v>
      </c>
      <c r="C496" t="b">
        <v>0</v>
      </c>
      <c r="D496">
        <v>1</v>
      </c>
      <c r="E496">
        <v>0.12</v>
      </c>
      <c r="F496">
        <v>0.13639999999999999</v>
      </c>
    </row>
    <row r="497" spans="1:6" x14ac:dyDescent="0.3">
      <c r="A497">
        <v>1</v>
      </c>
      <c r="B497">
        <v>6</v>
      </c>
      <c r="C497" t="b">
        <v>0</v>
      </c>
      <c r="D497">
        <v>1</v>
      </c>
      <c r="E497">
        <v>0.12</v>
      </c>
      <c r="F497">
        <v>0.19700000000000001</v>
      </c>
    </row>
    <row r="498" spans="1:6" x14ac:dyDescent="0.3">
      <c r="A498">
        <v>1</v>
      </c>
      <c r="B498">
        <v>6</v>
      </c>
      <c r="C498" t="b">
        <v>0</v>
      </c>
      <c r="D498">
        <v>1</v>
      </c>
      <c r="E498">
        <v>0.08</v>
      </c>
      <c r="F498">
        <v>9.0899999999999995E-2</v>
      </c>
    </row>
    <row r="499" spans="1:6" x14ac:dyDescent="0.3">
      <c r="A499">
        <v>1</v>
      </c>
      <c r="B499">
        <v>6</v>
      </c>
      <c r="C499" t="b">
        <v>0</v>
      </c>
      <c r="D499">
        <v>1</v>
      </c>
      <c r="E499">
        <v>0.08</v>
      </c>
      <c r="F499">
        <v>0.1061</v>
      </c>
    </row>
    <row r="500" spans="1:6" x14ac:dyDescent="0.3">
      <c r="A500">
        <v>1</v>
      </c>
      <c r="B500">
        <v>6</v>
      </c>
      <c r="C500" t="b">
        <v>0</v>
      </c>
      <c r="D500">
        <v>1</v>
      </c>
      <c r="E500">
        <v>0.06</v>
      </c>
      <c r="F500">
        <v>7.5800000000000006E-2</v>
      </c>
    </row>
    <row r="501" spans="1:6" x14ac:dyDescent="0.3">
      <c r="A501">
        <v>1</v>
      </c>
      <c r="B501">
        <v>6</v>
      </c>
      <c r="C501" t="b">
        <v>0</v>
      </c>
      <c r="D501">
        <v>1</v>
      </c>
      <c r="E501">
        <v>0.06</v>
      </c>
      <c r="F501">
        <v>0.1061</v>
      </c>
    </row>
    <row r="502" spans="1:6" x14ac:dyDescent="0.3">
      <c r="A502">
        <v>1</v>
      </c>
      <c r="B502">
        <v>6</v>
      </c>
      <c r="C502" t="b">
        <v>0</v>
      </c>
      <c r="D502">
        <v>1</v>
      </c>
      <c r="E502">
        <v>0.06</v>
      </c>
      <c r="F502">
        <v>0.1515</v>
      </c>
    </row>
    <row r="503" spans="1:6" x14ac:dyDescent="0.3">
      <c r="A503">
        <v>1</v>
      </c>
      <c r="B503">
        <v>6</v>
      </c>
      <c r="C503" t="b">
        <v>0</v>
      </c>
      <c r="D503">
        <v>1</v>
      </c>
      <c r="E503">
        <v>0.04</v>
      </c>
      <c r="F503">
        <v>7.5800000000000006E-2</v>
      </c>
    </row>
    <row r="504" spans="1:6" x14ac:dyDescent="0.3">
      <c r="A504">
        <v>1</v>
      </c>
      <c r="B504">
        <v>0</v>
      </c>
      <c r="C504" t="b">
        <v>0</v>
      </c>
      <c r="D504">
        <v>1</v>
      </c>
      <c r="E504">
        <v>0.04</v>
      </c>
      <c r="F504">
        <v>7.5800000000000006E-2</v>
      </c>
    </row>
    <row r="505" spans="1:6" x14ac:dyDescent="0.3">
      <c r="A505">
        <v>1</v>
      </c>
      <c r="B505">
        <v>0</v>
      </c>
      <c r="C505" t="b">
        <v>0</v>
      </c>
      <c r="D505">
        <v>1</v>
      </c>
      <c r="E505">
        <v>0.04</v>
      </c>
      <c r="F505">
        <v>7.5800000000000006E-2</v>
      </c>
    </row>
    <row r="506" spans="1:6" x14ac:dyDescent="0.3">
      <c r="A506">
        <v>1</v>
      </c>
      <c r="B506">
        <v>0</v>
      </c>
      <c r="C506" t="b">
        <v>0</v>
      </c>
      <c r="D506">
        <v>1</v>
      </c>
      <c r="E506">
        <v>0.02</v>
      </c>
      <c r="F506">
        <v>6.0600000000000001E-2</v>
      </c>
    </row>
    <row r="507" spans="1:6" x14ac:dyDescent="0.3">
      <c r="A507">
        <v>1</v>
      </c>
      <c r="B507">
        <v>0</v>
      </c>
      <c r="C507" t="b">
        <v>0</v>
      </c>
      <c r="D507">
        <v>1</v>
      </c>
      <c r="E507">
        <v>0.02</v>
      </c>
      <c r="F507">
        <v>6.0600000000000001E-2</v>
      </c>
    </row>
    <row r="508" spans="1:6" x14ac:dyDescent="0.3">
      <c r="A508">
        <v>1</v>
      </c>
      <c r="B508">
        <v>0</v>
      </c>
      <c r="C508" t="b">
        <v>0</v>
      </c>
      <c r="D508">
        <v>2</v>
      </c>
      <c r="E508">
        <v>0.04</v>
      </c>
      <c r="F508">
        <v>7.5800000000000006E-2</v>
      </c>
    </row>
    <row r="509" spans="1:6" x14ac:dyDescent="0.3">
      <c r="A509">
        <v>1</v>
      </c>
      <c r="B509">
        <v>0</v>
      </c>
      <c r="C509" t="b">
        <v>0</v>
      </c>
      <c r="D509">
        <v>2</v>
      </c>
      <c r="E509">
        <v>0.04</v>
      </c>
      <c r="F509">
        <v>7.5800000000000006E-2</v>
      </c>
    </row>
    <row r="510" spans="1:6" x14ac:dyDescent="0.3">
      <c r="A510">
        <v>1</v>
      </c>
      <c r="B510">
        <v>0</v>
      </c>
      <c r="C510" t="b">
        <v>0</v>
      </c>
      <c r="D510">
        <v>1</v>
      </c>
      <c r="E510">
        <v>0.08</v>
      </c>
      <c r="F510">
        <v>0.1061</v>
      </c>
    </row>
    <row r="511" spans="1:6" x14ac:dyDescent="0.3">
      <c r="A511">
        <v>1</v>
      </c>
      <c r="B511">
        <v>0</v>
      </c>
      <c r="C511" t="b">
        <v>0</v>
      </c>
      <c r="D511">
        <v>1</v>
      </c>
      <c r="E511">
        <v>0.06</v>
      </c>
      <c r="F511">
        <v>7.5800000000000006E-2</v>
      </c>
    </row>
    <row r="512" spans="1:6" x14ac:dyDescent="0.3">
      <c r="A512">
        <v>1</v>
      </c>
      <c r="B512">
        <v>0</v>
      </c>
      <c r="C512" t="b">
        <v>0</v>
      </c>
      <c r="D512">
        <v>1</v>
      </c>
      <c r="E512">
        <v>0.1</v>
      </c>
      <c r="F512">
        <v>7.5800000000000006E-2</v>
      </c>
    </row>
    <row r="513" spans="1:6" x14ac:dyDescent="0.3">
      <c r="A513">
        <v>1</v>
      </c>
      <c r="B513">
        <v>0</v>
      </c>
      <c r="C513" t="b">
        <v>0</v>
      </c>
      <c r="D513">
        <v>1</v>
      </c>
      <c r="E513">
        <v>0.14000000000000001</v>
      </c>
      <c r="F513">
        <v>0.1061</v>
      </c>
    </row>
    <row r="514" spans="1:6" x14ac:dyDescent="0.3">
      <c r="A514">
        <v>1</v>
      </c>
      <c r="B514">
        <v>0</v>
      </c>
      <c r="C514" t="b">
        <v>0</v>
      </c>
      <c r="D514">
        <v>1</v>
      </c>
      <c r="E514">
        <v>0.14000000000000001</v>
      </c>
      <c r="F514">
        <v>0.13639999999999999</v>
      </c>
    </row>
    <row r="515" spans="1:6" x14ac:dyDescent="0.3">
      <c r="A515">
        <v>1</v>
      </c>
      <c r="B515">
        <v>0</v>
      </c>
      <c r="C515" t="b">
        <v>0</v>
      </c>
      <c r="D515">
        <v>1</v>
      </c>
      <c r="E515">
        <v>0.16</v>
      </c>
      <c r="F515">
        <v>0.1212</v>
      </c>
    </row>
    <row r="516" spans="1:6" x14ac:dyDescent="0.3">
      <c r="A516">
        <v>1</v>
      </c>
      <c r="B516">
        <v>0</v>
      </c>
      <c r="C516" t="b">
        <v>0</v>
      </c>
      <c r="D516">
        <v>1</v>
      </c>
      <c r="E516">
        <v>0.14000000000000001</v>
      </c>
      <c r="F516">
        <v>0.1061</v>
      </c>
    </row>
    <row r="517" spans="1:6" x14ac:dyDescent="0.3">
      <c r="A517">
        <v>1</v>
      </c>
      <c r="B517">
        <v>0</v>
      </c>
      <c r="C517" t="b">
        <v>0</v>
      </c>
      <c r="D517">
        <v>1</v>
      </c>
      <c r="E517">
        <v>0.16</v>
      </c>
      <c r="F517">
        <v>0.13639999999999999</v>
      </c>
    </row>
    <row r="518" spans="1:6" x14ac:dyDescent="0.3">
      <c r="A518">
        <v>1</v>
      </c>
      <c r="B518">
        <v>0</v>
      </c>
      <c r="C518" t="b">
        <v>0</v>
      </c>
      <c r="D518">
        <v>1</v>
      </c>
      <c r="E518">
        <v>0.16</v>
      </c>
      <c r="F518">
        <v>0.13639999999999999</v>
      </c>
    </row>
    <row r="519" spans="1:6" x14ac:dyDescent="0.3">
      <c r="A519">
        <v>1</v>
      </c>
      <c r="B519">
        <v>0</v>
      </c>
      <c r="C519" t="b">
        <v>0</v>
      </c>
      <c r="D519">
        <v>1</v>
      </c>
      <c r="E519">
        <v>0.16</v>
      </c>
      <c r="F519">
        <v>0.13639999999999999</v>
      </c>
    </row>
    <row r="520" spans="1:6" x14ac:dyDescent="0.3">
      <c r="A520">
        <v>1</v>
      </c>
      <c r="B520">
        <v>0</v>
      </c>
      <c r="C520" t="b">
        <v>0</v>
      </c>
      <c r="D520">
        <v>1</v>
      </c>
      <c r="E520">
        <v>0.14000000000000001</v>
      </c>
      <c r="F520">
        <v>0.1061</v>
      </c>
    </row>
    <row r="521" spans="1:6" x14ac:dyDescent="0.3">
      <c r="A521">
        <v>1</v>
      </c>
      <c r="B521">
        <v>0</v>
      </c>
      <c r="C521" t="b">
        <v>0</v>
      </c>
      <c r="D521">
        <v>1</v>
      </c>
      <c r="E521">
        <v>0.12</v>
      </c>
      <c r="F521">
        <v>0.1212</v>
      </c>
    </row>
    <row r="522" spans="1:6" x14ac:dyDescent="0.3">
      <c r="A522">
        <v>1</v>
      </c>
      <c r="B522">
        <v>0</v>
      </c>
      <c r="C522" t="b">
        <v>0</v>
      </c>
      <c r="D522">
        <v>1</v>
      </c>
      <c r="E522">
        <v>0.12</v>
      </c>
      <c r="F522">
        <v>0.1212</v>
      </c>
    </row>
    <row r="523" spans="1:6" x14ac:dyDescent="0.3">
      <c r="A523">
        <v>1</v>
      </c>
      <c r="B523">
        <v>0</v>
      </c>
      <c r="C523" t="b">
        <v>0</v>
      </c>
      <c r="D523">
        <v>1</v>
      </c>
      <c r="E523">
        <v>0.1</v>
      </c>
      <c r="F523">
        <v>0.1061</v>
      </c>
    </row>
    <row r="524" spans="1:6" x14ac:dyDescent="0.3">
      <c r="A524">
        <v>1</v>
      </c>
      <c r="B524">
        <v>0</v>
      </c>
      <c r="C524" t="b">
        <v>0</v>
      </c>
      <c r="D524">
        <v>1</v>
      </c>
      <c r="E524">
        <v>0.1</v>
      </c>
      <c r="F524">
        <v>0.1061</v>
      </c>
    </row>
    <row r="525" spans="1:6" x14ac:dyDescent="0.3">
      <c r="A525">
        <v>1</v>
      </c>
      <c r="B525">
        <v>0</v>
      </c>
      <c r="C525" t="b">
        <v>0</v>
      </c>
      <c r="D525">
        <v>1</v>
      </c>
      <c r="E525">
        <v>0.08</v>
      </c>
      <c r="F525">
        <v>9.0899999999999995E-2</v>
      </c>
    </row>
    <row r="526" spans="1:6" x14ac:dyDescent="0.3">
      <c r="A526">
        <v>1</v>
      </c>
      <c r="B526">
        <v>0</v>
      </c>
      <c r="C526" t="b">
        <v>0</v>
      </c>
      <c r="D526">
        <v>1</v>
      </c>
      <c r="E526">
        <v>0.06</v>
      </c>
      <c r="F526">
        <v>6.0600000000000001E-2</v>
      </c>
    </row>
    <row r="527" spans="1:6" x14ac:dyDescent="0.3">
      <c r="A527">
        <v>1</v>
      </c>
      <c r="B527">
        <v>1</v>
      </c>
      <c r="C527" t="b">
        <v>0</v>
      </c>
      <c r="D527">
        <v>1</v>
      </c>
      <c r="E527">
        <v>0.06</v>
      </c>
      <c r="F527">
        <v>6.0600000000000001E-2</v>
      </c>
    </row>
    <row r="528" spans="1:6" x14ac:dyDescent="0.3">
      <c r="A528">
        <v>1</v>
      </c>
      <c r="B528">
        <v>1</v>
      </c>
      <c r="C528" t="b">
        <v>0</v>
      </c>
      <c r="D528">
        <v>1</v>
      </c>
      <c r="E528">
        <v>0.04</v>
      </c>
      <c r="F528">
        <v>4.5499999999999999E-2</v>
      </c>
    </row>
    <row r="529" spans="1:6" x14ac:dyDescent="0.3">
      <c r="A529">
        <v>1</v>
      </c>
      <c r="B529">
        <v>1</v>
      </c>
      <c r="C529" t="b">
        <v>0</v>
      </c>
      <c r="D529">
        <v>1</v>
      </c>
      <c r="E529">
        <v>0.04</v>
      </c>
      <c r="F529">
        <v>3.0300000000000001E-2</v>
      </c>
    </row>
    <row r="530" spans="1:6" x14ac:dyDescent="0.3">
      <c r="A530">
        <v>1</v>
      </c>
      <c r="B530">
        <v>1</v>
      </c>
      <c r="C530" t="b">
        <v>0</v>
      </c>
      <c r="D530">
        <v>1</v>
      </c>
      <c r="E530">
        <v>0.02</v>
      </c>
      <c r="F530">
        <v>6.0600000000000001E-2</v>
      </c>
    </row>
    <row r="531" spans="1:6" x14ac:dyDescent="0.3">
      <c r="A531">
        <v>1</v>
      </c>
      <c r="B531">
        <v>1</v>
      </c>
      <c r="C531" t="b">
        <v>0</v>
      </c>
      <c r="D531">
        <v>1</v>
      </c>
      <c r="E531">
        <v>0.02</v>
      </c>
      <c r="F531">
        <v>6.0600000000000001E-2</v>
      </c>
    </row>
    <row r="532" spans="1:6" x14ac:dyDescent="0.3">
      <c r="A532">
        <v>1</v>
      </c>
      <c r="B532">
        <v>1</v>
      </c>
      <c r="C532" t="b">
        <v>0</v>
      </c>
      <c r="D532">
        <v>1</v>
      </c>
      <c r="E532">
        <v>0.02</v>
      </c>
      <c r="F532">
        <v>7.5800000000000006E-2</v>
      </c>
    </row>
    <row r="533" spans="1:6" x14ac:dyDescent="0.3">
      <c r="A533">
        <v>1</v>
      </c>
      <c r="B533">
        <v>1</v>
      </c>
      <c r="C533" t="b">
        <v>0</v>
      </c>
      <c r="D533">
        <v>1</v>
      </c>
      <c r="E533">
        <v>0.02</v>
      </c>
      <c r="F533">
        <v>0.1212</v>
      </c>
    </row>
    <row r="534" spans="1:6" x14ac:dyDescent="0.3">
      <c r="A534">
        <v>1</v>
      </c>
      <c r="B534">
        <v>1</v>
      </c>
      <c r="C534" t="b">
        <v>0</v>
      </c>
      <c r="D534">
        <v>1</v>
      </c>
      <c r="E534">
        <v>0.04</v>
      </c>
      <c r="F534">
        <v>0.13639999999999999</v>
      </c>
    </row>
    <row r="535" spans="1:6" x14ac:dyDescent="0.3">
      <c r="A535">
        <v>1</v>
      </c>
      <c r="B535">
        <v>1</v>
      </c>
      <c r="C535" t="b">
        <v>0</v>
      </c>
      <c r="D535">
        <v>1</v>
      </c>
      <c r="E535">
        <v>0.06</v>
      </c>
      <c r="F535">
        <v>0.1515</v>
      </c>
    </row>
    <row r="536" spans="1:6" x14ac:dyDescent="0.3">
      <c r="A536">
        <v>1</v>
      </c>
      <c r="B536">
        <v>1</v>
      </c>
      <c r="C536" t="b">
        <v>0</v>
      </c>
      <c r="D536">
        <v>1</v>
      </c>
      <c r="E536">
        <v>0.1</v>
      </c>
      <c r="F536">
        <v>0.13639999999999999</v>
      </c>
    </row>
    <row r="537" spans="1:6" x14ac:dyDescent="0.3">
      <c r="A537">
        <v>1</v>
      </c>
      <c r="B537">
        <v>1</v>
      </c>
      <c r="C537" t="b">
        <v>0</v>
      </c>
      <c r="D537">
        <v>1</v>
      </c>
      <c r="E537">
        <v>0.1</v>
      </c>
      <c r="F537">
        <v>0.1212</v>
      </c>
    </row>
    <row r="538" spans="1:6" x14ac:dyDescent="0.3">
      <c r="A538">
        <v>1</v>
      </c>
      <c r="B538">
        <v>1</v>
      </c>
      <c r="C538" t="b">
        <v>0</v>
      </c>
      <c r="D538">
        <v>2</v>
      </c>
      <c r="E538">
        <v>0.12</v>
      </c>
      <c r="F538">
        <v>0.13639999999999999</v>
      </c>
    </row>
    <row r="539" spans="1:6" x14ac:dyDescent="0.3">
      <c r="A539">
        <v>1</v>
      </c>
      <c r="B539">
        <v>1</v>
      </c>
      <c r="C539" t="b">
        <v>0</v>
      </c>
      <c r="D539">
        <v>2</v>
      </c>
      <c r="E539">
        <v>0.14000000000000001</v>
      </c>
      <c r="F539">
        <v>0.13639999999999999</v>
      </c>
    </row>
    <row r="540" spans="1:6" x14ac:dyDescent="0.3">
      <c r="A540">
        <v>1</v>
      </c>
      <c r="B540">
        <v>1</v>
      </c>
      <c r="C540" t="b">
        <v>0</v>
      </c>
      <c r="D540">
        <v>2</v>
      </c>
      <c r="E540">
        <v>0.14000000000000001</v>
      </c>
      <c r="F540">
        <v>0.13639999999999999</v>
      </c>
    </row>
    <row r="541" spans="1:6" x14ac:dyDescent="0.3">
      <c r="A541">
        <v>1</v>
      </c>
      <c r="B541">
        <v>1</v>
      </c>
      <c r="C541" t="b">
        <v>0</v>
      </c>
      <c r="D541">
        <v>1</v>
      </c>
      <c r="E541">
        <v>0.16</v>
      </c>
      <c r="F541">
        <v>0.16669999999999999</v>
      </c>
    </row>
    <row r="542" spans="1:6" x14ac:dyDescent="0.3">
      <c r="A542">
        <v>1</v>
      </c>
      <c r="B542">
        <v>1</v>
      </c>
      <c r="C542" t="b">
        <v>0</v>
      </c>
      <c r="D542">
        <v>1</v>
      </c>
      <c r="E542">
        <v>0.16</v>
      </c>
      <c r="F542">
        <v>0.1515</v>
      </c>
    </row>
    <row r="543" spans="1:6" x14ac:dyDescent="0.3">
      <c r="A543">
        <v>1</v>
      </c>
      <c r="B543">
        <v>1</v>
      </c>
      <c r="C543" t="b">
        <v>0</v>
      </c>
      <c r="D543">
        <v>1</v>
      </c>
      <c r="E543">
        <v>0.14000000000000001</v>
      </c>
      <c r="F543">
        <v>0.1212</v>
      </c>
    </row>
    <row r="544" spans="1:6" x14ac:dyDescent="0.3">
      <c r="A544">
        <v>1</v>
      </c>
      <c r="B544">
        <v>1</v>
      </c>
      <c r="C544" t="b">
        <v>0</v>
      </c>
      <c r="D544">
        <v>1</v>
      </c>
      <c r="E544">
        <v>0.14000000000000001</v>
      </c>
      <c r="F544">
        <v>0.13639999999999999</v>
      </c>
    </row>
    <row r="545" spans="1:6" x14ac:dyDescent="0.3">
      <c r="A545">
        <v>1</v>
      </c>
      <c r="B545">
        <v>1</v>
      </c>
      <c r="C545" t="b">
        <v>0</v>
      </c>
      <c r="D545">
        <v>1</v>
      </c>
      <c r="E545">
        <v>0.14000000000000001</v>
      </c>
      <c r="F545">
        <v>0.1515</v>
      </c>
    </row>
    <row r="546" spans="1:6" x14ac:dyDescent="0.3">
      <c r="A546">
        <v>1</v>
      </c>
      <c r="B546">
        <v>1</v>
      </c>
      <c r="C546" t="b">
        <v>0</v>
      </c>
      <c r="D546">
        <v>1</v>
      </c>
      <c r="E546">
        <v>0.14000000000000001</v>
      </c>
      <c r="F546">
        <v>0.13639999999999999</v>
      </c>
    </row>
    <row r="547" spans="1:6" x14ac:dyDescent="0.3">
      <c r="A547">
        <v>1</v>
      </c>
      <c r="B547">
        <v>1</v>
      </c>
      <c r="C547" t="b">
        <v>0</v>
      </c>
      <c r="D547">
        <v>1</v>
      </c>
      <c r="E547">
        <v>0.14000000000000001</v>
      </c>
      <c r="F547">
        <v>0.1515</v>
      </c>
    </row>
    <row r="548" spans="1:6" x14ac:dyDescent="0.3">
      <c r="A548">
        <v>1</v>
      </c>
      <c r="B548">
        <v>1</v>
      </c>
      <c r="C548" t="b">
        <v>0</v>
      </c>
      <c r="D548">
        <v>2</v>
      </c>
      <c r="E548">
        <v>0.14000000000000001</v>
      </c>
      <c r="F548">
        <v>0.13639999999999999</v>
      </c>
    </row>
    <row r="549" spans="1:6" x14ac:dyDescent="0.3">
      <c r="A549">
        <v>1</v>
      </c>
      <c r="B549">
        <v>1</v>
      </c>
      <c r="C549" t="b">
        <v>0</v>
      </c>
      <c r="D549">
        <v>2</v>
      </c>
      <c r="E549">
        <v>0.16</v>
      </c>
      <c r="F549">
        <v>0.1515</v>
      </c>
    </row>
    <row r="550" spans="1:6" x14ac:dyDescent="0.3">
      <c r="A550">
        <v>1</v>
      </c>
      <c r="B550">
        <v>2</v>
      </c>
      <c r="C550" t="b">
        <v>0</v>
      </c>
      <c r="D550">
        <v>2</v>
      </c>
      <c r="E550">
        <v>0.16</v>
      </c>
      <c r="F550">
        <v>0.13639999999999999</v>
      </c>
    </row>
    <row r="551" spans="1:6" x14ac:dyDescent="0.3">
      <c r="A551">
        <v>1</v>
      </c>
      <c r="B551">
        <v>2</v>
      </c>
      <c r="C551" t="b">
        <v>0</v>
      </c>
      <c r="D551">
        <v>2</v>
      </c>
      <c r="E551">
        <v>0.16</v>
      </c>
      <c r="F551">
        <v>0.16669999999999999</v>
      </c>
    </row>
    <row r="552" spans="1:6" x14ac:dyDescent="0.3">
      <c r="A552">
        <v>1</v>
      </c>
      <c r="B552">
        <v>2</v>
      </c>
      <c r="C552" t="b">
        <v>0</v>
      </c>
      <c r="D552">
        <v>1</v>
      </c>
      <c r="E552">
        <v>0.16</v>
      </c>
      <c r="F552">
        <v>0.1515</v>
      </c>
    </row>
    <row r="553" spans="1:6" x14ac:dyDescent="0.3">
      <c r="A553">
        <v>1</v>
      </c>
      <c r="B553">
        <v>2</v>
      </c>
      <c r="C553" t="b">
        <v>0</v>
      </c>
      <c r="D553">
        <v>1</v>
      </c>
      <c r="E553">
        <v>0.14000000000000001</v>
      </c>
      <c r="F553">
        <v>0.16669999999999999</v>
      </c>
    </row>
    <row r="554" spans="1:6" x14ac:dyDescent="0.3">
      <c r="A554">
        <v>1</v>
      </c>
      <c r="B554">
        <v>2</v>
      </c>
      <c r="C554" t="b">
        <v>0</v>
      </c>
      <c r="D554">
        <v>1</v>
      </c>
      <c r="E554">
        <v>0.14000000000000001</v>
      </c>
      <c r="F554">
        <v>0.13639999999999999</v>
      </c>
    </row>
    <row r="555" spans="1:6" x14ac:dyDescent="0.3">
      <c r="A555">
        <v>1</v>
      </c>
      <c r="B555">
        <v>2</v>
      </c>
      <c r="C555" t="b">
        <v>0</v>
      </c>
      <c r="D555">
        <v>1</v>
      </c>
      <c r="E555">
        <v>0.16</v>
      </c>
      <c r="F555">
        <v>0.18179999999999999</v>
      </c>
    </row>
    <row r="556" spans="1:6" x14ac:dyDescent="0.3">
      <c r="A556">
        <v>1</v>
      </c>
      <c r="B556">
        <v>2</v>
      </c>
      <c r="C556" t="b">
        <v>0</v>
      </c>
      <c r="D556">
        <v>1</v>
      </c>
      <c r="E556">
        <v>0.16</v>
      </c>
      <c r="F556">
        <v>0.1515</v>
      </c>
    </row>
    <row r="557" spans="1:6" x14ac:dyDescent="0.3">
      <c r="A557">
        <v>1</v>
      </c>
      <c r="B557">
        <v>2</v>
      </c>
      <c r="C557" t="b">
        <v>0</v>
      </c>
      <c r="D557">
        <v>2</v>
      </c>
      <c r="E557">
        <v>0.16</v>
      </c>
      <c r="F557">
        <v>0.18179999999999999</v>
      </c>
    </row>
    <row r="558" spans="1:6" x14ac:dyDescent="0.3">
      <c r="A558">
        <v>1</v>
      </c>
      <c r="B558">
        <v>2</v>
      </c>
      <c r="C558" t="b">
        <v>0</v>
      </c>
      <c r="D558">
        <v>2</v>
      </c>
      <c r="E558">
        <v>0.2</v>
      </c>
      <c r="F558">
        <v>0.2273</v>
      </c>
    </row>
    <row r="559" spans="1:6" x14ac:dyDescent="0.3">
      <c r="A559">
        <v>1</v>
      </c>
      <c r="B559">
        <v>2</v>
      </c>
      <c r="C559" t="b">
        <v>0</v>
      </c>
      <c r="D559">
        <v>2</v>
      </c>
      <c r="E559">
        <v>0.22</v>
      </c>
      <c r="F559">
        <v>0.2424</v>
      </c>
    </row>
    <row r="560" spans="1:6" x14ac:dyDescent="0.3">
      <c r="A560">
        <v>1</v>
      </c>
      <c r="B560">
        <v>2</v>
      </c>
      <c r="C560" t="b">
        <v>0</v>
      </c>
      <c r="D560">
        <v>2</v>
      </c>
      <c r="E560">
        <v>0.24</v>
      </c>
      <c r="F560">
        <v>0.2424</v>
      </c>
    </row>
    <row r="561" spans="1:6" x14ac:dyDescent="0.3">
      <c r="A561">
        <v>1</v>
      </c>
      <c r="B561">
        <v>2</v>
      </c>
      <c r="C561" t="b">
        <v>0</v>
      </c>
      <c r="D561">
        <v>2</v>
      </c>
      <c r="E561">
        <v>0.26</v>
      </c>
      <c r="F561">
        <v>0.28789999999999999</v>
      </c>
    </row>
    <row r="562" spans="1:6" x14ac:dyDescent="0.3">
      <c r="A562">
        <v>1</v>
      </c>
      <c r="B562">
        <v>2</v>
      </c>
      <c r="C562" t="b">
        <v>0</v>
      </c>
      <c r="D562">
        <v>2</v>
      </c>
      <c r="E562">
        <v>0.26</v>
      </c>
      <c r="F562">
        <v>0.2727</v>
      </c>
    </row>
    <row r="563" spans="1:6" x14ac:dyDescent="0.3">
      <c r="A563">
        <v>1</v>
      </c>
      <c r="B563">
        <v>2</v>
      </c>
      <c r="C563" t="b">
        <v>0</v>
      </c>
      <c r="D563">
        <v>2</v>
      </c>
      <c r="E563">
        <v>0.3</v>
      </c>
      <c r="F563">
        <v>0.33329999999999999</v>
      </c>
    </row>
    <row r="564" spans="1:6" x14ac:dyDescent="0.3">
      <c r="A564">
        <v>1</v>
      </c>
      <c r="B564">
        <v>2</v>
      </c>
      <c r="C564" t="b">
        <v>0</v>
      </c>
      <c r="D564">
        <v>2</v>
      </c>
      <c r="E564">
        <v>0.32</v>
      </c>
      <c r="F564">
        <v>0.34849999999999998</v>
      </c>
    </row>
    <row r="565" spans="1:6" x14ac:dyDescent="0.3">
      <c r="A565">
        <v>1</v>
      </c>
      <c r="B565">
        <v>2</v>
      </c>
      <c r="C565" t="b">
        <v>0</v>
      </c>
      <c r="D565">
        <v>2</v>
      </c>
      <c r="E565">
        <v>0.32</v>
      </c>
      <c r="F565">
        <v>0.34849999999999998</v>
      </c>
    </row>
    <row r="566" spans="1:6" x14ac:dyDescent="0.3">
      <c r="A566">
        <v>1</v>
      </c>
      <c r="B566">
        <v>2</v>
      </c>
      <c r="C566" t="b">
        <v>0</v>
      </c>
      <c r="D566">
        <v>1</v>
      </c>
      <c r="E566">
        <v>0.3</v>
      </c>
      <c r="F566">
        <v>0.33329999999999999</v>
      </c>
    </row>
    <row r="567" spans="1:6" x14ac:dyDescent="0.3">
      <c r="A567">
        <v>1</v>
      </c>
      <c r="B567">
        <v>2</v>
      </c>
      <c r="C567" t="b">
        <v>0</v>
      </c>
      <c r="D567">
        <v>2</v>
      </c>
      <c r="E567">
        <v>0.3</v>
      </c>
      <c r="F567">
        <v>0.31819999999999998</v>
      </c>
    </row>
    <row r="568" spans="1:6" x14ac:dyDescent="0.3">
      <c r="A568">
        <v>1</v>
      </c>
      <c r="B568">
        <v>2</v>
      </c>
      <c r="C568" t="b">
        <v>0</v>
      </c>
      <c r="D568">
        <v>2</v>
      </c>
      <c r="E568">
        <v>0.26</v>
      </c>
      <c r="F568">
        <v>0.2576</v>
      </c>
    </row>
    <row r="569" spans="1:6" x14ac:dyDescent="0.3">
      <c r="A569">
        <v>1</v>
      </c>
      <c r="B569">
        <v>2</v>
      </c>
      <c r="C569" t="b">
        <v>0</v>
      </c>
      <c r="D569">
        <v>1</v>
      </c>
      <c r="E569">
        <v>0.24</v>
      </c>
      <c r="F569">
        <v>0.2273</v>
      </c>
    </row>
    <row r="570" spans="1:6" x14ac:dyDescent="0.3">
      <c r="A570">
        <v>1</v>
      </c>
      <c r="B570">
        <v>2</v>
      </c>
      <c r="C570" t="b">
        <v>0</v>
      </c>
      <c r="D570">
        <v>1</v>
      </c>
      <c r="E570">
        <v>0.24</v>
      </c>
      <c r="F570">
        <v>0.2273</v>
      </c>
    </row>
    <row r="571" spans="1:6" x14ac:dyDescent="0.3">
      <c r="A571">
        <v>1</v>
      </c>
      <c r="B571">
        <v>2</v>
      </c>
      <c r="C571" t="b">
        <v>0</v>
      </c>
      <c r="D571">
        <v>1</v>
      </c>
      <c r="E571">
        <v>0.22</v>
      </c>
      <c r="F571">
        <v>0.2273</v>
      </c>
    </row>
    <row r="572" spans="1:6" x14ac:dyDescent="0.3">
      <c r="A572">
        <v>1</v>
      </c>
      <c r="B572">
        <v>2</v>
      </c>
      <c r="C572" t="b">
        <v>0</v>
      </c>
      <c r="D572">
        <v>2</v>
      </c>
      <c r="E572">
        <v>0.22</v>
      </c>
      <c r="F572">
        <v>0.2273</v>
      </c>
    </row>
    <row r="573" spans="1:6" x14ac:dyDescent="0.3">
      <c r="A573">
        <v>1</v>
      </c>
      <c r="B573">
        <v>3</v>
      </c>
      <c r="C573" t="b">
        <v>0</v>
      </c>
      <c r="D573">
        <v>2</v>
      </c>
      <c r="E573">
        <v>0.22</v>
      </c>
      <c r="F573">
        <v>0.2273</v>
      </c>
    </row>
    <row r="574" spans="1:6" x14ac:dyDescent="0.3">
      <c r="A574">
        <v>1</v>
      </c>
      <c r="B574">
        <v>3</v>
      </c>
      <c r="C574" t="b">
        <v>0</v>
      </c>
      <c r="D574">
        <v>2</v>
      </c>
      <c r="E574">
        <v>0.24</v>
      </c>
      <c r="F574">
        <v>0.2424</v>
      </c>
    </row>
    <row r="575" spans="1:6" x14ac:dyDescent="0.3">
      <c r="A575">
        <v>1</v>
      </c>
      <c r="B575">
        <v>3</v>
      </c>
      <c r="C575" t="b">
        <v>0</v>
      </c>
      <c r="D575">
        <v>3</v>
      </c>
      <c r="E575">
        <v>0.22</v>
      </c>
      <c r="F575">
        <v>0.2273</v>
      </c>
    </row>
    <row r="576" spans="1:6" x14ac:dyDescent="0.3">
      <c r="A576">
        <v>1</v>
      </c>
      <c r="B576">
        <v>3</v>
      </c>
      <c r="C576" t="b">
        <v>0</v>
      </c>
      <c r="D576">
        <v>3</v>
      </c>
      <c r="E576">
        <v>0.2</v>
      </c>
      <c r="F576">
        <v>0.18179999999999999</v>
      </c>
    </row>
    <row r="577" spans="1:6" x14ac:dyDescent="0.3">
      <c r="A577">
        <v>1</v>
      </c>
      <c r="B577">
        <v>3</v>
      </c>
      <c r="C577" t="b">
        <v>0</v>
      </c>
      <c r="D577">
        <v>3</v>
      </c>
      <c r="E577">
        <v>0.2</v>
      </c>
      <c r="F577">
        <v>0.18179999999999999</v>
      </c>
    </row>
    <row r="578" spans="1:6" x14ac:dyDescent="0.3">
      <c r="A578">
        <v>1</v>
      </c>
      <c r="B578">
        <v>3</v>
      </c>
      <c r="C578" t="b">
        <v>0</v>
      </c>
      <c r="D578">
        <v>3</v>
      </c>
      <c r="E578">
        <v>0.22</v>
      </c>
      <c r="F578">
        <v>0.21210000000000001</v>
      </c>
    </row>
    <row r="579" spans="1:6" x14ac:dyDescent="0.3">
      <c r="A579">
        <v>1</v>
      </c>
      <c r="B579">
        <v>3</v>
      </c>
      <c r="C579" t="b">
        <v>0</v>
      </c>
      <c r="D579">
        <v>3</v>
      </c>
      <c r="E579">
        <v>0.22</v>
      </c>
      <c r="F579">
        <v>0.21210000000000001</v>
      </c>
    </row>
    <row r="580" spans="1:6" x14ac:dyDescent="0.3">
      <c r="A580">
        <v>1</v>
      </c>
      <c r="B580">
        <v>3</v>
      </c>
      <c r="C580" t="b">
        <v>0</v>
      </c>
      <c r="D580">
        <v>3</v>
      </c>
      <c r="E580">
        <v>0.22</v>
      </c>
      <c r="F580">
        <v>0.21210000000000001</v>
      </c>
    </row>
    <row r="581" spans="1:6" x14ac:dyDescent="0.3">
      <c r="A581">
        <v>1</v>
      </c>
      <c r="B581">
        <v>3</v>
      </c>
      <c r="C581" t="b">
        <v>0</v>
      </c>
      <c r="D581">
        <v>3</v>
      </c>
      <c r="E581">
        <v>0.22</v>
      </c>
      <c r="F581">
        <v>0.21210000000000001</v>
      </c>
    </row>
    <row r="582" spans="1:6" x14ac:dyDescent="0.3">
      <c r="A582">
        <v>1</v>
      </c>
      <c r="B582">
        <v>3</v>
      </c>
      <c r="C582" t="b">
        <v>0</v>
      </c>
      <c r="D582">
        <v>3</v>
      </c>
      <c r="E582">
        <v>0.22</v>
      </c>
      <c r="F582">
        <v>0.19700000000000001</v>
      </c>
    </row>
    <row r="583" spans="1:6" x14ac:dyDescent="0.3">
      <c r="A583">
        <v>1</v>
      </c>
      <c r="B583">
        <v>3</v>
      </c>
      <c r="C583" t="b">
        <v>0</v>
      </c>
      <c r="D583">
        <v>3</v>
      </c>
      <c r="E583">
        <v>0.22</v>
      </c>
      <c r="F583">
        <v>0.19700000000000001</v>
      </c>
    </row>
    <row r="584" spans="1:6" x14ac:dyDescent="0.3">
      <c r="A584">
        <v>1</v>
      </c>
      <c r="B584">
        <v>3</v>
      </c>
      <c r="C584" t="b">
        <v>0</v>
      </c>
      <c r="D584">
        <v>3</v>
      </c>
      <c r="E584">
        <v>0.22</v>
      </c>
      <c r="F584">
        <v>0.19700000000000001</v>
      </c>
    </row>
    <row r="585" spans="1:6" x14ac:dyDescent="0.3">
      <c r="A585">
        <v>1</v>
      </c>
      <c r="B585">
        <v>3</v>
      </c>
      <c r="C585" t="b">
        <v>0</v>
      </c>
      <c r="D585">
        <v>3</v>
      </c>
      <c r="E585">
        <v>0.22</v>
      </c>
      <c r="F585">
        <v>0.19700000000000001</v>
      </c>
    </row>
    <row r="586" spans="1:6" x14ac:dyDescent="0.3">
      <c r="A586">
        <v>1</v>
      </c>
      <c r="B586">
        <v>3</v>
      </c>
      <c r="C586" t="b">
        <v>0</v>
      </c>
      <c r="D586">
        <v>3</v>
      </c>
      <c r="E586">
        <v>0.22</v>
      </c>
      <c r="F586">
        <v>0.18179999999999999</v>
      </c>
    </row>
    <row r="587" spans="1:6" x14ac:dyDescent="0.3">
      <c r="A587">
        <v>1</v>
      </c>
      <c r="B587">
        <v>3</v>
      </c>
      <c r="C587" t="b">
        <v>0</v>
      </c>
      <c r="D587">
        <v>4</v>
      </c>
      <c r="E587">
        <v>0.22</v>
      </c>
      <c r="F587">
        <v>0.19700000000000001</v>
      </c>
    </row>
    <row r="588" spans="1:6" x14ac:dyDescent="0.3">
      <c r="A588">
        <v>1</v>
      </c>
      <c r="B588">
        <v>3</v>
      </c>
      <c r="C588" t="b">
        <v>0</v>
      </c>
      <c r="D588">
        <v>3</v>
      </c>
      <c r="E588">
        <v>0.2</v>
      </c>
      <c r="F588">
        <v>0.18179999999999999</v>
      </c>
    </row>
    <row r="589" spans="1:6" x14ac:dyDescent="0.3">
      <c r="A589">
        <v>1</v>
      </c>
      <c r="B589">
        <v>4</v>
      </c>
      <c r="C589" t="b">
        <v>0</v>
      </c>
      <c r="D589">
        <v>1</v>
      </c>
      <c r="E589">
        <v>0.22</v>
      </c>
      <c r="F589">
        <v>0.2273</v>
      </c>
    </row>
    <row r="590" spans="1:6" x14ac:dyDescent="0.3">
      <c r="A590">
        <v>1</v>
      </c>
      <c r="B590">
        <v>4</v>
      </c>
      <c r="C590" t="b">
        <v>0</v>
      </c>
      <c r="D590">
        <v>1</v>
      </c>
      <c r="E590">
        <v>0.22</v>
      </c>
      <c r="F590">
        <v>0.2424</v>
      </c>
    </row>
    <row r="591" spans="1:6" x14ac:dyDescent="0.3">
      <c r="A591">
        <v>1</v>
      </c>
      <c r="B591">
        <v>4</v>
      </c>
      <c r="C591" t="b">
        <v>0</v>
      </c>
      <c r="D591">
        <v>1</v>
      </c>
      <c r="E591">
        <v>0.2</v>
      </c>
      <c r="F591">
        <v>0.2273</v>
      </c>
    </row>
    <row r="592" spans="1:6" x14ac:dyDescent="0.3">
      <c r="A592">
        <v>1</v>
      </c>
      <c r="B592">
        <v>4</v>
      </c>
      <c r="C592" t="b">
        <v>0</v>
      </c>
      <c r="D592">
        <v>1</v>
      </c>
      <c r="E592">
        <v>0.2</v>
      </c>
      <c r="F592">
        <v>0.2273</v>
      </c>
    </row>
    <row r="593" spans="1:6" x14ac:dyDescent="0.3">
      <c r="A593">
        <v>1</v>
      </c>
      <c r="B593">
        <v>4</v>
      </c>
      <c r="C593" t="b">
        <v>0</v>
      </c>
      <c r="D593">
        <v>1</v>
      </c>
      <c r="E593">
        <v>0.18</v>
      </c>
      <c r="F593">
        <v>0.21210000000000001</v>
      </c>
    </row>
    <row r="594" spans="1:6" x14ac:dyDescent="0.3">
      <c r="A594">
        <v>1</v>
      </c>
      <c r="B594">
        <v>4</v>
      </c>
      <c r="C594" t="b">
        <v>0</v>
      </c>
      <c r="D594">
        <v>1</v>
      </c>
      <c r="E594">
        <v>0.18</v>
      </c>
      <c r="F594">
        <v>0.21210000000000001</v>
      </c>
    </row>
    <row r="595" spans="1:6" x14ac:dyDescent="0.3">
      <c r="A595">
        <v>1</v>
      </c>
      <c r="B595">
        <v>4</v>
      </c>
      <c r="C595" t="b">
        <v>0</v>
      </c>
      <c r="D595">
        <v>1</v>
      </c>
      <c r="E595">
        <v>0.18</v>
      </c>
      <c r="F595">
        <v>0.21210000000000001</v>
      </c>
    </row>
    <row r="596" spans="1:6" x14ac:dyDescent="0.3">
      <c r="A596">
        <v>1</v>
      </c>
      <c r="B596">
        <v>4</v>
      </c>
      <c r="C596" t="b">
        <v>0</v>
      </c>
      <c r="D596">
        <v>1</v>
      </c>
      <c r="E596">
        <v>0.18</v>
      </c>
      <c r="F596">
        <v>0.19700000000000001</v>
      </c>
    </row>
    <row r="597" spans="1:6" x14ac:dyDescent="0.3">
      <c r="A597">
        <v>1</v>
      </c>
      <c r="B597">
        <v>5</v>
      </c>
      <c r="C597" t="b">
        <v>0</v>
      </c>
      <c r="D597">
        <v>2</v>
      </c>
      <c r="E597">
        <v>0.2</v>
      </c>
      <c r="F597">
        <v>0.21210000000000001</v>
      </c>
    </row>
    <row r="598" spans="1:6" x14ac:dyDescent="0.3">
      <c r="A598">
        <v>1</v>
      </c>
      <c r="B598">
        <v>5</v>
      </c>
      <c r="C598" t="b">
        <v>0</v>
      </c>
      <c r="D598">
        <v>2</v>
      </c>
      <c r="E598">
        <v>0.2</v>
      </c>
      <c r="F598">
        <v>0.21210000000000001</v>
      </c>
    </row>
    <row r="599" spans="1:6" x14ac:dyDescent="0.3">
      <c r="A599">
        <v>1</v>
      </c>
      <c r="B599">
        <v>5</v>
      </c>
      <c r="C599" t="b">
        <v>0</v>
      </c>
      <c r="D599">
        <v>2</v>
      </c>
      <c r="E599">
        <v>0.2</v>
      </c>
      <c r="F599">
        <v>0.21210000000000001</v>
      </c>
    </row>
    <row r="600" spans="1:6" x14ac:dyDescent="0.3">
      <c r="A600">
        <v>1</v>
      </c>
      <c r="B600">
        <v>5</v>
      </c>
      <c r="C600" t="b">
        <v>0</v>
      </c>
      <c r="D600">
        <v>2</v>
      </c>
      <c r="E600">
        <v>0.2</v>
      </c>
      <c r="F600">
        <v>0.2273</v>
      </c>
    </row>
    <row r="601" spans="1:6" x14ac:dyDescent="0.3">
      <c r="A601">
        <v>1</v>
      </c>
      <c r="B601">
        <v>5</v>
      </c>
      <c r="C601" t="b">
        <v>0</v>
      </c>
      <c r="D601">
        <v>2</v>
      </c>
      <c r="E601">
        <v>0.18</v>
      </c>
      <c r="F601">
        <v>0.21210000000000001</v>
      </c>
    </row>
    <row r="602" spans="1:6" x14ac:dyDescent="0.3">
      <c r="A602">
        <v>1</v>
      </c>
      <c r="B602">
        <v>5</v>
      </c>
      <c r="C602" t="b">
        <v>0</v>
      </c>
      <c r="D602">
        <v>2</v>
      </c>
      <c r="E602">
        <v>0.18</v>
      </c>
      <c r="F602">
        <v>0.19700000000000001</v>
      </c>
    </row>
    <row r="603" spans="1:6" x14ac:dyDescent="0.3">
      <c r="A603">
        <v>1</v>
      </c>
      <c r="B603">
        <v>5</v>
      </c>
      <c r="C603" t="b">
        <v>0</v>
      </c>
      <c r="D603">
        <v>2</v>
      </c>
      <c r="E603">
        <v>0.16</v>
      </c>
      <c r="F603">
        <v>0.19700000000000001</v>
      </c>
    </row>
    <row r="604" spans="1:6" x14ac:dyDescent="0.3">
      <c r="A604">
        <v>1</v>
      </c>
      <c r="B604">
        <v>5</v>
      </c>
      <c r="C604" t="b">
        <v>0</v>
      </c>
      <c r="D604">
        <v>2</v>
      </c>
      <c r="E604">
        <v>0.16</v>
      </c>
      <c r="F604">
        <v>0.19700000000000001</v>
      </c>
    </row>
    <row r="605" spans="1:6" x14ac:dyDescent="0.3">
      <c r="A605">
        <v>1</v>
      </c>
      <c r="B605">
        <v>5</v>
      </c>
      <c r="C605" t="b">
        <v>0</v>
      </c>
      <c r="D605">
        <v>3</v>
      </c>
      <c r="E605">
        <v>0.18</v>
      </c>
      <c r="F605">
        <v>0.21210000000000001</v>
      </c>
    </row>
    <row r="606" spans="1:6" x14ac:dyDescent="0.3">
      <c r="A606">
        <v>1</v>
      </c>
      <c r="B606">
        <v>5</v>
      </c>
      <c r="C606" t="b">
        <v>0</v>
      </c>
      <c r="D606">
        <v>3</v>
      </c>
      <c r="E606">
        <v>0.18</v>
      </c>
      <c r="F606">
        <v>0.21210000000000001</v>
      </c>
    </row>
    <row r="607" spans="1:6" x14ac:dyDescent="0.3">
      <c r="A607">
        <v>1</v>
      </c>
      <c r="B607">
        <v>5</v>
      </c>
      <c r="C607" t="b">
        <v>0</v>
      </c>
      <c r="D607">
        <v>3</v>
      </c>
      <c r="E607">
        <v>0.18</v>
      </c>
      <c r="F607">
        <v>0.21210000000000001</v>
      </c>
    </row>
    <row r="608" spans="1:6" x14ac:dyDescent="0.3">
      <c r="A608">
        <v>1</v>
      </c>
      <c r="B608">
        <v>5</v>
      </c>
      <c r="C608" t="b">
        <v>0</v>
      </c>
      <c r="D608">
        <v>3</v>
      </c>
      <c r="E608">
        <v>0.18</v>
      </c>
      <c r="F608">
        <v>0.21210000000000001</v>
      </c>
    </row>
    <row r="609" spans="1:6" x14ac:dyDescent="0.3">
      <c r="A609">
        <v>1</v>
      </c>
      <c r="B609">
        <v>5</v>
      </c>
      <c r="C609" t="b">
        <v>0</v>
      </c>
      <c r="D609">
        <v>3</v>
      </c>
      <c r="E609">
        <v>0.18</v>
      </c>
      <c r="F609">
        <v>0.21210000000000001</v>
      </c>
    </row>
    <row r="610" spans="1:6" x14ac:dyDescent="0.3">
      <c r="A610">
        <v>1</v>
      </c>
      <c r="B610">
        <v>5</v>
      </c>
      <c r="C610" t="b">
        <v>0</v>
      </c>
      <c r="D610">
        <v>3</v>
      </c>
      <c r="E610">
        <v>0.22</v>
      </c>
      <c r="F610">
        <v>0.2727</v>
      </c>
    </row>
    <row r="611" spans="1:6" x14ac:dyDescent="0.3">
      <c r="A611">
        <v>1</v>
      </c>
      <c r="B611">
        <v>5</v>
      </c>
      <c r="C611" t="b">
        <v>0</v>
      </c>
      <c r="D611">
        <v>2</v>
      </c>
      <c r="E611">
        <v>0.2</v>
      </c>
      <c r="F611">
        <v>0.2576</v>
      </c>
    </row>
    <row r="612" spans="1:6" x14ac:dyDescent="0.3">
      <c r="A612">
        <v>1</v>
      </c>
      <c r="B612">
        <v>5</v>
      </c>
      <c r="C612" t="b">
        <v>0</v>
      </c>
      <c r="D612">
        <v>1</v>
      </c>
      <c r="E612">
        <v>0.22</v>
      </c>
      <c r="F612">
        <v>0.2727</v>
      </c>
    </row>
    <row r="613" spans="1:6" x14ac:dyDescent="0.3">
      <c r="A613">
        <v>1</v>
      </c>
      <c r="B613">
        <v>5</v>
      </c>
      <c r="C613" t="b">
        <v>0</v>
      </c>
      <c r="D613">
        <v>1</v>
      </c>
      <c r="E613">
        <v>0.24</v>
      </c>
      <c r="F613">
        <v>0.2424</v>
      </c>
    </row>
    <row r="614" spans="1:6" x14ac:dyDescent="0.3">
      <c r="A614">
        <v>1</v>
      </c>
      <c r="B614">
        <v>5</v>
      </c>
      <c r="C614" t="b">
        <v>0</v>
      </c>
      <c r="D614">
        <v>1</v>
      </c>
      <c r="E614">
        <v>0.24</v>
      </c>
      <c r="F614">
        <v>0.2273</v>
      </c>
    </row>
    <row r="615" spans="1:6" x14ac:dyDescent="0.3">
      <c r="A615">
        <v>1</v>
      </c>
      <c r="B615">
        <v>5</v>
      </c>
      <c r="C615" t="b">
        <v>0</v>
      </c>
      <c r="D615">
        <v>2</v>
      </c>
      <c r="E615">
        <v>0.24</v>
      </c>
      <c r="F615">
        <v>0.2424</v>
      </c>
    </row>
    <row r="616" spans="1:6" x14ac:dyDescent="0.3">
      <c r="A616">
        <v>1</v>
      </c>
      <c r="B616">
        <v>5</v>
      </c>
      <c r="C616" t="b">
        <v>0</v>
      </c>
      <c r="D616">
        <v>2</v>
      </c>
      <c r="E616">
        <v>0.24</v>
      </c>
      <c r="F616">
        <v>0.2273</v>
      </c>
    </row>
    <row r="617" spans="1:6" x14ac:dyDescent="0.3">
      <c r="A617">
        <v>1</v>
      </c>
      <c r="B617">
        <v>5</v>
      </c>
      <c r="C617" t="b">
        <v>0</v>
      </c>
      <c r="D617">
        <v>2</v>
      </c>
      <c r="E617">
        <v>0.22</v>
      </c>
      <c r="F617">
        <v>0.2273</v>
      </c>
    </row>
    <row r="618" spans="1:6" x14ac:dyDescent="0.3">
      <c r="A618">
        <v>1</v>
      </c>
      <c r="B618">
        <v>5</v>
      </c>
      <c r="C618" t="b">
        <v>0</v>
      </c>
      <c r="D618">
        <v>1</v>
      </c>
      <c r="E618">
        <v>0.24</v>
      </c>
      <c r="F618">
        <v>0.21210000000000001</v>
      </c>
    </row>
    <row r="619" spans="1:6" x14ac:dyDescent="0.3">
      <c r="A619">
        <v>1</v>
      </c>
      <c r="B619">
        <v>5</v>
      </c>
      <c r="C619" t="b">
        <v>0</v>
      </c>
      <c r="D619">
        <v>1</v>
      </c>
      <c r="E619">
        <v>0.24</v>
      </c>
      <c r="F619">
        <v>0.2273</v>
      </c>
    </row>
    <row r="620" spans="1:6" x14ac:dyDescent="0.3">
      <c r="A620">
        <v>1</v>
      </c>
      <c r="B620">
        <v>6</v>
      </c>
      <c r="C620" t="b">
        <v>0</v>
      </c>
      <c r="D620">
        <v>1</v>
      </c>
      <c r="E620">
        <v>0.22</v>
      </c>
      <c r="F620">
        <v>0.19700000000000001</v>
      </c>
    </row>
    <row r="621" spans="1:6" x14ac:dyDescent="0.3">
      <c r="A621">
        <v>1</v>
      </c>
      <c r="B621">
        <v>6</v>
      </c>
      <c r="C621" t="b">
        <v>0</v>
      </c>
      <c r="D621">
        <v>1</v>
      </c>
      <c r="E621">
        <v>0.22</v>
      </c>
      <c r="F621">
        <v>0.2273</v>
      </c>
    </row>
    <row r="622" spans="1:6" x14ac:dyDescent="0.3">
      <c r="A622">
        <v>1</v>
      </c>
      <c r="B622">
        <v>6</v>
      </c>
      <c r="C622" t="b">
        <v>0</v>
      </c>
      <c r="D622">
        <v>1</v>
      </c>
      <c r="E622">
        <v>0.22</v>
      </c>
      <c r="F622">
        <v>0.2273</v>
      </c>
    </row>
    <row r="623" spans="1:6" x14ac:dyDescent="0.3">
      <c r="A623">
        <v>1</v>
      </c>
      <c r="B623">
        <v>6</v>
      </c>
      <c r="C623" t="b">
        <v>0</v>
      </c>
      <c r="D623">
        <v>1</v>
      </c>
      <c r="E623">
        <v>0.2</v>
      </c>
      <c r="F623">
        <v>0.21210000000000001</v>
      </c>
    </row>
    <row r="624" spans="1:6" x14ac:dyDescent="0.3">
      <c r="A624">
        <v>1</v>
      </c>
      <c r="B624">
        <v>6</v>
      </c>
      <c r="C624" t="b">
        <v>0</v>
      </c>
      <c r="D624">
        <v>1</v>
      </c>
      <c r="E624">
        <v>0.16</v>
      </c>
      <c r="F624">
        <v>0.18179999999999999</v>
      </c>
    </row>
    <row r="625" spans="1:6" x14ac:dyDescent="0.3">
      <c r="A625">
        <v>1</v>
      </c>
      <c r="B625">
        <v>6</v>
      </c>
      <c r="C625" t="b">
        <v>0</v>
      </c>
      <c r="D625">
        <v>1</v>
      </c>
      <c r="E625">
        <v>0.16</v>
      </c>
      <c r="F625">
        <v>0.18179999999999999</v>
      </c>
    </row>
    <row r="626" spans="1:6" x14ac:dyDescent="0.3">
      <c r="A626">
        <v>1</v>
      </c>
      <c r="B626">
        <v>6</v>
      </c>
      <c r="C626" t="b">
        <v>0</v>
      </c>
      <c r="D626">
        <v>1</v>
      </c>
      <c r="E626">
        <v>0.16</v>
      </c>
      <c r="F626">
        <v>0.18179999999999999</v>
      </c>
    </row>
    <row r="627" spans="1:6" x14ac:dyDescent="0.3">
      <c r="A627">
        <v>1</v>
      </c>
      <c r="B627">
        <v>6</v>
      </c>
      <c r="C627" t="b">
        <v>0</v>
      </c>
      <c r="D627">
        <v>1</v>
      </c>
      <c r="E627">
        <v>0.18</v>
      </c>
      <c r="F627">
        <v>0.19700000000000001</v>
      </c>
    </row>
    <row r="628" spans="1:6" x14ac:dyDescent="0.3">
      <c r="A628">
        <v>1</v>
      </c>
      <c r="B628">
        <v>6</v>
      </c>
      <c r="C628" t="b">
        <v>0</v>
      </c>
      <c r="D628">
        <v>1</v>
      </c>
      <c r="E628">
        <v>0.18</v>
      </c>
      <c r="F628">
        <v>0.21210000000000001</v>
      </c>
    </row>
    <row r="629" spans="1:6" x14ac:dyDescent="0.3">
      <c r="A629">
        <v>1</v>
      </c>
      <c r="B629">
        <v>6</v>
      </c>
      <c r="C629" t="b">
        <v>0</v>
      </c>
      <c r="D629">
        <v>2</v>
      </c>
      <c r="E629">
        <v>0.18</v>
      </c>
      <c r="F629">
        <v>0.21210000000000001</v>
      </c>
    </row>
    <row r="630" spans="1:6" x14ac:dyDescent="0.3">
      <c r="A630">
        <v>1</v>
      </c>
      <c r="B630">
        <v>6</v>
      </c>
      <c r="C630" t="b">
        <v>0</v>
      </c>
      <c r="D630">
        <v>2</v>
      </c>
      <c r="E630">
        <v>0.18</v>
      </c>
      <c r="F630">
        <v>0.19700000000000001</v>
      </c>
    </row>
    <row r="631" spans="1:6" x14ac:dyDescent="0.3">
      <c r="A631">
        <v>1</v>
      </c>
      <c r="B631">
        <v>6</v>
      </c>
      <c r="C631" t="b">
        <v>0</v>
      </c>
      <c r="D631">
        <v>2</v>
      </c>
      <c r="E631">
        <v>0.2</v>
      </c>
      <c r="F631">
        <v>0.19700000000000001</v>
      </c>
    </row>
    <row r="632" spans="1:6" x14ac:dyDescent="0.3">
      <c r="A632">
        <v>1</v>
      </c>
      <c r="B632">
        <v>6</v>
      </c>
      <c r="C632" t="b">
        <v>0</v>
      </c>
      <c r="D632">
        <v>2</v>
      </c>
      <c r="E632">
        <v>0.22</v>
      </c>
      <c r="F632">
        <v>0.2273</v>
      </c>
    </row>
    <row r="633" spans="1:6" x14ac:dyDescent="0.3">
      <c r="A633">
        <v>1</v>
      </c>
      <c r="B633">
        <v>6</v>
      </c>
      <c r="C633" t="b">
        <v>0</v>
      </c>
      <c r="D633">
        <v>2</v>
      </c>
      <c r="E633">
        <v>0.22</v>
      </c>
      <c r="F633">
        <v>0.2273</v>
      </c>
    </row>
    <row r="634" spans="1:6" x14ac:dyDescent="0.3">
      <c r="A634">
        <v>1</v>
      </c>
      <c r="B634">
        <v>6</v>
      </c>
      <c r="C634" t="b">
        <v>0</v>
      </c>
      <c r="D634">
        <v>1</v>
      </c>
      <c r="E634">
        <v>0.22</v>
      </c>
      <c r="F634">
        <v>0.21210000000000001</v>
      </c>
    </row>
    <row r="635" spans="1:6" x14ac:dyDescent="0.3">
      <c r="A635">
        <v>1</v>
      </c>
      <c r="B635">
        <v>6</v>
      </c>
      <c r="C635" t="b">
        <v>0</v>
      </c>
      <c r="D635">
        <v>1</v>
      </c>
      <c r="E635">
        <v>0.24</v>
      </c>
      <c r="F635">
        <v>0.2424</v>
      </c>
    </row>
    <row r="636" spans="1:6" x14ac:dyDescent="0.3">
      <c r="A636">
        <v>1</v>
      </c>
      <c r="B636">
        <v>6</v>
      </c>
      <c r="C636" t="b">
        <v>0</v>
      </c>
      <c r="D636">
        <v>1</v>
      </c>
      <c r="E636">
        <v>0.24</v>
      </c>
      <c r="F636">
        <v>0.28789999999999999</v>
      </c>
    </row>
    <row r="637" spans="1:6" x14ac:dyDescent="0.3">
      <c r="A637">
        <v>1</v>
      </c>
      <c r="B637">
        <v>6</v>
      </c>
      <c r="C637" t="b">
        <v>0</v>
      </c>
      <c r="D637">
        <v>1</v>
      </c>
      <c r="E637">
        <v>0.22</v>
      </c>
      <c r="F637">
        <v>0.2273</v>
      </c>
    </row>
    <row r="638" spans="1:6" x14ac:dyDescent="0.3">
      <c r="A638">
        <v>1</v>
      </c>
      <c r="B638">
        <v>6</v>
      </c>
      <c r="C638" t="b">
        <v>0</v>
      </c>
      <c r="D638">
        <v>2</v>
      </c>
      <c r="E638">
        <v>0.22</v>
      </c>
      <c r="F638">
        <v>0.21210000000000001</v>
      </c>
    </row>
    <row r="639" spans="1:6" x14ac:dyDescent="0.3">
      <c r="A639">
        <v>1</v>
      </c>
      <c r="B639">
        <v>6</v>
      </c>
      <c r="C639" t="b">
        <v>0</v>
      </c>
      <c r="D639">
        <v>1</v>
      </c>
      <c r="E639">
        <v>0.18</v>
      </c>
      <c r="F639">
        <v>0.21210000000000001</v>
      </c>
    </row>
    <row r="640" spans="1:6" x14ac:dyDescent="0.3">
      <c r="A640">
        <v>1</v>
      </c>
      <c r="B640">
        <v>6</v>
      </c>
      <c r="C640" t="b">
        <v>0</v>
      </c>
      <c r="D640">
        <v>1</v>
      </c>
      <c r="E640">
        <v>0.18</v>
      </c>
      <c r="F640">
        <v>0.21210000000000001</v>
      </c>
    </row>
    <row r="641" spans="1:6" x14ac:dyDescent="0.3">
      <c r="A641">
        <v>1</v>
      </c>
      <c r="B641">
        <v>6</v>
      </c>
      <c r="C641" t="b">
        <v>0</v>
      </c>
      <c r="D641">
        <v>1</v>
      </c>
      <c r="E641">
        <v>0.16</v>
      </c>
      <c r="F641">
        <v>0.19700000000000001</v>
      </c>
    </row>
    <row r="642" spans="1:6" x14ac:dyDescent="0.3">
      <c r="A642">
        <v>1</v>
      </c>
      <c r="B642">
        <v>6</v>
      </c>
      <c r="C642" t="b">
        <v>0</v>
      </c>
      <c r="D642">
        <v>1</v>
      </c>
      <c r="E642">
        <v>0.16</v>
      </c>
      <c r="F642">
        <v>0.19700000000000001</v>
      </c>
    </row>
    <row r="643" spans="1:6" x14ac:dyDescent="0.3">
      <c r="A643">
        <v>1</v>
      </c>
      <c r="B643">
        <v>0</v>
      </c>
      <c r="C643" t="b">
        <v>0</v>
      </c>
      <c r="D643">
        <v>1</v>
      </c>
      <c r="E643">
        <v>0.16</v>
      </c>
      <c r="F643">
        <v>0.18179999999999999</v>
      </c>
    </row>
    <row r="644" spans="1:6" x14ac:dyDescent="0.3">
      <c r="A644">
        <v>1</v>
      </c>
      <c r="B644">
        <v>0</v>
      </c>
      <c r="C644" t="b">
        <v>0</v>
      </c>
      <c r="D644">
        <v>1</v>
      </c>
      <c r="E644">
        <v>0.14000000000000001</v>
      </c>
      <c r="F644">
        <v>0.21210000000000001</v>
      </c>
    </row>
    <row r="645" spans="1:6" x14ac:dyDescent="0.3">
      <c r="A645">
        <v>1</v>
      </c>
      <c r="B645">
        <v>0</v>
      </c>
      <c r="C645" t="b">
        <v>0</v>
      </c>
      <c r="D645">
        <v>1</v>
      </c>
      <c r="E645">
        <v>0.16</v>
      </c>
      <c r="F645">
        <v>0.2273</v>
      </c>
    </row>
    <row r="646" spans="1:6" x14ac:dyDescent="0.3">
      <c r="A646">
        <v>1</v>
      </c>
      <c r="B646">
        <v>0</v>
      </c>
      <c r="C646" t="b">
        <v>0</v>
      </c>
      <c r="D646">
        <v>1</v>
      </c>
      <c r="E646">
        <v>0.14000000000000001</v>
      </c>
      <c r="F646">
        <v>0.21210000000000001</v>
      </c>
    </row>
    <row r="647" spans="1:6" x14ac:dyDescent="0.3">
      <c r="A647">
        <v>1</v>
      </c>
      <c r="B647">
        <v>0</v>
      </c>
      <c r="C647" t="b">
        <v>0</v>
      </c>
      <c r="D647">
        <v>1</v>
      </c>
      <c r="E647">
        <v>0.14000000000000001</v>
      </c>
      <c r="F647">
        <v>0.21210000000000001</v>
      </c>
    </row>
    <row r="648" spans="1:6" x14ac:dyDescent="0.3">
      <c r="A648">
        <v>1</v>
      </c>
      <c r="B648">
        <v>0</v>
      </c>
      <c r="C648" t="b">
        <v>0</v>
      </c>
      <c r="D648">
        <v>1</v>
      </c>
      <c r="E648">
        <v>0.14000000000000001</v>
      </c>
      <c r="F648">
        <v>0.21210000000000001</v>
      </c>
    </row>
    <row r="649" spans="1:6" x14ac:dyDescent="0.3">
      <c r="A649">
        <v>1</v>
      </c>
      <c r="B649">
        <v>0</v>
      </c>
      <c r="C649" t="b">
        <v>0</v>
      </c>
      <c r="D649">
        <v>1</v>
      </c>
      <c r="E649">
        <v>0.14000000000000001</v>
      </c>
      <c r="F649">
        <v>0.21210000000000001</v>
      </c>
    </row>
    <row r="650" spans="1:6" x14ac:dyDescent="0.3">
      <c r="A650">
        <v>1</v>
      </c>
      <c r="B650">
        <v>0</v>
      </c>
      <c r="C650" t="b">
        <v>0</v>
      </c>
      <c r="D650">
        <v>2</v>
      </c>
      <c r="E650">
        <v>0.14000000000000001</v>
      </c>
      <c r="F650">
        <v>0.21210000000000001</v>
      </c>
    </row>
    <row r="651" spans="1:6" x14ac:dyDescent="0.3">
      <c r="A651">
        <v>1</v>
      </c>
      <c r="B651">
        <v>0</v>
      </c>
      <c r="C651" t="b">
        <v>0</v>
      </c>
      <c r="D651">
        <v>2</v>
      </c>
      <c r="E651">
        <v>0.16</v>
      </c>
      <c r="F651">
        <v>0.2273</v>
      </c>
    </row>
    <row r="652" spans="1:6" x14ac:dyDescent="0.3">
      <c r="A652">
        <v>1</v>
      </c>
      <c r="B652">
        <v>0</v>
      </c>
      <c r="C652" t="b">
        <v>0</v>
      </c>
      <c r="D652">
        <v>2</v>
      </c>
      <c r="E652">
        <v>0.18</v>
      </c>
      <c r="F652">
        <v>0.2424</v>
      </c>
    </row>
    <row r="653" spans="1:6" x14ac:dyDescent="0.3">
      <c r="A653">
        <v>1</v>
      </c>
      <c r="B653">
        <v>0</v>
      </c>
      <c r="C653" t="b">
        <v>0</v>
      </c>
      <c r="D653">
        <v>1</v>
      </c>
      <c r="E653">
        <v>0.22</v>
      </c>
      <c r="F653">
        <v>0.2727</v>
      </c>
    </row>
    <row r="654" spans="1:6" x14ac:dyDescent="0.3">
      <c r="A654">
        <v>1</v>
      </c>
      <c r="B654">
        <v>0</v>
      </c>
      <c r="C654" t="b">
        <v>0</v>
      </c>
      <c r="D654">
        <v>1</v>
      </c>
      <c r="E654">
        <v>0.3</v>
      </c>
      <c r="F654">
        <v>0.31819999999999998</v>
      </c>
    </row>
    <row r="655" spans="1:6" x14ac:dyDescent="0.3">
      <c r="A655">
        <v>1</v>
      </c>
      <c r="B655">
        <v>0</v>
      </c>
      <c r="C655" t="b">
        <v>0</v>
      </c>
      <c r="D655">
        <v>1</v>
      </c>
      <c r="E655">
        <v>0.28000000000000003</v>
      </c>
      <c r="F655">
        <v>0.28789999999999999</v>
      </c>
    </row>
    <row r="656" spans="1:6" x14ac:dyDescent="0.3">
      <c r="A656">
        <v>1</v>
      </c>
      <c r="B656">
        <v>0</v>
      </c>
      <c r="C656" t="b">
        <v>0</v>
      </c>
      <c r="D656">
        <v>1</v>
      </c>
      <c r="E656">
        <v>0.28000000000000003</v>
      </c>
      <c r="F656">
        <v>0.30299999999999999</v>
      </c>
    </row>
    <row r="657" spans="1:6" x14ac:dyDescent="0.3">
      <c r="A657">
        <v>1</v>
      </c>
      <c r="B657">
        <v>0</v>
      </c>
      <c r="C657" t="b">
        <v>0</v>
      </c>
      <c r="D657">
        <v>1</v>
      </c>
      <c r="E657">
        <v>0.3</v>
      </c>
      <c r="F657">
        <v>0.33329999999999999</v>
      </c>
    </row>
    <row r="658" spans="1:6" x14ac:dyDescent="0.3">
      <c r="A658">
        <v>1</v>
      </c>
      <c r="B658">
        <v>0</v>
      </c>
      <c r="C658" t="b">
        <v>0</v>
      </c>
      <c r="D658">
        <v>1</v>
      </c>
      <c r="E658">
        <v>0.3</v>
      </c>
      <c r="F658">
        <v>0.33329999999999999</v>
      </c>
    </row>
    <row r="659" spans="1:6" x14ac:dyDescent="0.3">
      <c r="A659">
        <v>1</v>
      </c>
      <c r="B659">
        <v>0</v>
      </c>
      <c r="C659" t="b">
        <v>0</v>
      </c>
      <c r="D659">
        <v>1</v>
      </c>
      <c r="E659">
        <v>0.3</v>
      </c>
      <c r="F659">
        <v>0.28789999999999999</v>
      </c>
    </row>
    <row r="660" spans="1:6" x14ac:dyDescent="0.3">
      <c r="A660">
        <v>1</v>
      </c>
      <c r="B660">
        <v>0</v>
      </c>
      <c r="C660" t="b">
        <v>0</v>
      </c>
      <c r="D660">
        <v>1</v>
      </c>
      <c r="E660">
        <v>0.26</v>
      </c>
      <c r="F660">
        <v>0.2576</v>
      </c>
    </row>
    <row r="661" spans="1:6" x14ac:dyDescent="0.3">
      <c r="A661">
        <v>1</v>
      </c>
      <c r="B661">
        <v>0</v>
      </c>
      <c r="C661" t="b">
        <v>0</v>
      </c>
      <c r="D661">
        <v>1</v>
      </c>
      <c r="E661">
        <v>0.26</v>
      </c>
      <c r="F661">
        <v>0.2576</v>
      </c>
    </row>
    <row r="662" spans="1:6" x14ac:dyDescent="0.3">
      <c r="A662">
        <v>1</v>
      </c>
      <c r="B662">
        <v>0</v>
      </c>
      <c r="C662" t="b">
        <v>0</v>
      </c>
      <c r="D662">
        <v>2</v>
      </c>
      <c r="E662">
        <v>0.26</v>
      </c>
      <c r="F662">
        <v>0.2727</v>
      </c>
    </row>
    <row r="663" spans="1:6" x14ac:dyDescent="0.3">
      <c r="A663">
        <v>1</v>
      </c>
      <c r="B663">
        <v>0</v>
      </c>
      <c r="C663" t="b">
        <v>0</v>
      </c>
      <c r="D663">
        <v>2</v>
      </c>
      <c r="E663">
        <v>0.24</v>
      </c>
      <c r="F663">
        <v>0.2424</v>
      </c>
    </row>
    <row r="664" spans="1:6" x14ac:dyDescent="0.3">
      <c r="A664">
        <v>1</v>
      </c>
      <c r="B664">
        <v>0</v>
      </c>
      <c r="C664" t="b">
        <v>0</v>
      </c>
      <c r="D664">
        <v>2</v>
      </c>
      <c r="E664">
        <v>0.24</v>
      </c>
      <c r="F664">
        <v>0.2273</v>
      </c>
    </row>
    <row r="665" spans="1:6" x14ac:dyDescent="0.3">
      <c r="A665">
        <v>1</v>
      </c>
      <c r="B665">
        <v>0</v>
      </c>
      <c r="C665" t="b">
        <v>0</v>
      </c>
      <c r="D665">
        <v>2</v>
      </c>
      <c r="E665">
        <v>0.24</v>
      </c>
      <c r="F665">
        <v>0.21210000000000001</v>
      </c>
    </row>
    <row r="666" spans="1:6" x14ac:dyDescent="0.3">
      <c r="A666">
        <v>1</v>
      </c>
      <c r="B666">
        <v>1</v>
      </c>
      <c r="C666" t="b">
        <v>0</v>
      </c>
      <c r="D666">
        <v>2</v>
      </c>
      <c r="E666">
        <v>0.24</v>
      </c>
      <c r="F666">
        <v>0.2273</v>
      </c>
    </row>
    <row r="667" spans="1:6" x14ac:dyDescent="0.3">
      <c r="A667">
        <v>1</v>
      </c>
      <c r="B667">
        <v>1</v>
      </c>
      <c r="C667" t="b">
        <v>0</v>
      </c>
      <c r="D667">
        <v>1</v>
      </c>
      <c r="E667">
        <v>0.22</v>
      </c>
      <c r="F667">
        <v>0.21210000000000001</v>
      </c>
    </row>
    <row r="668" spans="1:6" x14ac:dyDescent="0.3">
      <c r="A668">
        <v>1</v>
      </c>
      <c r="B668">
        <v>1</v>
      </c>
      <c r="C668" t="b">
        <v>0</v>
      </c>
      <c r="D668">
        <v>1</v>
      </c>
      <c r="E668">
        <v>0.22</v>
      </c>
      <c r="F668">
        <v>0.2273</v>
      </c>
    </row>
    <row r="669" spans="1:6" x14ac:dyDescent="0.3">
      <c r="A669">
        <v>1</v>
      </c>
      <c r="B669">
        <v>1</v>
      </c>
      <c r="C669" t="b">
        <v>0</v>
      </c>
      <c r="D669">
        <v>1</v>
      </c>
      <c r="E669">
        <v>0.22</v>
      </c>
      <c r="F669">
        <v>0.2273</v>
      </c>
    </row>
    <row r="670" spans="1:6" x14ac:dyDescent="0.3">
      <c r="A670">
        <v>1</v>
      </c>
      <c r="B670">
        <v>1</v>
      </c>
      <c r="C670" t="b">
        <v>0</v>
      </c>
      <c r="D670">
        <v>1</v>
      </c>
      <c r="E670">
        <v>0.2</v>
      </c>
      <c r="F670">
        <v>0.19700000000000001</v>
      </c>
    </row>
    <row r="671" spans="1:6" x14ac:dyDescent="0.3">
      <c r="A671">
        <v>1</v>
      </c>
      <c r="B671">
        <v>1</v>
      </c>
      <c r="C671" t="b">
        <v>0</v>
      </c>
      <c r="D671">
        <v>1</v>
      </c>
      <c r="E671">
        <v>0.18</v>
      </c>
      <c r="F671">
        <v>0.16669999999999999</v>
      </c>
    </row>
    <row r="672" spans="1:6" x14ac:dyDescent="0.3">
      <c r="A672">
        <v>1</v>
      </c>
      <c r="B672">
        <v>1</v>
      </c>
      <c r="C672" t="b">
        <v>0</v>
      </c>
      <c r="D672">
        <v>1</v>
      </c>
      <c r="E672">
        <v>0.16</v>
      </c>
      <c r="F672">
        <v>0.13639999999999999</v>
      </c>
    </row>
    <row r="673" spans="1:6" x14ac:dyDescent="0.3">
      <c r="A673">
        <v>1</v>
      </c>
      <c r="B673">
        <v>1</v>
      </c>
      <c r="C673" t="b">
        <v>0</v>
      </c>
      <c r="D673">
        <v>2</v>
      </c>
      <c r="E673">
        <v>0.16</v>
      </c>
      <c r="F673">
        <v>0.13639999999999999</v>
      </c>
    </row>
    <row r="674" spans="1:6" x14ac:dyDescent="0.3">
      <c r="A674">
        <v>1</v>
      </c>
      <c r="B674">
        <v>1</v>
      </c>
      <c r="C674" t="b">
        <v>0</v>
      </c>
      <c r="D674">
        <v>2</v>
      </c>
      <c r="E674">
        <v>0.16</v>
      </c>
      <c r="F674">
        <v>0.13639999999999999</v>
      </c>
    </row>
    <row r="675" spans="1:6" x14ac:dyDescent="0.3">
      <c r="A675">
        <v>1</v>
      </c>
      <c r="B675">
        <v>1</v>
      </c>
      <c r="C675" t="b">
        <v>0</v>
      </c>
      <c r="D675">
        <v>2</v>
      </c>
      <c r="E675">
        <v>0.16</v>
      </c>
      <c r="F675">
        <v>0.13639999999999999</v>
      </c>
    </row>
    <row r="676" spans="1:6" x14ac:dyDescent="0.3">
      <c r="A676">
        <v>1</v>
      </c>
      <c r="B676">
        <v>1</v>
      </c>
      <c r="C676" t="b">
        <v>0</v>
      </c>
      <c r="D676">
        <v>2</v>
      </c>
      <c r="E676">
        <v>0.16</v>
      </c>
      <c r="F676">
        <v>0.1515</v>
      </c>
    </row>
    <row r="677" spans="1:6" x14ac:dyDescent="0.3">
      <c r="A677">
        <v>1</v>
      </c>
      <c r="B677">
        <v>1</v>
      </c>
      <c r="C677" t="b">
        <v>0</v>
      </c>
      <c r="D677">
        <v>2</v>
      </c>
      <c r="E677">
        <v>0.16</v>
      </c>
      <c r="F677">
        <v>0.1515</v>
      </c>
    </row>
    <row r="678" spans="1:6" x14ac:dyDescent="0.3">
      <c r="A678">
        <v>1</v>
      </c>
      <c r="B678">
        <v>1</v>
      </c>
      <c r="C678" t="b">
        <v>0</v>
      </c>
      <c r="D678">
        <v>2</v>
      </c>
      <c r="E678">
        <v>0.18</v>
      </c>
      <c r="F678">
        <v>0.21210000000000001</v>
      </c>
    </row>
    <row r="679" spans="1:6" x14ac:dyDescent="0.3">
      <c r="A679">
        <v>1</v>
      </c>
      <c r="B679">
        <v>1</v>
      </c>
      <c r="C679" t="b">
        <v>0</v>
      </c>
      <c r="D679">
        <v>2</v>
      </c>
      <c r="E679">
        <v>0.16</v>
      </c>
      <c r="F679">
        <v>0.2273</v>
      </c>
    </row>
    <row r="680" spans="1:6" x14ac:dyDescent="0.3">
      <c r="A680">
        <v>1</v>
      </c>
      <c r="B680">
        <v>1</v>
      </c>
      <c r="C680" t="b">
        <v>0</v>
      </c>
      <c r="D680">
        <v>2</v>
      </c>
      <c r="E680">
        <v>0.18</v>
      </c>
      <c r="F680">
        <v>0.19700000000000001</v>
      </c>
    </row>
    <row r="681" spans="1:6" x14ac:dyDescent="0.3">
      <c r="A681">
        <v>1</v>
      </c>
      <c r="B681">
        <v>1</v>
      </c>
      <c r="C681" t="b">
        <v>0</v>
      </c>
      <c r="D681">
        <v>2</v>
      </c>
      <c r="E681">
        <v>0.16</v>
      </c>
      <c r="F681">
        <v>0.18179999999999999</v>
      </c>
    </row>
    <row r="682" spans="1:6" x14ac:dyDescent="0.3">
      <c r="A682">
        <v>1</v>
      </c>
      <c r="B682">
        <v>1</v>
      </c>
      <c r="C682" t="b">
        <v>0</v>
      </c>
      <c r="D682">
        <v>2</v>
      </c>
      <c r="E682">
        <v>0.16</v>
      </c>
      <c r="F682">
        <v>0.18179999999999999</v>
      </c>
    </row>
    <row r="683" spans="1:6" x14ac:dyDescent="0.3">
      <c r="A683">
        <v>1</v>
      </c>
      <c r="B683">
        <v>1</v>
      </c>
      <c r="C683" t="b">
        <v>0</v>
      </c>
      <c r="D683">
        <v>2</v>
      </c>
      <c r="E683">
        <v>0.16</v>
      </c>
      <c r="F683">
        <v>0.1515</v>
      </c>
    </row>
    <row r="684" spans="1:6" x14ac:dyDescent="0.3">
      <c r="A684">
        <v>1</v>
      </c>
      <c r="B684">
        <v>1</v>
      </c>
      <c r="C684" t="b">
        <v>0</v>
      </c>
      <c r="D684">
        <v>2</v>
      </c>
      <c r="E684">
        <v>0.16</v>
      </c>
      <c r="F684">
        <v>0.1515</v>
      </c>
    </row>
    <row r="685" spans="1:6" x14ac:dyDescent="0.3">
      <c r="A685">
        <v>1</v>
      </c>
      <c r="B685">
        <v>1</v>
      </c>
      <c r="C685" t="b">
        <v>0</v>
      </c>
      <c r="D685">
        <v>1</v>
      </c>
      <c r="E685">
        <v>0.3</v>
      </c>
      <c r="F685">
        <v>0.31819999999999998</v>
      </c>
    </row>
    <row r="686" spans="1:6" x14ac:dyDescent="0.3">
      <c r="A686">
        <v>1</v>
      </c>
      <c r="B686">
        <v>1</v>
      </c>
      <c r="C686" t="b">
        <v>0</v>
      </c>
      <c r="D686">
        <v>3</v>
      </c>
      <c r="E686">
        <v>0.16</v>
      </c>
      <c r="F686">
        <v>0.16669999999999999</v>
      </c>
    </row>
    <row r="687" spans="1:6" x14ac:dyDescent="0.3">
      <c r="A687">
        <v>1</v>
      </c>
      <c r="B687">
        <v>1</v>
      </c>
      <c r="C687" t="b">
        <v>0</v>
      </c>
      <c r="D687">
        <v>3</v>
      </c>
      <c r="E687">
        <v>0.16</v>
      </c>
      <c r="F687">
        <v>0.19700000000000001</v>
      </c>
    </row>
    <row r="688" spans="1:6" x14ac:dyDescent="0.3">
      <c r="A688">
        <v>1</v>
      </c>
      <c r="B688">
        <v>1</v>
      </c>
      <c r="C688" t="b">
        <v>0</v>
      </c>
      <c r="D688">
        <v>2</v>
      </c>
      <c r="E688">
        <v>0.16</v>
      </c>
      <c r="F688">
        <v>0.18179999999999999</v>
      </c>
    </row>
    <row r="689" spans="1:6" x14ac:dyDescent="0.3">
      <c r="A689">
        <v>1</v>
      </c>
      <c r="B689">
        <v>1</v>
      </c>
      <c r="C689" t="b">
        <v>0</v>
      </c>
      <c r="D689">
        <v>2</v>
      </c>
      <c r="E689">
        <v>0.16</v>
      </c>
      <c r="F689">
        <v>0.19700000000000001</v>
      </c>
    </row>
    <row r="690" spans="1:6" x14ac:dyDescent="0.3">
      <c r="A690">
        <v>2</v>
      </c>
      <c r="B690">
        <v>2</v>
      </c>
      <c r="C690" t="b">
        <v>0</v>
      </c>
      <c r="D690">
        <v>2</v>
      </c>
      <c r="E690">
        <v>0.16</v>
      </c>
      <c r="F690">
        <v>0.18179999999999999</v>
      </c>
    </row>
    <row r="691" spans="1:6" x14ac:dyDescent="0.3">
      <c r="A691">
        <v>2</v>
      </c>
      <c r="B691">
        <v>2</v>
      </c>
      <c r="C691" t="b">
        <v>0</v>
      </c>
      <c r="D691">
        <v>2</v>
      </c>
      <c r="E691">
        <v>0.16</v>
      </c>
      <c r="F691">
        <v>0.18179999999999999</v>
      </c>
    </row>
    <row r="692" spans="1:6" x14ac:dyDescent="0.3">
      <c r="A692">
        <v>2</v>
      </c>
      <c r="B692">
        <v>2</v>
      </c>
      <c r="C692" t="b">
        <v>0</v>
      </c>
      <c r="D692">
        <v>2</v>
      </c>
      <c r="E692">
        <v>0.16</v>
      </c>
      <c r="F692">
        <v>0.2273</v>
      </c>
    </row>
    <row r="693" spans="1:6" x14ac:dyDescent="0.3">
      <c r="A693">
        <v>2</v>
      </c>
      <c r="B693">
        <v>2</v>
      </c>
      <c r="C693" t="b">
        <v>0</v>
      </c>
      <c r="D693">
        <v>2</v>
      </c>
      <c r="E693">
        <v>0.16</v>
      </c>
      <c r="F693">
        <v>0.2273</v>
      </c>
    </row>
    <row r="694" spans="1:6" x14ac:dyDescent="0.3">
      <c r="A694">
        <v>2</v>
      </c>
      <c r="B694">
        <v>2</v>
      </c>
      <c r="C694" t="b">
        <v>0</v>
      </c>
      <c r="D694">
        <v>3</v>
      </c>
      <c r="E694">
        <v>0.14000000000000001</v>
      </c>
      <c r="F694">
        <v>0.21210000000000001</v>
      </c>
    </row>
    <row r="695" spans="1:6" x14ac:dyDescent="0.3">
      <c r="A695">
        <v>2</v>
      </c>
      <c r="B695">
        <v>2</v>
      </c>
      <c r="C695" t="b">
        <v>0</v>
      </c>
      <c r="D695">
        <v>3</v>
      </c>
      <c r="E695">
        <v>0.14000000000000001</v>
      </c>
      <c r="F695">
        <v>0.21210000000000001</v>
      </c>
    </row>
    <row r="696" spans="1:6" x14ac:dyDescent="0.3">
      <c r="A696">
        <v>2</v>
      </c>
      <c r="B696">
        <v>2</v>
      </c>
      <c r="C696" t="b">
        <v>0</v>
      </c>
      <c r="D696">
        <v>3</v>
      </c>
      <c r="E696">
        <v>0.16</v>
      </c>
      <c r="F696">
        <v>0.2273</v>
      </c>
    </row>
    <row r="697" spans="1:6" x14ac:dyDescent="0.3">
      <c r="A697">
        <v>2</v>
      </c>
      <c r="B697">
        <v>2</v>
      </c>
      <c r="C697" t="b">
        <v>0</v>
      </c>
      <c r="D697">
        <v>3</v>
      </c>
      <c r="E697">
        <v>0.16</v>
      </c>
      <c r="F697">
        <v>0.2273</v>
      </c>
    </row>
    <row r="698" spans="1:6" x14ac:dyDescent="0.3">
      <c r="A698">
        <v>2</v>
      </c>
      <c r="B698">
        <v>2</v>
      </c>
      <c r="C698" t="b">
        <v>0</v>
      </c>
      <c r="D698">
        <v>2</v>
      </c>
      <c r="E698">
        <v>0.16</v>
      </c>
      <c r="F698">
        <v>0.2273</v>
      </c>
    </row>
    <row r="699" spans="1:6" x14ac:dyDescent="0.3">
      <c r="A699">
        <v>2</v>
      </c>
      <c r="B699">
        <v>2</v>
      </c>
      <c r="C699" t="b">
        <v>0</v>
      </c>
      <c r="D699">
        <v>2</v>
      </c>
      <c r="E699">
        <v>0.16</v>
      </c>
      <c r="F699">
        <v>0.2273</v>
      </c>
    </row>
    <row r="700" spans="1:6" x14ac:dyDescent="0.3">
      <c r="A700">
        <v>2</v>
      </c>
      <c r="B700">
        <v>2</v>
      </c>
      <c r="C700" t="b">
        <v>0</v>
      </c>
      <c r="D700">
        <v>2</v>
      </c>
      <c r="E700">
        <v>0.18</v>
      </c>
      <c r="F700">
        <v>0.2424</v>
      </c>
    </row>
    <row r="701" spans="1:6" x14ac:dyDescent="0.3">
      <c r="A701">
        <v>2</v>
      </c>
      <c r="B701">
        <v>2</v>
      </c>
      <c r="C701" t="b">
        <v>0</v>
      </c>
      <c r="D701">
        <v>2</v>
      </c>
      <c r="E701">
        <v>0.2</v>
      </c>
      <c r="F701">
        <v>0.2576</v>
      </c>
    </row>
    <row r="702" spans="1:6" x14ac:dyDescent="0.3">
      <c r="A702">
        <v>2</v>
      </c>
      <c r="B702">
        <v>2</v>
      </c>
      <c r="C702" t="b">
        <v>0</v>
      </c>
      <c r="D702">
        <v>2</v>
      </c>
      <c r="E702">
        <v>0.2</v>
      </c>
      <c r="F702">
        <v>0.2576</v>
      </c>
    </row>
    <row r="703" spans="1:6" x14ac:dyDescent="0.3">
      <c r="A703">
        <v>2</v>
      </c>
      <c r="B703">
        <v>2</v>
      </c>
      <c r="C703" t="b">
        <v>0</v>
      </c>
      <c r="D703">
        <v>2</v>
      </c>
      <c r="E703">
        <v>0.22</v>
      </c>
      <c r="F703">
        <v>0.2576</v>
      </c>
    </row>
    <row r="704" spans="1:6" x14ac:dyDescent="0.3">
      <c r="A704">
        <v>2</v>
      </c>
      <c r="B704">
        <v>2</v>
      </c>
      <c r="C704" t="b">
        <v>0</v>
      </c>
      <c r="D704">
        <v>2</v>
      </c>
      <c r="E704">
        <v>0.24</v>
      </c>
      <c r="F704">
        <v>0.28789999999999999</v>
      </c>
    </row>
    <row r="705" spans="1:6" x14ac:dyDescent="0.3">
      <c r="A705">
        <v>2</v>
      </c>
      <c r="B705">
        <v>2</v>
      </c>
      <c r="C705" t="b">
        <v>0</v>
      </c>
      <c r="D705">
        <v>2</v>
      </c>
      <c r="E705">
        <v>0.24</v>
      </c>
      <c r="F705">
        <v>0.2424</v>
      </c>
    </row>
    <row r="706" spans="1:6" x14ac:dyDescent="0.3">
      <c r="A706">
        <v>2</v>
      </c>
      <c r="B706">
        <v>2</v>
      </c>
      <c r="C706" t="b">
        <v>0</v>
      </c>
      <c r="D706">
        <v>2</v>
      </c>
      <c r="E706">
        <v>0.24</v>
      </c>
      <c r="F706">
        <v>0.28789999999999999</v>
      </c>
    </row>
    <row r="707" spans="1:6" x14ac:dyDescent="0.3">
      <c r="A707">
        <v>2</v>
      </c>
      <c r="B707">
        <v>2</v>
      </c>
      <c r="C707" t="b">
        <v>0</v>
      </c>
      <c r="D707">
        <v>2</v>
      </c>
      <c r="E707">
        <v>0.24</v>
      </c>
      <c r="F707">
        <v>0.2576</v>
      </c>
    </row>
    <row r="708" spans="1:6" x14ac:dyDescent="0.3">
      <c r="A708">
        <v>2</v>
      </c>
      <c r="B708">
        <v>2</v>
      </c>
      <c r="C708" t="b">
        <v>0</v>
      </c>
      <c r="D708">
        <v>2</v>
      </c>
      <c r="E708">
        <v>0.24</v>
      </c>
      <c r="F708">
        <v>0.2424</v>
      </c>
    </row>
    <row r="709" spans="1:6" x14ac:dyDescent="0.3">
      <c r="A709">
        <v>2</v>
      </c>
      <c r="B709">
        <v>2</v>
      </c>
      <c r="C709" t="b">
        <v>0</v>
      </c>
      <c r="D709">
        <v>2</v>
      </c>
      <c r="E709">
        <v>0.22</v>
      </c>
      <c r="F709">
        <v>0.2273</v>
      </c>
    </row>
    <row r="710" spans="1:6" x14ac:dyDescent="0.3">
      <c r="A710">
        <v>2</v>
      </c>
      <c r="B710">
        <v>2</v>
      </c>
      <c r="C710" t="b">
        <v>0</v>
      </c>
      <c r="D710">
        <v>2</v>
      </c>
      <c r="E710">
        <v>0.22</v>
      </c>
      <c r="F710">
        <v>0.2273</v>
      </c>
    </row>
    <row r="711" spans="1:6" x14ac:dyDescent="0.3">
      <c r="A711">
        <v>2</v>
      </c>
      <c r="B711">
        <v>2</v>
      </c>
      <c r="C711" t="b">
        <v>0</v>
      </c>
      <c r="D711">
        <v>2</v>
      </c>
      <c r="E711">
        <v>0.22</v>
      </c>
      <c r="F711">
        <v>0.2576</v>
      </c>
    </row>
    <row r="712" spans="1:6" x14ac:dyDescent="0.3">
      <c r="A712">
        <v>2</v>
      </c>
      <c r="B712">
        <v>2</v>
      </c>
      <c r="C712" t="b">
        <v>0</v>
      </c>
      <c r="D712">
        <v>3</v>
      </c>
      <c r="E712">
        <v>0.2</v>
      </c>
      <c r="F712">
        <v>0.19700000000000001</v>
      </c>
    </row>
    <row r="713" spans="1:6" x14ac:dyDescent="0.3">
      <c r="A713">
        <v>2</v>
      </c>
      <c r="B713">
        <v>3</v>
      </c>
      <c r="C713" t="b">
        <v>0</v>
      </c>
      <c r="D713">
        <v>3</v>
      </c>
      <c r="E713">
        <v>0.22</v>
      </c>
      <c r="F713">
        <v>0.2424</v>
      </c>
    </row>
    <row r="714" spans="1:6" x14ac:dyDescent="0.3">
      <c r="A714">
        <v>2</v>
      </c>
      <c r="B714">
        <v>3</v>
      </c>
      <c r="C714" t="b">
        <v>0</v>
      </c>
      <c r="D714">
        <v>3</v>
      </c>
      <c r="E714">
        <v>0.22</v>
      </c>
      <c r="F714">
        <v>0.2273</v>
      </c>
    </row>
    <row r="715" spans="1:6" x14ac:dyDescent="0.3">
      <c r="A715">
        <v>2</v>
      </c>
      <c r="B715">
        <v>3</v>
      </c>
      <c r="C715" t="b">
        <v>0</v>
      </c>
      <c r="D715">
        <v>3</v>
      </c>
      <c r="E715">
        <v>0.22</v>
      </c>
      <c r="F715">
        <v>0.2273</v>
      </c>
    </row>
    <row r="716" spans="1:6" x14ac:dyDescent="0.3">
      <c r="A716">
        <v>2</v>
      </c>
      <c r="B716">
        <v>3</v>
      </c>
      <c r="C716" t="b">
        <v>0</v>
      </c>
      <c r="D716">
        <v>3</v>
      </c>
      <c r="E716">
        <v>0.22</v>
      </c>
      <c r="F716">
        <v>0.2273</v>
      </c>
    </row>
    <row r="717" spans="1:6" x14ac:dyDescent="0.3">
      <c r="A717">
        <v>2</v>
      </c>
      <c r="B717">
        <v>3</v>
      </c>
      <c r="C717" t="b">
        <v>0</v>
      </c>
      <c r="D717">
        <v>3</v>
      </c>
      <c r="E717">
        <v>0.22</v>
      </c>
      <c r="F717">
        <v>0.21210000000000001</v>
      </c>
    </row>
    <row r="718" spans="1:6" x14ac:dyDescent="0.3">
      <c r="A718">
        <v>2</v>
      </c>
      <c r="B718">
        <v>3</v>
      </c>
      <c r="C718" t="b">
        <v>0</v>
      </c>
      <c r="D718">
        <v>3</v>
      </c>
      <c r="E718">
        <v>0.22</v>
      </c>
      <c r="F718">
        <v>0.2424</v>
      </c>
    </row>
    <row r="719" spans="1:6" x14ac:dyDescent="0.3">
      <c r="A719">
        <v>2</v>
      </c>
      <c r="B719">
        <v>3</v>
      </c>
      <c r="C719" t="b">
        <v>0</v>
      </c>
      <c r="D719">
        <v>3</v>
      </c>
      <c r="E719">
        <v>0.22</v>
      </c>
      <c r="F719">
        <v>0.2424</v>
      </c>
    </row>
    <row r="720" spans="1:6" x14ac:dyDescent="0.3">
      <c r="A720">
        <v>2</v>
      </c>
      <c r="B720">
        <v>3</v>
      </c>
      <c r="C720" t="b">
        <v>0</v>
      </c>
      <c r="D720">
        <v>3</v>
      </c>
      <c r="E720">
        <v>0.22</v>
      </c>
      <c r="F720">
        <v>0.21210000000000001</v>
      </c>
    </row>
    <row r="721" spans="1:6" x14ac:dyDescent="0.3">
      <c r="A721">
        <v>2</v>
      </c>
      <c r="B721">
        <v>3</v>
      </c>
      <c r="C721" t="b">
        <v>0</v>
      </c>
      <c r="D721">
        <v>3</v>
      </c>
      <c r="E721">
        <v>0.22</v>
      </c>
      <c r="F721">
        <v>0.21210000000000001</v>
      </c>
    </row>
    <row r="722" spans="1:6" x14ac:dyDescent="0.3">
      <c r="A722">
        <v>2</v>
      </c>
      <c r="B722">
        <v>3</v>
      </c>
      <c r="C722" t="b">
        <v>0</v>
      </c>
      <c r="D722">
        <v>2</v>
      </c>
      <c r="E722">
        <v>0.24</v>
      </c>
      <c r="F722">
        <v>0.2576</v>
      </c>
    </row>
    <row r="723" spans="1:6" x14ac:dyDescent="0.3">
      <c r="A723">
        <v>2</v>
      </c>
      <c r="B723">
        <v>3</v>
      </c>
      <c r="C723" t="b">
        <v>0</v>
      </c>
      <c r="D723">
        <v>2</v>
      </c>
      <c r="E723">
        <v>0.22</v>
      </c>
      <c r="F723">
        <v>0.2727</v>
      </c>
    </row>
    <row r="724" spans="1:6" x14ac:dyDescent="0.3">
      <c r="A724">
        <v>2</v>
      </c>
      <c r="B724">
        <v>3</v>
      </c>
      <c r="C724" t="b">
        <v>0</v>
      </c>
      <c r="D724">
        <v>2</v>
      </c>
      <c r="E724">
        <v>0.24</v>
      </c>
      <c r="F724">
        <v>0.2273</v>
      </c>
    </row>
    <row r="725" spans="1:6" x14ac:dyDescent="0.3">
      <c r="A725">
        <v>2</v>
      </c>
      <c r="B725">
        <v>3</v>
      </c>
      <c r="C725" t="b">
        <v>0</v>
      </c>
      <c r="D725">
        <v>2</v>
      </c>
      <c r="E725">
        <v>0.24</v>
      </c>
      <c r="F725">
        <v>0.2273</v>
      </c>
    </row>
    <row r="726" spans="1:6" x14ac:dyDescent="0.3">
      <c r="A726">
        <v>2</v>
      </c>
      <c r="B726">
        <v>3</v>
      </c>
      <c r="C726" t="b">
        <v>0</v>
      </c>
      <c r="D726">
        <v>1</v>
      </c>
      <c r="E726">
        <v>0.34</v>
      </c>
      <c r="F726">
        <v>0.33329999999999999</v>
      </c>
    </row>
    <row r="727" spans="1:6" x14ac:dyDescent="0.3">
      <c r="A727">
        <v>2</v>
      </c>
      <c r="B727">
        <v>3</v>
      </c>
      <c r="C727" t="b">
        <v>0</v>
      </c>
      <c r="D727">
        <v>1</v>
      </c>
      <c r="E727">
        <v>0.38</v>
      </c>
      <c r="F727">
        <v>0.39389999999999997</v>
      </c>
    </row>
    <row r="728" spans="1:6" x14ac:dyDescent="0.3">
      <c r="A728">
        <v>2</v>
      </c>
      <c r="B728">
        <v>3</v>
      </c>
      <c r="C728" t="b">
        <v>0</v>
      </c>
      <c r="D728">
        <v>1</v>
      </c>
      <c r="E728">
        <v>0.38</v>
      </c>
      <c r="F728">
        <v>0.39389999999999997</v>
      </c>
    </row>
    <row r="729" spans="1:6" x14ac:dyDescent="0.3">
      <c r="A729">
        <v>2</v>
      </c>
      <c r="B729">
        <v>3</v>
      </c>
      <c r="C729" t="b">
        <v>0</v>
      </c>
      <c r="D729">
        <v>1</v>
      </c>
      <c r="E729">
        <v>0.36</v>
      </c>
      <c r="F729">
        <v>0.33329999999999999</v>
      </c>
    </row>
    <row r="730" spans="1:6" x14ac:dyDescent="0.3">
      <c r="A730">
        <v>2</v>
      </c>
      <c r="B730">
        <v>3</v>
      </c>
      <c r="C730" t="b">
        <v>0</v>
      </c>
      <c r="D730">
        <v>1</v>
      </c>
      <c r="E730">
        <v>0.36</v>
      </c>
      <c r="F730">
        <v>0.31819999999999998</v>
      </c>
    </row>
    <row r="731" spans="1:6" x14ac:dyDescent="0.3">
      <c r="A731">
        <v>2</v>
      </c>
      <c r="B731">
        <v>3</v>
      </c>
      <c r="C731" t="b">
        <v>0</v>
      </c>
      <c r="D731">
        <v>1</v>
      </c>
      <c r="E731">
        <v>0.34</v>
      </c>
      <c r="F731">
        <v>0.28789999999999999</v>
      </c>
    </row>
    <row r="732" spans="1:6" x14ac:dyDescent="0.3">
      <c r="A732">
        <v>2</v>
      </c>
      <c r="B732">
        <v>3</v>
      </c>
      <c r="C732" t="b">
        <v>0</v>
      </c>
      <c r="D732">
        <v>1</v>
      </c>
      <c r="E732">
        <v>0.28000000000000003</v>
      </c>
      <c r="F732">
        <v>0.2424</v>
      </c>
    </row>
    <row r="733" spans="1:6" x14ac:dyDescent="0.3">
      <c r="A733">
        <v>2</v>
      </c>
      <c r="B733">
        <v>3</v>
      </c>
      <c r="C733" t="b">
        <v>0</v>
      </c>
      <c r="D733">
        <v>1</v>
      </c>
      <c r="E733">
        <v>0.24</v>
      </c>
      <c r="F733">
        <v>0.19700000000000001</v>
      </c>
    </row>
    <row r="734" spans="1:6" x14ac:dyDescent="0.3">
      <c r="A734">
        <v>2</v>
      </c>
      <c r="B734">
        <v>3</v>
      </c>
      <c r="C734" t="b">
        <v>0</v>
      </c>
      <c r="D734">
        <v>1</v>
      </c>
      <c r="E734">
        <v>0.22</v>
      </c>
      <c r="F734">
        <v>0.19700000000000001</v>
      </c>
    </row>
    <row r="735" spans="1:6" x14ac:dyDescent="0.3">
      <c r="A735">
        <v>2</v>
      </c>
      <c r="B735">
        <v>3</v>
      </c>
      <c r="C735" t="b">
        <v>0</v>
      </c>
      <c r="D735">
        <v>1</v>
      </c>
      <c r="E735">
        <v>0.22</v>
      </c>
      <c r="F735">
        <v>0.21210000000000001</v>
      </c>
    </row>
    <row r="736" spans="1:6" x14ac:dyDescent="0.3">
      <c r="A736">
        <v>2</v>
      </c>
      <c r="B736">
        <v>3</v>
      </c>
      <c r="C736" t="b">
        <v>0</v>
      </c>
      <c r="D736">
        <v>1</v>
      </c>
      <c r="E736">
        <v>0.2</v>
      </c>
      <c r="F736">
        <v>0.16669999999999999</v>
      </c>
    </row>
    <row r="737" spans="1:6" x14ac:dyDescent="0.3">
      <c r="A737">
        <v>2</v>
      </c>
      <c r="B737">
        <v>4</v>
      </c>
      <c r="C737" t="b">
        <v>0</v>
      </c>
      <c r="D737">
        <v>1</v>
      </c>
      <c r="E737">
        <v>0.2</v>
      </c>
      <c r="F737">
        <v>0.16669999999999999</v>
      </c>
    </row>
    <row r="738" spans="1:6" x14ac:dyDescent="0.3">
      <c r="A738">
        <v>2</v>
      </c>
      <c r="B738">
        <v>4</v>
      </c>
      <c r="C738" t="b">
        <v>0</v>
      </c>
      <c r="D738">
        <v>1</v>
      </c>
      <c r="E738">
        <v>0.2</v>
      </c>
      <c r="F738">
        <v>0.1515</v>
      </c>
    </row>
    <row r="739" spans="1:6" x14ac:dyDescent="0.3">
      <c r="A739">
        <v>2</v>
      </c>
      <c r="B739">
        <v>4</v>
      </c>
      <c r="C739" t="b">
        <v>0</v>
      </c>
      <c r="D739">
        <v>1</v>
      </c>
      <c r="E739">
        <v>0.18</v>
      </c>
      <c r="F739">
        <v>0.16669999999999999</v>
      </c>
    </row>
    <row r="740" spans="1:6" x14ac:dyDescent="0.3">
      <c r="A740">
        <v>2</v>
      </c>
      <c r="B740">
        <v>4</v>
      </c>
      <c r="C740" t="b">
        <v>0</v>
      </c>
      <c r="D740">
        <v>1</v>
      </c>
      <c r="E740">
        <v>0.18</v>
      </c>
      <c r="F740">
        <v>0.16669999999999999</v>
      </c>
    </row>
    <row r="741" spans="1:6" x14ac:dyDescent="0.3">
      <c r="A741">
        <v>2</v>
      </c>
      <c r="B741">
        <v>4</v>
      </c>
      <c r="C741" t="b">
        <v>0</v>
      </c>
      <c r="D741">
        <v>1</v>
      </c>
      <c r="E741">
        <v>0.16</v>
      </c>
      <c r="F741">
        <v>0.13639999999999999</v>
      </c>
    </row>
    <row r="742" spans="1:6" x14ac:dyDescent="0.3">
      <c r="A742">
        <v>2</v>
      </c>
      <c r="B742">
        <v>4</v>
      </c>
      <c r="C742" t="b">
        <v>0</v>
      </c>
      <c r="D742">
        <v>1</v>
      </c>
      <c r="E742">
        <v>0.16</v>
      </c>
      <c r="F742">
        <v>0.13639999999999999</v>
      </c>
    </row>
    <row r="743" spans="1:6" x14ac:dyDescent="0.3">
      <c r="A743">
        <v>2</v>
      </c>
      <c r="B743">
        <v>4</v>
      </c>
      <c r="C743" t="b">
        <v>0</v>
      </c>
      <c r="D743">
        <v>1</v>
      </c>
      <c r="E743">
        <v>0.14000000000000001</v>
      </c>
      <c r="F743">
        <v>0.1212</v>
      </c>
    </row>
    <row r="744" spans="1:6" x14ac:dyDescent="0.3">
      <c r="A744">
        <v>2</v>
      </c>
      <c r="B744">
        <v>4</v>
      </c>
      <c r="C744" t="b">
        <v>0</v>
      </c>
      <c r="D744">
        <v>1</v>
      </c>
      <c r="E744">
        <v>0.14000000000000001</v>
      </c>
      <c r="F744">
        <v>0.1212</v>
      </c>
    </row>
    <row r="745" spans="1:6" x14ac:dyDescent="0.3">
      <c r="A745">
        <v>2</v>
      </c>
      <c r="B745">
        <v>4</v>
      </c>
      <c r="C745" t="b">
        <v>0</v>
      </c>
      <c r="D745">
        <v>1</v>
      </c>
      <c r="E745">
        <v>0.16</v>
      </c>
      <c r="F745">
        <v>0.13639999999999999</v>
      </c>
    </row>
    <row r="746" spans="1:6" x14ac:dyDescent="0.3">
      <c r="A746">
        <v>2</v>
      </c>
      <c r="B746">
        <v>4</v>
      </c>
      <c r="C746" t="b">
        <v>0</v>
      </c>
      <c r="D746">
        <v>1</v>
      </c>
      <c r="E746">
        <v>0.18</v>
      </c>
      <c r="F746">
        <v>0.1515</v>
      </c>
    </row>
    <row r="747" spans="1:6" x14ac:dyDescent="0.3">
      <c r="A747">
        <v>2</v>
      </c>
      <c r="B747">
        <v>4</v>
      </c>
      <c r="C747" t="b">
        <v>0</v>
      </c>
      <c r="D747">
        <v>1</v>
      </c>
      <c r="E747">
        <v>0.18</v>
      </c>
      <c r="F747">
        <v>0.13639999999999999</v>
      </c>
    </row>
    <row r="748" spans="1:6" x14ac:dyDescent="0.3">
      <c r="A748">
        <v>2</v>
      </c>
      <c r="B748">
        <v>4</v>
      </c>
      <c r="C748" t="b">
        <v>0</v>
      </c>
      <c r="D748">
        <v>1</v>
      </c>
      <c r="E748">
        <v>0.2</v>
      </c>
      <c r="F748">
        <v>0.18179999999999999</v>
      </c>
    </row>
    <row r="749" spans="1:6" x14ac:dyDescent="0.3">
      <c r="A749">
        <v>2</v>
      </c>
      <c r="B749">
        <v>4</v>
      </c>
      <c r="C749" t="b">
        <v>0</v>
      </c>
      <c r="D749">
        <v>1</v>
      </c>
      <c r="E749">
        <v>0.2</v>
      </c>
      <c r="F749">
        <v>0.16669999999999999</v>
      </c>
    </row>
    <row r="750" spans="1:6" x14ac:dyDescent="0.3">
      <c r="A750">
        <v>2</v>
      </c>
      <c r="B750">
        <v>4</v>
      </c>
      <c r="C750" t="b">
        <v>0</v>
      </c>
      <c r="D750">
        <v>1</v>
      </c>
      <c r="E750">
        <v>0.22</v>
      </c>
      <c r="F750">
        <v>0.19700000000000001</v>
      </c>
    </row>
    <row r="751" spans="1:6" x14ac:dyDescent="0.3">
      <c r="A751">
        <v>2</v>
      </c>
      <c r="B751">
        <v>4</v>
      </c>
      <c r="C751" t="b">
        <v>0</v>
      </c>
      <c r="D751">
        <v>1</v>
      </c>
      <c r="E751">
        <v>0.22</v>
      </c>
      <c r="F751">
        <v>0.19700000000000001</v>
      </c>
    </row>
    <row r="752" spans="1:6" x14ac:dyDescent="0.3">
      <c r="A752">
        <v>2</v>
      </c>
      <c r="B752">
        <v>4</v>
      </c>
      <c r="C752" t="b">
        <v>0</v>
      </c>
      <c r="D752">
        <v>1</v>
      </c>
      <c r="E752">
        <v>0.22</v>
      </c>
      <c r="F752">
        <v>0.21210000000000001</v>
      </c>
    </row>
    <row r="753" spans="1:6" x14ac:dyDescent="0.3">
      <c r="A753">
        <v>2</v>
      </c>
      <c r="B753">
        <v>4</v>
      </c>
      <c r="C753" t="b">
        <v>0</v>
      </c>
      <c r="D753">
        <v>1</v>
      </c>
      <c r="E753">
        <v>0.2</v>
      </c>
      <c r="F753">
        <v>0.19700000000000001</v>
      </c>
    </row>
    <row r="754" spans="1:6" x14ac:dyDescent="0.3">
      <c r="A754">
        <v>2</v>
      </c>
      <c r="B754">
        <v>4</v>
      </c>
      <c r="C754" t="b">
        <v>0</v>
      </c>
      <c r="D754">
        <v>1</v>
      </c>
      <c r="E754">
        <v>0.2</v>
      </c>
      <c r="F754">
        <v>0.21210000000000001</v>
      </c>
    </row>
    <row r="755" spans="1:6" x14ac:dyDescent="0.3">
      <c r="A755">
        <v>2</v>
      </c>
      <c r="B755">
        <v>4</v>
      </c>
      <c r="C755" t="b">
        <v>0</v>
      </c>
      <c r="D755">
        <v>1</v>
      </c>
      <c r="E755">
        <v>0.2</v>
      </c>
      <c r="F755">
        <v>0.2576</v>
      </c>
    </row>
    <row r="756" spans="1:6" x14ac:dyDescent="0.3">
      <c r="A756">
        <v>2</v>
      </c>
      <c r="B756">
        <v>4</v>
      </c>
      <c r="C756" t="b">
        <v>0</v>
      </c>
      <c r="D756">
        <v>1</v>
      </c>
      <c r="E756">
        <v>0.2</v>
      </c>
      <c r="F756">
        <v>0.2273</v>
      </c>
    </row>
    <row r="757" spans="1:6" x14ac:dyDescent="0.3">
      <c r="A757">
        <v>2</v>
      </c>
      <c r="B757">
        <v>4</v>
      </c>
      <c r="C757" t="b">
        <v>0</v>
      </c>
      <c r="D757">
        <v>1</v>
      </c>
      <c r="E757">
        <v>0.18</v>
      </c>
      <c r="F757">
        <v>0.21210000000000001</v>
      </c>
    </row>
    <row r="758" spans="1:6" x14ac:dyDescent="0.3">
      <c r="A758">
        <v>2</v>
      </c>
      <c r="B758">
        <v>4</v>
      </c>
      <c r="C758" t="b">
        <v>0</v>
      </c>
      <c r="D758">
        <v>1</v>
      </c>
      <c r="E758">
        <v>0.18</v>
      </c>
      <c r="F758">
        <v>0.21210000000000001</v>
      </c>
    </row>
    <row r="759" spans="1:6" x14ac:dyDescent="0.3">
      <c r="A759">
        <v>2</v>
      </c>
      <c r="B759">
        <v>4</v>
      </c>
      <c r="C759" t="b">
        <v>0</v>
      </c>
      <c r="D759">
        <v>1</v>
      </c>
      <c r="E759">
        <v>0.2</v>
      </c>
      <c r="F759">
        <v>0.2273</v>
      </c>
    </row>
    <row r="760" spans="1:6" x14ac:dyDescent="0.3">
      <c r="A760">
        <v>2</v>
      </c>
      <c r="B760">
        <v>5</v>
      </c>
      <c r="C760" t="b">
        <v>0</v>
      </c>
      <c r="D760">
        <v>2</v>
      </c>
      <c r="E760">
        <v>0.2</v>
      </c>
      <c r="F760">
        <v>0.2576</v>
      </c>
    </row>
    <row r="761" spans="1:6" x14ac:dyDescent="0.3">
      <c r="A761">
        <v>2</v>
      </c>
      <c r="B761">
        <v>5</v>
      </c>
      <c r="C761" t="b">
        <v>0</v>
      </c>
      <c r="D761">
        <v>2</v>
      </c>
      <c r="E761">
        <v>0.16</v>
      </c>
      <c r="F761">
        <v>0.2273</v>
      </c>
    </row>
    <row r="762" spans="1:6" x14ac:dyDescent="0.3">
      <c r="A762">
        <v>2</v>
      </c>
      <c r="B762">
        <v>5</v>
      </c>
      <c r="C762" t="b">
        <v>0</v>
      </c>
      <c r="D762">
        <v>2</v>
      </c>
      <c r="E762">
        <v>0.14000000000000001</v>
      </c>
      <c r="F762">
        <v>0.16669999999999999</v>
      </c>
    </row>
    <row r="763" spans="1:6" x14ac:dyDescent="0.3">
      <c r="A763">
        <v>2</v>
      </c>
      <c r="B763">
        <v>5</v>
      </c>
      <c r="C763" t="b">
        <v>0</v>
      </c>
      <c r="D763">
        <v>2</v>
      </c>
      <c r="E763">
        <v>0.14000000000000001</v>
      </c>
      <c r="F763">
        <v>0.16669999999999999</v>
      </c>
    </row>
    <row r="764" spans="1:6" x14ac:dyDescent="0.3">
      <c r="A764">
        <v>2</v>
      </c>
      <c r="B764">
        <v>5</v>
      </c>
      <c r="C764" t="b">
        <v>0</v>
      </c>
      <c r="D764">
        <v>2</v>
      </c>
      <c r="E764">
        <v>0.14000000000000001</v>
      </c>
      <c r="F764">
        <v>0.1515</v>
      </c>
    </row>
    <row r="765" spans="1:6" x14ac:dyDescent="0.3">
      <c r="A765">
        <v>2</v>
      </c>
      <c r="B765">
        <v>5</v>
      </c>
      <c r="C765" t="b">
        <v>0</v>
      </c>
      <c r="D765">
        <v>2</v>
      </c>
      <c r="E765">
        <v>0.16</v>
      </c>
      <c r="F765">
        <v>0.2273</v>
      </c>
    </row>
    <row r="766" spans="1:6" x14ac:dyDescent="0.3">
      <c r="A766">
        <v>2</v>
      </c>
      <c r="B766">
        <v>5</v>
      </c>
      <c r="C766" t="b">
        <v>0</v>
      </c>
      <c r="D766">
        <v>1</v>
      </c>
      <c r="E766">
        <v>0.14000000000000001</v>
      </c>
      <c r="F766">
        <v>0.21210000000000001</v>
      </c>
    </row>
    <row r="767" spans="1:6" x14ac:dyDescent="0.3">
      <c r="A767">
        <v>2</v>
      </c>
      <c r="B767">
        <v>5</v>
      </c>
      <c r="C767" t="b">
        <v>0</v>
      </c>
      <c r="D767">
        <v>1</v>
      </c>
      <c r="E767">
        <v>0.14000000000000001</v>
      </c>
      <c r="F767">
        <v>0.1515</v>
      </c>
    </row>
    <row r="768" spans="1:6" x14ac:dyDescent="0.3">
      <c r="A768">
        <v>2</v>
      </c>
      <c r="B768">
        <v>5</v>
      </c>
      <c r="C768" t="b">
        <v>0</v>
      </c>
      <c r="D768">
        <v>2</v>
      </c>
      <c r="E768">
        <v>0.16</v>
      </c>
      <c r="F768">
        <v>0.18179999999999999</v>
      </c>
    </row>
    <row r="769" spans="1:6" x14ac:dyDescent="0.3">
      <c r="A769">
        <v>2</v>
      </c>
      <c r="B769">
        <v>5</v>
      </c>
      <c r="C769" t="b">
        <v>0</v>
      </c>
      <c r="D769">
        <v>2</v>
      </c>
      <c r="E769">
        <v>0.2</v>
      </c>
      <c r="F769">
        <v>0.21210000000000001</v>
      </c>
    </row>
    <row r="770" spans="1:6" x14ac:dyDescent="0.3">
      <c r="A770">
        <v>2</v>
      </c>
      <c r="B770">
        <v>5</v>
      </c>
      <c r="C770" t="b">
        <v>0</v>
      </c>
      <c r="D770">
        <v>1</v>
      </c>
      <c r="E770">
        <v>0.22</v>
      </c>
      <c r="F770">
        <v>0.2273</v>
      </c>
    </row>
    <row r="771" spans="1:6" x14ac:dyDescent="0.3">
      <c r="A771">
        <v>2</v>
      </c>
      <c r="B771">
        <v>5</v>
      </c>
      <c r="C771" t="b">
        <v>0</v>
      </c>
      <c r="D771">
        <v>2</v>
      </c>
      <c r="E771">
        <v>0.24</v>
      </c>
      <c r="F771">
        <v>0.2424</v>
      </c>
    </row>
    <row r="772" spans="1:6" x14ac:dyDescent="0.3">
      <c r="A772">
        <v>2</v>
      </c>
      <c r="B772">
        <v>5</v>
      </c>
      <c r="C772" t="b">
        <v>0</v>
      </c>
      <c r="D772">
        <v>2</v>
      </c>
      <c r="E772">
        <v>0.26</v>
      </c>
      <c r="F772">
        <v>0.2576</v>
      </c>
    </row>
    <row r="773" spans="1:6" x14ac:dyDescent="0.3">
      <c r="A773">
        <v>2</v>
      </c>
      <c r="B773">
        <v>5</v>
      </c>
      <c r="C773" t="b">
        <v>0</v>
      </c>
      <c r="D773">
        <v>2</v>
      </c>
      <c r="E773">
        <v>0.28000000000000003</v>
      </c>
      <c r="F773">
        <v>0.2727</v>
      </c>
    </row>
    <row r="774" spans="1:6" x14ac:dyDescent="0.3">
      <c r="A774">
        <v>2</v>
      </c>
      <c r="B774">
        <v>5</v>
      </c>
      <c r="C774" t="b">
        <v>0</v>
      </c>
      <c r="D774">
        <v>2</v>
      </c>
      <c r="E774">
        <v>0.28000000000000003</v>
      </c>
      <c r="F774">
        <v>0.2727</v>
      </c>
    </row>
    <row r="775" spans="1:6" x14ac:dyDescent="0.3">
      <c r="A775">
        <v>2</v>
      </c>
      <c r="B775">
        <v>5</v>
      </c>
      <c r="C775" t="b">
        <v>0</v>
      </c>
      <c r="D775">
        <v>2</v>
      </c>
      <c r="E775">
        <v>0.3</v>
      </c>
      <c r="F775">
        <v>0.28789999999999999</v>
      </c>
    </row>
    <row r="776" spans="1:6" x14ac:dyDescent="0.3">
      <c r="A776">
        <v>2</v>
      </c>
      <c r="B776">
        <v>5</v>
      </c>
      <c r="C776" t="b">
        <v>0</v>
      </c>
      <c r="D776">
        <v>2</v>
      </c>
      <c r="E776">
        <v>0.26</v>
      </c>
      <c r="F776">
        <v>0.2727</v>
      </c>
    </row>
    <row r="777" spans="1:6" x14ac:dyDescent="0.3">
      <c r="A777">
        <v>2</v>
      </c>
      <c r="B777">
        <v>5</v>
      </c>
      <c r="C777" t="b">
        <v>0</v>
      </c>
      <c r="D777">
        <v>2</v>
      </c>
      <c r="E777">
        <v>0.24</v>
      </c>
      <c r="F777">
        <v>0.2576</v>
      </c>
    </row>
    <row r="778" spans="1:6" x14ac:dyDescent="0.3">
      <c r="A778">
        <v>2</v>
      </c>
      <c r="B778">
        <v>5</v>
      </c>
      <c r="C778" t="b">
        <v>0</v>
      </c>
      <c r="D778">
        <v>2</v>
      </c>
      <c r="E778">
        <v>0.24</v>
      </c>
      <c r="F778">
        <v>0.2424</v>
      </c>
    </row>
    <row r="779" spans="1:6" x14ac:dyDescent="0.3">
      <c r="A779">
        <v>2</v>
      </c>
      <c r="B779">
        <v>5</v>
      </c>
      <c r="C779" t="b">
        <v>0</v>
      </c>
      <c r="D779">
        <v>2</v>
      </c>
      <c r="E779">
        <v>0.24</v>
      </c>
      <c r="F779">
        <v>0.2424</v>
      </c>
    </row>
    <row r="780" spans="1:6" x14ac:dyDescent="0.3">
      <c r="A780">
        <v>2</v>
      </c>
      <c r="B780">
        <v>5</v>
      </c>
      <c r="C780" t="b">
        <v>0</v>
      </c>
      <c r="D780">
        <v>2</v>
      </c>
      <c r="E780">
        <v>0.24</v>
      </c>
      <c r="F780">
        <v>0.2424</v>
      </c>
    </row>
    <row r="781" spans="1:6" x14ac:dyDescent="0.3">
      <c r="A781">
        <v>2</v>
      </c>
      <c r="B781">
        <v>5</v>
      </c>
      <c r="C781" t="b">
        <v>0</v>
      </c>
      <c r="D781">
        <v>2</v>
      </c>
      <c r="E781">
        <v>0.24</v>
      </c>
      <c r="F781">
        <v>0.2424</v>
      </c>
    </row>
    <row r="782" spans="1:6" x14ac:dyDescent="0.3">
      <c r="A782">
        <v>2</v>
      </c>
      <c r="B782">
        <v>5</v>
      </c>
      <c r="C782" t="b">
        <v>0</v>
      </c>
      <c r="D782">
        <v>2</v>
      </c>
      <c r="E782">
        <v>0.24</v>
      </c>
      <c r="F782">
        <v>0.2424</v>
      </c>
    </row>
    <row r="783" spans="1:6" x14ac:dyDescent="0.3">
      <c r="A783">
        <v>2</v>
      </c>
      <c r="B783">
        <v>6</v>
      </c>
      <c r="C783" t="b">
        <v>0</v>
      </c>
      <c r="D783">
        <v>2</v>
      </c>
      <c r="E783">
        <v>0.24</v>
      </c>
      <c r="F783">
        <v>0.2424</v>
      </c>
    </row>
    <row r="784" spans="1:6" x14ac:dyDescent="0.3">
      <c r="A784">
        <v>2</v>
      </c>
      <c r="B784">
        <v>6</v>
      </c>
      <c r="C784" t="b">
        <v>0</v>
      </c>
      <c r="D784">
        <v>2</v>
      </c>
      <c r="E784">
        <v>0.24</v>
      </c>
      <c r="F784">
        <v>0.2424</v>
      </c>
    </row>
    <row r="785" spans="1:6" x14ac:dyDescent="0.3">
      <c r="A785">
        <v>2</v>
      </c>
      <c r="B785">
        <v>6</v>
      </c>
      <c r="C785" t="b">
        <v>0</v>
      </c>
      <c r="D785">
        <v>2</v>
      </c>
      <c r="E785">
        <v>0.24</v>
      </c>
      <c r="F785">
        <v>0.2424</v>
      </c>
    </row>
    <row r="786" spans="1:6" x14ac:dyDescent="0.3">
      <c r="A786">
        <v>2</v>
      </c>
      <c r="B786">
        <v>6</v>
      </c>
      <c r="C786" t="b">
        <v>0</v>
      </c>
      <c r="D786">
        <v>2</v>
      </c>
      <c r="E786">
        <v>0.24</v>
      </c>
      <c r="F786">
        <v>0.2424</v>
      </c>
    </row>
    <row r="787" spans="1:6" x14ac:dyDescent="0.3">
      <c r="A787">
        <v>2</v>
      </c>
      <c r="B787">
        <v>6</v>
      </c>
      <c r="C787" t="b">
        <v>0</v>
      </c>
      <c r="D787">
        <v>3</v>
      </c>
      <c r="E787">
        <v>0.22</v>
      </c>
      <c r="F787">
        <v>0.2273</v>
      </c>
    </row>
    <row r="788" spans="1:6" x14ac:dyDescent="0.3">
      <c r="A788">
        <v>2</v>
      </c>
      <c r="B788">
        <v>6</v>
      </c>
      <c r="C788" t="b">
        <v>0</v>
      </c>
      <c r="D788">
        <v>3</v>
      </c>
      <c r="E788">
        <v>0.2</v>
      </c>
      <c r="F788">
        <v>0.2273</v>
      </c>
    </row>
    <row r="789" spans="1:6" x14ac:dyDescent="0.3">
      <c r="A789">
        <v>2</v>
      </c>
      <c r="B789">
        <v>6</v>
      </c>
      <c r="C789" t="b">
        <v>0</v>
      </c>
      <c r="D789">
        <v>3</v>
      </c>
      <c r="E789">
        <v>0.2</v>
      </c>
      <c r="F789">
        <v>0.2576</v>
      </c>
    </row>
    <row r="790" spans="1:6" x14ac:dyDescent="0.3">
      <c r="A790">
        <v>2</v>
      </c>
      <c r="B790">
        <v>6</v>
      </c>
      <c r="C790" t="b">
        <v>0</v>
      </c>
      <c r="D790">
        <v>3</v>
      </c>
      <c r="E790">
        <v>0.22</v>
      </c>
      <c r="F790">
        <v>0.2576</v>
      </c>
    </row>
    <row r="791" spans="1:6" x14ac:dyDescent="0.3">
      <c r="A791">
        <v>2</v>
      </c>
      <c r="B791">
        <v>6</v>
      </c>
      <c r="C791" t="b">
        <v>0</v>
      </c>
      <c r="D791">
        <v>3</v>
      </c>
      <c r="E791">
        <v>0.2</v>
      </c>
      <c r="F791">
        <v>0.2273</v>
      </c>
    </row>
    <row r="792" spans="1:6" x14ac:dyDescent="0.3">
      <c r="A792">
        <v>2</v>
      </c>
      <c r="B792">
        <v>6</v>
      </c>
      <c r="C792" t="b">
        <v>0</v>
      </c>
      <c r="D792">
        <v>3</v>
      </c>
      <c r="E792">
        <v>0.2</v>
      </c>
      <c r="F792">
        <v>0.2273</v>
      </c>
    </row>
    <row r="793" spans="1:6" x14ac:dyDescent="0.3">
      <c r="A793">
        <v>2</v>
      </c>
      <c r="B793">
        <v>6</v>
      </c>
      <c r="C793" t="b">
        <v>0</v>
      </c>
      <c r="D793">
        <v>3</v>
      </c>
      <c r="E793">
        <v>0.2</v>
      </c>
      <c r="F793">
        <v>0.21210000000000001</v>
      </c>
    </row>
    <row r="794" spans="1:6" x14ac:dyDescent="0.3">
      <c r="A794">
        <v>2</v>
      </c>
      <c r="B794">
        <v>6</v>
      </c>
      <c r="C794" t="b">
        <v>0</v>
      </c>
      <c r="D794">
        <v>3</v>
      </c>
      <c r="E794">
        <v>0.22</v>
      </c>
      <c r="F794">
        <v>0.2273</v>
      </c>
    </row>
    <row r="795" spans="1:6" x14ac:dyDescent="0.3">
      <c r="A795">
        <v>2</v>
      </c>
      <c r="B795">
        <v>6</v>
      </c>
      <c r="C795" t="b">
        <v>0</v>
      </c>
      <c r="D795">
        <v>3</v>
      </c>
      <c r="E795">
        <v>0.22</v>
      </c>
      <c r="F795">
        <v>0.2273</v>
      </c>
    </row>
    <row r="796" spans="1:6" x14ac:dyDescent="0.3">
      <c r="A796">
        <v>2</v>
      </c>
      <c r="B796">
        <v>6</v>
      </c>
      <c r="C796" t="b">
        <v>0</v>
      </c>
      <c r="D796">
        <v>3</v>
      </c>
      <c r="E796">
        <v>0.22</v>
      </c>
      <c r="F796">
        <v>0.2273</v>
      </c>
    </row>
    <row r="797" spans="1:6" x14ac:dyDescent="0.3">
      <c r="A797">
        <v>2</v>
      </c>
      <c r="B797">
        <v>6</v>
      </c>
      <c r="C797" t="b">
        <v>0</v>
      </c>
      <c r="D797">
        <v>3</v>
      </c>
      <c r="E797">
        <v>0.22</v>
      </c>
      <c r="F797">
        <v>0.2727</v>
      </c>
    </row>
    <row r="798" spans="1:6" x14ac:dyDescent="0.3">
      <c r="A798">
        <v>2</v>
      </c>
      <c r="B798">
        <v>6</v>
      </c>
      <c r="C798" t="b">
        <v>0</v>
      </c>
      <c r="D798">
        <v>3</v>
      </c>
      <c r="E798">
        <v>0.22</v>
      </c>
      <c r="F798">
        <v>0.2727</v>
      </c>
    </row>
    <row r="799" spans="1:6" x14ac:dyDescent="0.3">
      <c r="A799">
        <v>2</v>
      </c>
      <c r="B799">
        <v>6</v>
      </c>
      <c r="C799" t="b">
        <v>0</v>
      </c>
      <c r="D799">
        <v>3</v>
      </c>
      <c r="E799">
        <v>0.22</v>
      </c>
      <c r="F799">
        <v>0.2273</v>
      </c>
    </row>
    <row r="800" spans="1:6" x14ac:dyDescent="0.3">
      <c r="A800">
        <v>2</v>
      </c>
      <c r="B800">
        <v>6</v>
      </c>
      <c r="C800" t="b">
        <v>0</v>
      </c>
      <c r="D800">
        <v>2</v>
      </c>
      <c r="E800">
        <v>0.24</v>
      </c>
      <c r="F800">
        <v>0.21210000000000001</v>
      </c>
    </row>
    <row r="801" spans="1:6" x14ac:dyDescent="0.3">
      <c r="A801">
        <v>2</v>
      </c>
      <c r="B801">
        <v>6</v>
      </c>
      <c r="C801" t="b">
        <v>0</v>
      </c>
      <c r="D801">
        <v>2</v>
      </c>
      <c r="E801">
        <v>0.28000000000000003</v>
      </c>
      <c r="F801">
        <v>0.2424</v>
      </c>
    </row>
    <row r="802" spans="1:6" x14ac:dyDescent="0.3">
      <c r="A802">
        <v>2</v>
      </c>
      <c r="B802">
        <v>6</v>
      </c>
      <c r="C802" t="b">
        <v>0</v>
      </c>
      <c r="D802">
        <v>2</v>
      </c>
      <c r="E802">
        <v>0.28000000000000003</v>
      </c>
      <c r="F802">
        <v>0.2424</v>
      </c>
    </row>
    <row r="803" spans="1:6" x14ac:dyDescent="0.3">
      <c r="A803">
        <v>2</v>
      </c>
      <c r="B803">
        <v>6</v>
      </c>
      <c r="C803" t="b">
        <v>0</v>
      </c>
      <c r="D803">
        <v>1</v>
      </c>
      <c r="E803">
        <v>0.3</v>
      </c>
      <c r="F803">
        <v>0.28789999999999999</v>
      </c>
    </row>
    <row r="804" spans="1:6" x14ac:dyDescent="0.3">
      <c r="A804">
        <v>2</v>
      </c>
      <c r="B804">
        <v>6</v>
      </c>
      <c r="C804" t="b">
        <v>0</v>
      </c>
      <c r="D804">
        <v>1</v>
      </c>
      <c r="E804">
        <v>0.26</v>
      </c>
      <c r="F804">
        <v>0.2576</v>
      </c>
    </row>
    <row r="805" spans="1:6" x14ac:dyDescent="0.3">
      <c r="A805">
        <v>2</v>
      </c>
      <c r="B805">
        <v>6</v>
      </c>
      <c r="C805" t="b">
        <v>0</v>
      </c>
      <c r="D805">
        <v>1</v>
      </c>
      <c r="E805">
        <v>0.26</v>
      </c>
      <c r="F805">
        <v>0.2727</v>
      </c>
    </row>
    <row r="806" spans="1:6" x14ac:dyDescent="0.3">
      <c r="A806">
        <v>2</v>
      </c>
      <c r="B806">
        <v>6</v>
      </c>
      <c r="C806" t="b">
        <v>0</v>
      </c>
      <c r="D806">
        <v>1</v>
      </c>
      <c r="E806">
        <v>0.26</v>
      </c>
      <c r="F806">
        <v>0.2576</v>
      </c>
    </row>
    <row r="807" spans="1:6" x14ac:dyDescent="0.3">
      <c r="A807">
        <v>2</v>
      </c>
      <c r="B807">
        <v>0</v>
      </c>
      <c r="C807" t="b">
        <v>0</v>
      </c>
      <c r="D807">
        <v>1</v>
      </c>
      <c r="E807">
        <v>0.26</v>
      </c>
      <c r="F807">
        <v>0.2576</v>
      </c>
    </row>
    <row r="808" spans="1:6" x14ac:dyDescent="0.3">
      <c r="A808">
        <v>2</v>
      </c>
      <c r="B808">
        <v>0</v>
      </c>
      <c r="C808" t="b">
        <v>0</v>
      </c>
      <c r="D808">
        <v>1</v>
      </c>
      <c r="E808">
        <v>0.26</v>
      </c>
      <c r="F808">
        <v>0.2273</v>
      </c>
    </row>
    <row r="809" spans="1:6" x14ac:dyDescent="0.3">
      <c r="A809">
        <v>2</v>
      </c>
      <c r="B809">
        <v>0</v>
      </c>
      <c r="C809" t="b">
        <v>0</v>
      </c>
      <c r="D809">
        <v>1</v>
      </c>
      <c r="E809">
        <v>0.26</v>
      </c>
      <c r="F809">
        <v>0.2273</v>
      </c>
    </row>
    <row r="810" spans="1:6" x14ac:dyDescent="0.3">
      <c r="A810">
        <v>2</v>
      </c>
      <c r="B810">
        <v>0</v>
      </c>
      <c r="C810" t="b">
        <v>0</v>
      </c>
      <c r="D810">
        <v>1</v>
      </c>
      <c r="E810">
        <v>0.26</v>
      </c>
      <c r="F810">
        <v>0.28789999999999999</v>
      </c>
    </row>
    <row r="811" spans="1:6" x14ac:dyDescent="0.3">
      <c r="A811">
        <v>2</v>
      </c>
      <c r="B811">
        <v>0</v>
      </c>
      <c r="C811" t="b">
        <v>0</v>
      </c>
      <c r="D811">
        <v>1</v>
      </c>
      <c r="E811">
        <v>0.26</v>
      </c>
      <c r="F811">
        <v>0.2273</v>
      </c>
    </row>
    <row r="812" spans="1:6" x14ac:dyDescent="0.3">
      <c r="A812">
        <v>2</v>
      </c>
      <c r="B812">
        <v>0</v>
      </c>
      <c r="C812" t="b">
        <v>0</v>
      </c>
      <c r="D812">
        <v>1</v>
      </c>
      <c r="E812">
        <v>0.26</v>
      </c>
      <c r="F812">
        <v>0.2576</v>
      </c>
    </row>
    <row r="813" spans="1:6" x14ac:dyDescent="0.3">
      <c r="A813">
        <v>2</v>
      </c>
      <c r="B813">
        <v>0</v>
      </c>
      <c r="C813" t="b">
        <v>0</v>
      </c>
      <c r="D813">
        <v>1</v>
      </c>
      <c r="E813">
        <v>0.26</v>
      </c>
      <c r="F813">
        <v>0.2576</v>
      </c>
    </row>
    <row r="814" spans="1:6" x14ac:dyDescent="0.3">
      <c r="A814">
        <v>2</v>
      </c>
      <c r="B814">
        <v>0</v>
      </c>
      <c r="C814" t="b">
        <v>0</v>
      </c>
      <c r="D814">
        <v>1</v>
      </c>
      <c r="E814">
        <v>0.24</v>
      </c>
      <c r="F814">
        <v>0.2424</v>
      </c>
    </row>
    <row r="815" spans="1:6" x14ac:dyDescent="0.3">
      <c r="A815">
        <v>2</v>
      </c>
      <c r="B815">
        <v>0</v>
      </c>
      <c r="C815" t="b">
        <v>0</v>
      </c>
      <c r="D815">
        <v>1</v>
      </c>
      <c r="E815">
        <v>0.24</v>
      </c>
      <c r="F815">
        <v>0.2576</v>
      </c>
    </row>
    <row r="816" spans="1:6" x14ac:dyDescent="0.3">
      <c r="A816">
        <v>2</v>
      </c>
      <c r="B816">
        <v>0</v>
      </c>
      <c r="C816" t="b">
        <v>0</v>
      </c>
      <c r="D816">
        <v>1</v>
      </c>
      <c r="E816">
        <v>0.28000000000000003</v>
      </c>
      <c r="F816">
        <v>0.28789999999999999</v>
      </c>
    </row>
    <row r="817" spans="1:6" x14ac:dyDescent="0.3">
      <c r="A817">
        <v>2</v>
      </c>
      <c r="B817">
        <v>0</v>
      </c>
      <c r="C817" t="b">
        <v>0</v>
      </c>
      <c r="D817">
        <v>1</v>
      </c>
      <c r="E817">
        <v>0.3</v>
      </c>
      <c r="F817">
        <v>0.28789999999999999</v>
      </c>
    </row>
    <row r="818" spans="1:6" x14ac:dyDescent="0.3">
      <c r="A818">
        <v>2</v>
      </c>
      <c r="B818">
        <v>0</v>
      </c>
      <c r="C818" t="b">
        <v>0</v>
      </c>
      <c r="D818">
        <v>1</v>
      </c>
      <c r="E818">
        <v>0.32</v>
      </c>
      <c r="F818">
        <v>0.30299999999999999</v>
      </c>
    </row>
    <row r="819" spans="1:6" x14ac:dyDescent="0.3">
      <c r="A819">
        <v>2</v>
      </c>
      <c r="B819">
        <v>0</v>
      </c>
      <c r="C819" t="b">
        <v>0</v>
      </c>
      <c r="D819">
        <v>1</v>
      </c>
      <c r="E819">
        <v>0.34</v>
      </c>
      <c r="F819">
        <v>0.33329999999999999</v>
      </c>
    </row>
    <row r="820" spans="1:6" x14ac:dyDescent="0.3">
      <c r="A820">
        <v>2</v>
      </c>
      <c r="B820">
        <v>0</v>
      </c>
      <c r="C820" t="b">
        <v>0</v>
      </c>
      <c r="D820">
        <v>1</v>
      </c>
      <c r="E820">
        <v>0.34</v>
      </c>
      <c r="F820">
        <v>0.36359999999999998</v>
      </c>
    </row>
    <row r="821" spans="1:6" x14ac:dyDescent="0.3">
      <c r="A821">
        <v>2</v>
      </c>
      <c r="B821">
        <v>0</v>
      </c>
      <c r="C821" t="b">
        <v>0</v>
      </c>
      <c r="D821">
        <v>1</v>
      </c>
      <c r="E821">
        <v>0.34</v>
      </c>
      <c r="F821">
        <v>0.34849999999999998</v>
      </c>
    </row>
    <row r="822" spans="1:6" x14ac:dyDescent="0.3">
      <c r="A822">
        <v>2</v>
      </c>
      <c r="B822">
        <v>0</v>
      </c>
      <c r="C822" t="b">
        <v>0</v>
      </c>
      <c r="D822">
        <v>1</v>
      </c>
      <c r="E822">
        <v>0.34</v>
      </c>
      <c r="F822">
        <v>0.34849999999999998</v>
      </c>
    </row>
    <row r="823" spans="1:6" x14ac:dyDescent="0.3">
      <c r="A823">
        <v>2</v>
      </c>
      <c r="B823">
        <v>0</v>
      </c>
      <c r="C823" t="b">
        <v>0</v>
      </c>
      <c r="D823">
        <v>1</v>
      </c>
      <c r="E823">
        <v>0.34</v>
      </c>
      <c r="F823">
        <v>0.34849999999999998</v>
      </c>
    </row>
    <row r="824" spans="1:6" x14ac:dyDescent="0.3">
      <c r="A824">
        <v>2</v>
      </c>
      <c r="B824">
        <v>0</v>
      </c>
      <c r="C824" t="b">
        <v>0</v>
      </c>
      <c r="D824">
        <v>1</v>
      </c>
      <c r="E824">
        <v>0.34</v>
      </c>
      <c r="F824">
        <v>0.36359999999999998</v>
      </c>
    </row>
    <row r="825" spans="1:6" x14ac:dyDescent="0.3">
      <c r="A825">
        <v>2</v>
      </c>
      <c r="B825">
        <v>0</v>
      </c>
      <c r="C825" t="b">
        <v>0</v>
      </c>
      <c r="D825">
        <v>1</v>
      </c>
      <c r="E825">
        <v>0.3</v>
      </c>
      <c r="F825">
        <v>0.30299999999999999</v>
      </c>
    </row>
    <row r="826" spans="1:6" x14ac:dyDescent="0.3">
      <c r="A826">
        <v>2</v>
      </c>
      <c r="B826">
        <v>0</v>
      </c>
      <c r="C826" t="b">
        <v>0</v>
      </c>
      <c r="D826">
        <v>1</v>
      </c>
      <c r="E826">
        <v>0.28000000000000003</v>
      </c>
      <c r="F826">
        <v>0.28789999999999999</v>
      </c>
    </row>
    <row r="827" spans="1:6" x14ac:dyDescent="0.3">
      <c r="A827">
        <v>2</v>
      </c>
      <c r="B827">
        <v>0</v>
      </c>
      <c r="C827" t="b">
        <v>0</v>
      </c>
      <c r="D827">
        <v>1</v>
      </c>
      <c r="E827">
        <v>0.28000000000000003</v>
      </c>
      <c r="F827">
        <v>0.28789999999999999</v>
      </c>
    </row>
    <row r="828" spans="1:6" x14ac:dyDescent="0.3">
      <c r="A828">
        <v>2</v>
      </c>
      <c r="B828">
        <v>0</v>
      </c>
      <c r="C828" t="b">
        <v>0</v>
      </c>
      <c r="D828">
        <v>1</v>
      </c>
      <c r="E828">
        <v>0.26</v>
      </c>
      <c r="F828">
        <v>0.30299999999999999</v>
      </c>
    </row>
    <row r="829" spans="1:6" x14ac:dyDescent="0.3">
      <c r="A829">
        <v>2</v>
      </c>
      <c r="B829">
        <v>0</v>
      </c>
      <c r="C829" t="b">
        <v>0</v>
      </c>
      <c r="D829">
        <v>1</v>
      </c>
      <c r="E829">
        <v>0.26</v>
      </c>
      <c r="F829">
        <v>0.30299999999999999</v>
      </c>
    </row>
    <row r="830" spans="1:6" x14ac:dyDescent="0.3">
      <c r="A830">
        <v>2</v>
      </c>
      <c r="B830">
        <v>0</v>
      </c>
      <c r="C830" t="b">
        <v>0</v>
      </c>
      <c r="D830">
        <v>1</v>
      </c>
      <c r="E830">
        <v>0.24</v>
      </c>
      <c r="F830">
        <v>0.28789999999999999</v>
      </c>
    </row>
    <row r="831" spans="1:6" x14ac:dyDescent="0.3">
      <c r="A831">
        <v>2</v>
      </c>
      <c r="B831">
        <v>1</v>
      </c>
      <c r="C831" t="b">
        <v>0</v>
      </c>
      <c r="D831">
        <v>1</v>
      </c>
      <c r="E831">
        <v>0.24</v>
      </c>
      <c r="F831">
        <v>0.28789999999999999</v>
      </c>
    </row>
    <row r="832" spans="1:6" x14ac:dyDescent="0.3">
      <c r="A832">
        <v>2</v>
      </c>
      <c r="B832">
        <v>1</v>
      </c>
      <c r="C832" t="b">
        <v>0</v>
      </c>
      <c r="D832">
        <v>1</v>
      </c>
      <c r="E832">
        <v>0.22</v>
      </c>
      <c r="F832">
        <v>0.2727</v>
      </c>
    </row>
    <row r="833" spans="1:6" x14ac:dyDescent="0.3">
      <c r="A833">
        <v>2</v>
      </c>
      <c r="B833">
        <v>1</v>
      </c>
      <c r="C833" t="b">
        <v>0</v>
      </c>
      <c r="D833">
        <v>1</v>
      </c>
      <c r="E833">
        <v>0.2</v>
      </c>
      <c r="F833">
        <v>0.2576</v>
      </c>
    </row>
    <row r="834" spans="1:6" x14ac:dyDescent="0.3">
      <c r="A834">
        <v>2</v>
      </c>
      <c r="B834">
        <v>1</v>
      </c>
      <c r="C834" t="b">
        <v>0</v>
      </c>
      <c r="D834">
        <v>1</v>
      </c>
      <c r="E834">
        <v>0.2</v>
      </c>
      <c r="F834">
        <v>0.2576</v>
      </c>
    </row>
    <row r="835" spans="1:6" x14ac:dyDescent="0.3">
      <c r="A835">
        <v>2</v>
      </c>
      <c r="B835">
        <v>1</v>
      </c>
      <c r="C835" t="b">
        <v>0</v>
      </c>
      <c r="D835">
        <v>1</v>
      </c>
      <c r="E835">
        <v>0.2</v>
      </c>
      <c r="F835">
        <v>0.2576</v>
      </c>
    </row>
    <row r="836" spans="1:6" x14ac:dyDescent="0.3">
      <c r="A836">
        <v>2</v>
      </c>
      <c r="B836">
        <v>1</v>
      </c>
      <c r="C836" t="b">
        <v>0</v>
      </c>
      <c r="D836">
        <v>1</v>
      </c>
      <c r="E836">
        <v>0.2</v>
      </c>
      <c r="F836">
        <v>0.2576</v>
      </c>
    </row>
    <row r="837" spans="1:6" x14ac:dyDescent="0.3">
      <c r="A837">
        <v>2</v>
      </c>
      <c r="B837">
        <v>1</v>
      </c>
      <c r="C837" t="b">
        <v>0</v>
      </c>
      <c r="D837">
        <v>1</v>
      </c>
      <c r="E837">
        <v>0.18</v>
      </c>
      <c r="F837">
        <v>0.2424</v>
      </c>
    </row>
    <row r="838" spans="1:6" x14ac:dyDescent="0.3">
      <c r="A838">
        <v>2</v>
      </c>
      <c r="B838">
        <v>1</v>
      </c>
      <c r="C838" t="b">
        <v>0</v>
      </c>
      <c r="D838">
        <v>1</v>
      </c>
      <c r="E838">
        <v>0.18</v>
      </c>
      <c r="F838">
        <v>0.2424</v>
      </c>
    </row>
    <row r="839" spans="1:6" x14ac:dyDescent="0.3">
      <c r="A839">
        <v>2</v>
      </c>
      <c r="B839">
        <v>1</v>
      </c>
      <c r="C839" t="b">
        <v>0</v>
      </c>
      <c r="D839">
        <v>2</v>
      </c>
      <c r="E839">
        <v>0.16</v>
      </c>
      <c r="F839">
        <v>0.2273</v>
      </c>
    </row>
    <row r="840" spans="1:6" x14ac:dyDescent="0.3">
      <c r="A840">
        <v>2</v>
      </c>
      <c r="B840">
        <v>1</v>
      </c>
      <c r="C840" t="b">
        <v>0</v>
      </c>
      <c r="D840">
        <v>1</v>
      </c>
      <c r="E840">
        <v>0.22</v>
      </c>
      <c r="F840">
        <v>0.2727</v>
      </c>
    </row>
    <row r="841" spans="1:6" x14ac:dyDescent="0.3">
      <c r="A841">
        <v>2</v>
      </c>
      <c r="B841">
        <v>1</v>
      </c>
      <c r="C841" t="b">
        <v>0</v>
      </c>
      <c r="D841">
        <v>1</v>
      </c>
      <c r="E841">
        <v>0.24</v>
      </c>
      <c r="F841">
        <v>0.2576</v>
      </c>
    </row>
    <row r="842" spans="1:6" x14ac:dyDescent="0.3">
      <c r="A842">
        <v>2</v>
      </c>
      <c r="B842">
        <v>1</v>
      </c>
      <c r="C842" t="b">
        <v>0</v>
      </c>
      <c r="D842">
        <v>1</v>
      </c>
      <c r="E842">
        <v>0.3</v>
      </c>
      <c r="F842">
        <v>0.31819999999999998</v>
      </c>
    </row>
    <row r="843" spans="1:6" x14ac:dyDescent="0.3">
      <c r="A843">
        <v>2</v>
      </c>
      <c r="B843">
        <v>1</v>
      </c>
      <c r="C843" t="b">
        <v>0</v>
      </c>
      <c r="D843">
        <v>2</v>
      </c>
      <c r="E843">
        <v>0.32</v>
      </c>
      <c r="F843">
        <v>0.34849999999999998</v>
      </c>
    </row>
    <row r="844" spans="1:6" x14ac:dyDescent="0.3">
      <c r="A844">
        <v>2</v>
      </c>
      <c r="B844">
        <v>1</v>
      </c>
      <c r="C844" t="b">
        <v>0</v>
      </c>
      <c r="D844">
        <v>2</v>
      </c>
      <c r="E844">
        <v>0.36</v>
      </c>
      <c r="F844">
        <v>0.36359999999999998</v>
      </c>
    </row>
    <row r="845" spans="1:6" x14ac:dyDescent="0.3">
      <c r="A845">
        <v>2</v>
      </c>
      <c r="B845">
        <v>1</v>
      </c>
      <c r="C845" t="b">
        <v>0</v>
      </c>
      <c r="D845">
        <v>2</v>
      </c>
      <c r="E845">
        <v>0.36</v>
      </c>
      <c r="F845">
        <v>0.36359999999999998</v>
      </c>
    </row>
    <row r="846" spans="1:6" x14ac:dyDescent="0.3">
      <c r="A846">
        <v>2</v>
      </c>
      <c r="B846">
        <v>1</v>
      </c>
      <c r="C846" t="b">
        <v>0</v>
      </c>
      <c r="D846">
        <v>2</v>
      </c>
      <c r="E846">
        <v>0.38</v>
      </c>
      <c r="F846">
        <v>0.39389999999999997</v>
      </c>
    </row>
    <row r="847" spans="1:6" x14ac:dyDescent="0.3">
      <c r="A847">
        <v>2</v>
      </c>
      <c r="B847">
        <v>1</v>
      </c>
      <c r="C847" t="b">
        <v>0</v>
      </c>
      <c r="D847">
        <v>2</v>
      </c>
      <c r="E847">
        <v>0.36</v>
      </c>
      <c r="F847">
        <v>0.34849999999999998</v>
      </c>
    </row>
    <row r="848" spans="1:6" x14ac:dyDescent="0.3">
      <c r="A848">
        <v>2</v>
      </c>
      <c r="B848">
        <v>1</v>
      </c>
      <c r="C848" t="b">
        <v>0</v>
      </c>
      <c r="D848">
        <v>2</v>
      </c>
      <c r="E848">
        <v>0.32</v>
      </c>
      <c r="F848">
        <v>0.31819999999999998</v>
      </c>
    </row>
    <row r="849" spans="1:6" x14ac:dyDescent="0.3">
      <c r="A849">
        <v>2</v>
      </c>
      <c r="B849">
        <v>1</v>
      </c>
      <c r="C849" t="b">
        <v>0</v>
      </c>
      <c r="D849">
        <v>2</v>
      </c>
      <c r="E849">
        <v>0.34</v>
      </c>
      <c r="F849">
        <v>0.33329999999999999</v>
      </c>
    </row>
    <row r="850" spans="1:6" x14ac:dyDescent="0.3">
      <c r="A850">
        <v>2</v>
      </c>
      <c r="B850">
        <v>1</v>
      </c>
      <c r="C850" t="b">
        <v>0</v>
      </c>
      <c r="D850">
        <v>2</v>
      </c>
      <c r="E850">
        <v>0.32</v>
      </c>
      <c r="F850">
        <v>0.34849999999999998</v>
      </c>
    </row>
    <row r="851" spans="1:6" x14ac:dyDescent="0.3">
      <c r="A851">
        <v>2</v>
      </c>
      <c r="B851">
        <v>1</v>
      </c>
      <c r="C851" t="b">
        <v>0</v>
      </c>
      <c r="D851">
        <v>2</v>
      </c>
      <c r="E851">
        <v>0.32</v>
      </c>
      <c r="F851">
        <v>0.33329999999999999</v>
      </c>
    </row>
    <row r="852" spans="1:6" x14ac:dyDescent="0.3">
      <c r="A852">
        <v>2</v>
      </c>
      <c r="B852">
        <v>1</v>
      </c>
      <c r="C852" t="b">
        <v>0</v>
      </c>
      <c r="D852">
        <v>1</v>
      </c>
      <c r="E852">
        <v>0.32</v>
      </c>
      <c r="F852">
        <v>0.34849999999999998</v>
      </c>
    </row>
    <row r="853" spans="1:6" x14ac:dyDescent="0.3">
      <c r="A853">
        <v>2</v>
      </c>
      <c r="B853">
        <v>1</v>
      </c>
      <c r="C853" t="b">
        <v>0</v>
      </c>
      <c r="D853">
        <v>1</v>
      </c>
      <c r="E853">
        <v>0.28000000000000003</v>
      </c>
      <c r="F853">
        <v>0.30299999999999999</v>
      </c>
    </row>
    <row r="854" spans="1:6" x14ac:dyDescent="0.3">
      <c r="A854">
        <v>2</v>
      </c>
      <c r="B854">
        <v>1</v>
      </c>
      <c r="C854" t="b">
        <v>0</v>
      </c>
      <c r="D854">
        <v>2</v>
      </c>
      <c r="E854">
        <v>0.3</v>
      </c>
      <c r="F854">
        <v>0.33329999999999999</v>
      </c>
    </row>
    <row r="855" spans="1:6" x14ac:dyDescent="0.3">
      <c r="A855">
        <v>2</v>
      </c>
      <c r="B855">
        <v>2</v>
      </c>
      <c r="C855" t="b">
        <v>0</v>
      </c>
      <c r="D855">
        <v>2</v>
      </c>
      <c r="E855">
        <v>0.28000000000000003</v>
      </c>
      <c r="F855">
        <v>0.31819999999999998</v>
      </c>
    </row>
    <row r="856" spans="1:6" x14ac:dyDescent="0.3">
      <c r="A856">
        <v>2</v>
      </c>
      <c r="B856">
        <v>2</v>
      </c>
      <c r="C856" t="b">
        <v>0</v>
      </c>
      <c r="D856">
        <v>2</v>
      </c>
      <c r="E856">
        <v>0.28000000000000003</v>
      </c>
      <c r="F856">
        <v>0.31819999999999998</v>
      </c>
    </row>
    <row r="857" spans="1:6" x14ac:dyDescent="0.3">
      <c r="A857">
        <v>2</v>
      </c>
      <c r="B857">
        <v>2</v>
      </c>
      <c r="C857" t="b">
        <v>0</v>
      </c>
      <c r="D857">
        <v>2</v>
      </c>
      <c r="E857">
        <v>0.26</v>
      </c>
      <c r="F857">
        <v>0.2727</v>
      </c>
    </row>
    <row r="858" spans="1:6" x14ac:dyDescent="0.3">
      <c r="A858">
        <v>2</v>
      </c>
      <c r="B858">
        <v>2</v>
      </c>
      <c r="C858" t="b">
        <v>0</v>
      </c>
      <c r="D858">
        <v>3</v>
      </c>
      <c r="E858">
        <v>0.28000000000000003</v>
      </c>
      <c r="F858">
        <v>0.2727</v>
      </c>
    </row>
    <row r="859" spans="1:6" x14ac:dyDescent="0.3">
      <c r="A859">
        <v>2</v>
      </c>
      <c r="B859">
        <v>2</v>
      </c>
      <c r="C859" t="b">
        <v>0</v>
      </c>
      <c r="D859">
        <v>1</v>
      </c>
      <c r="E859">
        <v>0.26</v>
      </c>
      <c r="F859">
        <v>0.2576</v>
      </c>
    </row>
    <row r="860" spans="1:6" x14ac:dyDescent="0.3">
      <c r="A860">
        <v>2</v>
      </c>
      <c r="B860">
        <v>2</v>
      </c>
      <c r="C860" t="b">
        <v>0</v>
      </c>
      <c r="D860">
        <v>1</v>
      </c>
      <c r="E860">
        <v>0.26</v>
      </c>
      <c r="F860">
        <v>0.2273</v>
      </c>
    </row>
    <row r="861" spans="1:6" x14ac:dyDescent="0.3">
      <c r="A861">
        <v>2</v>
      </c>
      <c r="B861">
        <v>2</v>
      </c>
      <c r="C861" t="b">
        <v>0</v>
      </c>
      <c r="D861">
        <v>1</v>
      </c>
      <c r="E861">
        <v>0.26</v>
      </c>
      <c r="F861">
        <v>0.2273</v>
      </c>
    </row>
    <row r="862" spans="1:6" x14ac:dyDescent="0.3">
      <c r="A862">
        <v>2</v>
      </c>
      <c r="B862">
        <v>2</v>
      </c>
      <c r="C862" t="b">
        <v>0</v>
      </c>
      <c r="D862">
        <v>1</v>
      </c>
      <c r="E862">
        <v>0.24</v>
      </c>
      <c r="F862">
        <v>0.19700000000000001</v>
      </c>
    </row>
    <row r="863" spans="1:6" x14ac:dyDescent="0.3">
      <c r="A863">
        <v>2</v>
      </c>
      <c r="B863">
        <v>2</v>
      </c>
      <c r="C863" t="b">
        <v>0</v>
      </c>
      <c r="D863">
        <v>1</v>
      </c>
      <c r="E863">
        <v>0.24</v>
      </c>
      <c r="F863">
        <v>0.19700000000000001</v>
      </c>
    </row>
    <row r="864" spans="1:6" x14ac:dyDescent="0.3">
      <c r="A864">
        <v>2</v>
      </c>
      <c r="B864">
        <v>2</v>
      </c>
      <c r="C864" t="b">
        <v>0</v>
      </c>
      <c r="D864">
        <v>1</v>
      </c>
      <c r="E864">
        <v>0.24</v>
      </c>
      <c r="F864">
        <v>0.19700000000000001</v>
      </c>
    </row>
    <row r="865" spans="1:6" x14ac:dyDescent="0.3">
      <c r="A865">
        <v>2</v>
      </c>
      <c r="B865">
        <v>2</v>
      </c>
      <c r="C865" t="b">
        <v>0</v>
      </c>
      <c r="D865">
        <v>1</v>
      </c>
      <c r="E865">
        <v>0.22</v>
      </c>
      <c r="F865">
        <v>0.18179999999999999</v>
      </c>
    </row>
    <row r="866" spans="1:6" x14ac:dyDescent="0.3">
      <c r="A866">
        <v>2</v>
      </c>
      <c r="B866">
        <v>2</v>
      </c>
      <c r="C866" t="b">
        <v>0</v>
      </c>
      <c r="D866">
        <v>1</v>
      </c>
      <c r="E866">
        <v>0.22</v>
      </c>
      <c r="F866">
        <v>0.18179999999999999</v>
      </c>
    </row>
    <row r="867" spans="1:6" x14ac:dyDescent="0.3">
      <c r="A867">
        <v>2</v>
      </c>
      <c r="B867">
        <v>2</v>
      </c>
      <c r="C867" t="b">
        <v>0</v>
      </c>
      <c r="D867">
        <v>1</v>
      </c>
      <c r="E867">
        <v>0.24</v>
      </c>
      <c r="F867">
        <v>0.19700000000000001</v>
      </c>
    </row>
    <row r="868" spans="1:6" x14ac:dyDescent="0.3">
      <c r="A868">
        <v>2</v>
      </c>
      <c r="B868">
        <v>2</v>
      </c>
      <c r="C868" t="b">
        <v>0</v>
      </c>
      <c r="D868">
        <v>2</v>
      </c>
      <c r="E868">
        <v>0.24</v>
      </c>
      <c r="F868">
        <v>0.19700000000000001</v>
      </c>
    </row>
    <row r="869" spans="1:6" x14ac:dyDescent="0.3">
      <c r="A869">
        <v>2</v>
      </c>
      <c r="B869">
        <v>2</v>
      </c>
      <c r="C869" t="b">
        <v>0</v>
      </c>
      <c r="D869">
        <v>1</v>
      </c>
      <c r="E869">
        <v>0.22</v>
      </c>
      <c r="F869">
        <v>0.19700000000000001</v>
      </c>
    </row>
    <row r="870" spans="1:6" x14ac:dyDescent="0.3">
      <c r="A870">
        <v>2</v>
      </c>
      <c r="B870">
        <v>2</v>
      </c>
      <c r="C870" t="b">
        <v>0</v>
      </c>
      <c r="D870">
        <v>1</v>
      </c>
      <c r="E870">
        <v>0.22</v>
      </c>
      <c r="F870">
        <v>0.19700000000000001</v>
      </c>
    </row>
    <row r="871" spans="1:6" x14ac:dyDescent="0.3">
      <c r="A871">
        <v>2</v>
      </c>
      <c r="B871">
        <v>2</v>
      </c>
      <c r="C871" t="b">
        <v>0</v>
      </c>
      <c r="D871">
        <v>1</v>
      </c>
      <c r="E871">
        <v>0.22</v>
      </c>
      <c r="F871">
        <v>0.18179999999999999</v>
      </c>
    </row>
    <row r="872" spans="1:6" x14ac:dyDescent="0.3">
      <c r="A872">
        <v>2</v>
      </c>
      <c r="B872">
        <v>2</v>
      </c>
      <c r="C872" t="b">
        <v>0</v>
      </c>
      <c r="D872">
        <v>1</v>
      </c>
      <c r="E872">
        <v>0.22</v>
      </c>
      <c r="F872">
        <v>0.18179999999999999</v>
      </c>
    </row>
    <row r="873" spans="1:6" x14ac:dyDescent="0.3">
      <c r="A873">
        <v>2</v>
      </c>
      <c r="B873">
        <v>2</v>
      </c>
      <c r="C873" t="b">
        <v>0</v>
      </c>
      <c r="D873">
        <v>1</v>
      </c>
      <c r="E873">
        <v>0.2</v>
      </c>
      <c r="F873">
        <v>0.18179999999999999</v>
      </c>
    </row>
    <row r="874" spans="1:6" x14ac:dyDescent="0.3">
      <c r="A874">
        <v>2</v>
      </c>
      <c r="B874">
        <v>2</v>
      </c>
      <c r="C874" t="b">
        <v>0</v>
      </c>
      <c r="D874">
        <v>1</v>
      </c>
      <c r="E874">
        <v>0.16</v>
      </c>
      <c r="F874">
        <v>0.1212</v>
      </c>
    </row>
    <row r="875" spans="1:6" x14ac:dyDescent="0.3">
      <c r="A875">
        <v>2</v>
      </c>
      <c r="B875">
        <v>2</v>
      </c>
      <c r="C875" t="b">
        <v>0</v>
      </c>
      <c r="D875">
        <v>1</v>
      </c>
      <c r="E875">
        <v>0.16</v>
      </c>
      <c r="F875">
        <v>0.13639999999999999</v>
      </c>
    </row>
    <row r="876" spans="1:6" x14ac:dyDescent="0.3">
      <c r="A876">
        <v>2</v>
      </c>
      <c r="B876">
        <v>2</v>
      </c>
      <c r="C876" t="b">
        <v>0</v>
      </c>
      <c r="D876">
        <v>1</v>
      </c>
      <c r="E876">
        <v>0.14000000000000001</v>
      </c>
      <c r="F876">
        <v>0.1061</v>
      </c>
    </row>
    <row r="877" spans="1:6" x14ac:dyDescent="0.3">
      <c r="A877">
        <v>2</v>
      </c>
      <c r="B877">
        <v>2</v>
      </c>
      <c r="C877" t="b">
        <v>0</v>
      </c>
      <c r="D877">
        <v>1</v>
      </c>
      <c r="E877">
        <v>0.12</v>
      </c>
      <c r="F877">
        <v>0.1061</v>
      </c>
    </row>
    <row r="878" spans="1:6" x14ac:dyDescent="0.3">
      <c r="A878">
        <v>2</v>
      </c>
      <c r="B878">
        <v>2</v>
      </c>
      <c r="C878" t="b">
        <v>0</v>
      </c>
      <c r="D878">
        <v>1</v>
      </c>
      <c r="E878">
        <v>0.12</v>
      </c>
      <c r="F878">
        <v>0.1061</v>
      </c>
    </row>
    <row r="879" spans="1:6" x14ac:dyDescent="0.3">
      <c r="A879">
        <v>2</v>
      </c>
      <c r="B879">
        <v>3</v>
      </c>
      <c r="C879" t="b">
        <v>0</v>
      </c>
      <c r="D879">
        <v>1</v>
      </c>
      <c r="E879">
        <v>0.1</v>
      </c>
      <c r="F879">
        <v>7.5800000000000006E-2</v>
      </c>
    </row>
    <row r="880" spans="1:6" x14ac:dyDescent="0.3">
      <c r="A880">
        <v>2</v>
      </c>
      <c r="B880">
        <v>3</v>
      </c>
      <c r="C880" t="b">
        <v>0</v>
      </c>
      <c r="D880">
        <v>1</v>
      </c>
      <c r="E880">
        <v>0.1</v>
      </c>
      <c r="F880">
        <v>0.1061</v>
      </c>
    </row>
    <row r="881" spans="1:6" x14ac:dyDescent="0.3">
      <c r="A881">
        <v>2</v>
      </c>
      <c r="B881">
        <v>3</v>
      </c>
      <c r="C881" t="b">
        <v>0</v>
      </c>
      <c r="D881">
        <v>1</v>
      </c>
      <c r="E881">
        <v>0.08</v>
      </c>
      <c r="F881">
        <v>7.5800000000000006E-2</v>
      </c>
    </row>
    <row r="882" spans="1:6" x14ac:dyDescent="0.3">
      <c r="A882">
        <v>2</v>
      </c>
      <c r="B882">
        <v>3</v>
      </c>
      <c r="C882" t="b">
        <v>0</v>
      </c>
      <c r="D882">
        <v>1</v>
      </c>
      <c r="E882">
        <v>0.06</v>
      </c>
      <c r="F882">
        <v>7.5800000000000006E-2</v>
      </c>
    </row>
    <row r="883" spans="1:6" x14ac:dyDescent="0.3">
      <c r="A883">
        <v>2</v>
      </c>
      <c r="B883">
        <v>3</v>
      </c>
      <c r="C883" t="b">
        <v>0</v>
      </c>
      <c r="D883">
        <v>1</v>
      </c>
      <c r="E883">
        <v>0.06</v>
      </c>
      <c r="F883">
        <v>0.1061</v>
      </c>
    </row>
    <row r="884" spans="1:6" x14ac:dyDescent="0.3">
      <c r="A884">
        <v>2</v>
      </c>
      <c r="B884">
        <v>3</v>
      </c>
      <c r="C884" t="b">
        <v>0</v>
      </c>
      <c r="D884">
        <v>1</v>
      </c>
      <c r="E884">
        <v>0.06</v>
      </c>
      <c r="F884">
        <v>0.1515</v>
      </c>
    </row>
    <row r="885" spans="1:6" x14ac:dyDescent="0.3">
      <c r="A885">
        <v>2</v>
      </c>
      <c r="B885">
        <v>3</v>
      </c>
      <c r="C885" t="b">
        <v>0</v>
      </c>
      <c r="D885">
        <v>1</v>
      </c>
      <c r="E885">
        <v>0.06</v>
      </c>
      <c r="F885">
        <v>0.1061</v>
      </c>
    </row>
    <row r="886" spans="1:6" x14ac:dyDescent="0.3">
      <c r="A886">
        <v>2</v>
      </c>
      <c r="B886">
        <v>3</v>
      </c>
      <c r="C886" t="b">
        <v>0</v>
      </c>
      <c r="D886">
        <v>1</v>
      </c>
      <c r="E886">
        <v>0.1</v>
      </c>
      <c r="F886">
        <v>0.13639999999999999</v>
      </c>
    </row>
    <row r="887" spans="1:6" x14ac:dyDescent="0.3">
      <c r="A887">
        <v>2</v>
      </c>
      <c r="B887">
        <v>3</v>
      </c>
      <c r="C887" t="b">
        <v>0</v>
      </c>
      <c r="D887">
        <v>1</v>
      </c>
      <c r="E887">
        <v>0.12</v>
      </c>
      <c r="F887">
        <v>0.13639999999999999</v>
      </c>
    </row>
    <row r="888" spans="1:6" x14ac:dyDescent="0.3">
      <c r="A888">
        <v>2</v>
      </c>
      <c r="B888">
        <v>3</v>
      </c>
      <c r="C888" t="b">
        <v>0</v>
      </c>
      <c r="D888">
        <v>1</v>
      </c>
      <c r="E888">
        <v>0.14000000000000001</v>
      </c>
      <c r="F888">
        <v>0.18179999999999999</v>
      </c>
    </row>
    <row r="889" spans="1:6" x14ac:dyDescent="0.3">
      <c r="A889">
        <v>2</v>
      </c>
      <c r="B889">
        <v>3</v>
      </c>
      <c r="C889" t="b">
        <v>0</v>
      </c>
      <c r="D889">
        <v>2</v>
      </c>
      <c r="E889">
        <v>0.14000000000000001</v>
      </c>
      <c r="F889">
        <v>0.1515</v>
      </c>
    </row>
    <row r="890" spans="1:6" x14ac:dyDescent="0.3">
      <c r="A890">
        <v>2</v>
      </c>
      <c r="B890">
        <v>3</v>
      </c>
      <c r="C890" t="b">
        <v>0</v>
      </c>
      <c r="D890">
        <v>2</v>
      </c>
      <c r="E890">
        <v>0.18</v>
      </c>
      <c r="F890">
        <v>0.18179999999999999</v>
      </c>
    </row>
    <row r="891" spans="1:6" x14ac:dyDescent="0.3">
      <c r="A891">
        <v>2</v>
      </c>
      <c r="B891">
        <v>3</v>
      </c>
      <c r="C891" t="b">
        <v>0</v>
      </c>
      <c r="D891">
        <v>1</v>
      </c>
      <c r="E891">
        <v>0.18</v>
      </c>
      <c r="F891">
        <v>0.16669999999999999</v>
      </c>
    </row>
    <row r="892" spans="1:6" x14ac:dyDescent="0.3">
      <c r="A892">
        <v>2</v>
      </c>
      <c r="B892">
        <v>3</v>
      </c>
      <c r="C892" t="b">
        <v>0</v>
      </c>
      <c r="D892">
        <v>1</v>
      </c>
      <c r="E892">
        <v>0.2</v>
      </c>
      <c r="F892">
        <v>0.18179999999999999</v>
      </c>
    </row>
    <row r="893" spans="1:6" x14ac:dyDescent="0.3">
      <c r="A893">
        <v>2</v>
      </c>
      <c r="B893">
        <v>3</v>
      </c>
      <c r="C893" t="b">
        <v>0</v>
      </c>
      <c r="D893">
        <v>2</v>
      </c>
      <c r="E893">
        <v>0.2</v>
      </c>
      <c r="F893">
        <v>0.18179999999999999</v>
      </c>
    </row>
    <row r="894" spans="1:6" x14ac:dyDescent="0.3">
      <c r="A894">
        <v>2</v>
      </c>
      <c r="B894">
        <v>3</v>
      </c>
      <c r="C894" t="b">
        <v>0</v>
      </c>
      <c r="D894">
        <v>2</v>
      </c>
      <c r="E894">
        <v>0.2</v>
      </c>
      <c r="F894">
        <v>0.19700000000000001</v>
      </c>
    </row>
    <row r="895" spans="1:6" x14ac:dyDescent="0.3">
      <c r="A895">
        <v>2</v>
      </c>
      <c r="B895">
        <v>3</v>
      </c>
      <c r="C895" t="b">
        <v>0</v>
      </c>
      <c r="D895">
        <v>2</v>
      </c>
      <c r="E895">
        <v>0.2</v>
      </c>
      <c r="F895">
        <v>0.19700000000000001</v>
      </c>
    </row>
    <row r="896" spans="1:6" x14ac:dyDescent="0.3">
      <c r="A896">
        <v>2</v>
      </c>
      <c r="B896">
        <v>3</v>
      </c>
      <c r="C896" t="b">
        <v>0</v>
      </c>
      <c r="D896">
        <v>2</v>
      </c>
      <c r="E896">
        <v>0.18</v>
      </c>
      <c r="F896">
        <v>0.16669999999999999</v>
      </c>
    </row>
    <row r="897" spans="1:6" x14ac:dyDescent="0.3">
      <c r="A897">
        <v>2</v>
      </c>
      <c r="B897">
        <v>3</v>
      </c>
      <c r="C897" t="b">
        <v>0</v>
      </c>
      <c r="D897">
        <v>3</v>
      </c>
      <c r="E897">
        <v>0.14000000000000001</v>
      </c>
      <c r="F897">
        <v>0.1212</v>
      </c>
    </row>
    <row r="898" spans="1:6" x14ac:dyDescent="0.3">
      <c r="A898">
        <v>2</v>
      </c>
      <c r="B898">
        <v>3</v>
      </c>
      <c r="C898" t="b">
        <v>0</v>
      </c>
      <c r="D898">
        <v>3</v>
      </c>
      <c r="E898">
        <v>0.14000000000000001</v>
      </c>
      <c r="F898">
        <v>0.1515</v>
      </c>
    </row>
    <row r="899" spans="1:6" x14ac:dyDescent="0.3">
      <c r="A899">
        <v>2</v>
      </c>
      <c r="B899">
        <v>3</v>
      </c>
      <c r="C899" t="b">
        <v>0</v>
      </c>
      <c r="D899">
        <v>2</v>
      </c>
      <c r="E899">
        <v>0.14000000000000001</v>
      </c>
      <c r="F899">
        <v>0.1515</v>
      </c>
    </row>
    <row r="900" spans="1:6" x14ac:dyDescent="0.3">
      <c r="A900">
        <v>2</v>
      </c>
      <c r="B900">
        <v>3</v>
      </c>
      <c r="C900" t="b">
        <v>0</v>
      </c>
      <c r="D900">
        <v>3</v>
      </c>
      <c r="E900">
        <v>0.16</v>
      </c>
      <c r="F900">
        <v>0.16669999999999999</v>
      </c>
    </row>
    <row r="901" spans="1:6" x14ac:dyDescent="0.3">
      <c r="A901">
        <v>2</v>
      </c>
      <c r="B901">
        <v>3</v>
      </c>
      <c r="C901" t="b">
        <v>0</v>
      </c>
      <c r="D901">
        <v>3</v>
      </c>
      <c r="E901">
        <v>0.16</v>
      </c>
      <c r="F901">
        <v>0.1515</v>
      </c>
    </row>
    <row r="902" spans="1:6" x14ac:dyDescent="0.3">
      <c r="A902">
        <v>2</v>
      </c>
      <c r="B902">
        <v>4</v>
      </c>
      <c r="C902" t="b">
        <v>0</v>
      </c>
      <c r="D902">
        <v>3</v>
      </c>
      <c r="E902">
        <v>0.14000000000000001</v>
      </c>
      <c r="F902">
        <v>0.13639999999999999</v>
      </c>
    </row>
    <row r="903" spans="1:6" x14ac:dyDescent="0.3">
      <c r="A903">
        <v>2</v>
      </c>
      <c r="B903">
        <v>4</v>
      </c>
      <c r="C903" t="b">
        <v>0</v>
      </c>
      <c r="D903">
        <v>3</v>
      </c>
      <c r="E903">
        <v>0.14000000000000001</v>
      </c>
      <c r="F903">
        <v>0.1515</v>
      </c>
    </row>
    <row r="904" spans="1:6" x14ac:dyDescent="0.3">
      <c r="A904">
        <v>2</v>
      </c>
      <c r="B904">
        <v>4</v>
      </c>
      <c r="C904" t="b">
        <v>0</v>
      </c>
      <c r="D904">
        <v>3</v>
      </c>
      <c r="E904">
        <v>0.14000000000000001</v>
      </c>
      <c r="F904">
        <v>0.1515</v>
      </c>
    </row>
    <row r="905" spans="1:6" x14ac:dyDescent="0.3">
      <c r="A905">
        <v>2</v>
      </c>
      <c r="B905">
        <v>4</v>
      </c>
      <c r="C905" t="b">
        <v>0</v>
      </c>
      <c r="D905">
        <v>2</v>
      </c>
      <c r="E905">
        <v>0.14000000000000001</v>
      </c>
      <c r="F905">
        <v>0.13639999999999999</v>
      </c>
    </row>
    <row r="906" spans="1:6" x14ac:dyDescent="0.3">
      <c r="A906">
        <v>2</v>
      </c>
      <c r="B906">
        <v>4</v>
      </c>
      <c r="C906" t="b">
        <v>0</v>
      </c>
      <c r="D906">
        <v>2</v>
      </c>
      <c r="E906">
        <v>0.12</v>
      </c>
      <c r="F906">
        <v>0.1212</v>
      </c>
    </row>
    <row r="907" spans="1:6" x14ac:dyDescent="0.3">
      <c r="A907">
        <v>2</v>
      </c>
      <c r="B907">
        <v>4</v>
      </c>
      <c r="C907" t="b">
        <v>0</v>
      </c>
      <c r="D907">
        <v>2</v>
      </c>
      <c r="E907">
        <v>0.12</v>
      </c>
      <c r="F907">
        <v>0.1212</v>
      </c>
    </row>
    <row r="908" spans="1:6" x14ac:dyDescent="0.3">
      <c r="A908">
        <v>2</v>
      </c>
      <c r="B908">
        <v>4</v>
      </c>
      <c r="C908" t="b">
        <v>0</v>
      </c>
      <c r="D908">
        <v>1</v>
      </c>
      <c r="E908">
        <v>0.1</v>
      </c>
      <c r="F908">
        <v>7.5800000000000006E-2</v>
      </c>
    </row>
    <row r="909" spans="1:6" x14ac:dyDescent="0.3">
      <c r="A909">
        <v>2</v>
      </c>
      <c r="B909">
        <v>4</v>
      </c>
      <c r="C909" t="b">
        <v>0</v>
      </c>
      <c r="D909">
        <v>1</v>
      </c>
      <c r="E909">
        <v>0.1</v>
      </c>
      <c r="F909">
        <v>7.5800000000000006E-2</v>
      </c>
    </row>
    <row r="910" spans="1:6" x14ac:dyDescent="0.3">
      <c r="A910">
        <v>2</v>
      </c>
      <c r="B910">
        <v>4</v>
      </c>
      <c r="C910" t="b">
        <v>0</v>
      </c>
      <c r="D910">
        <v>1</v>
      </c>
      <c r="E910">
        <v>0.12</v>
      </c>
      <c r="F910">
        <v>0.1061</v>
      </c>
    </row>
    <row r="911" spans="1:6" x14ac:dyDescent="0.3">
      <c r="A911">
        <v>2</v>
      </c>
      <c r="B911">
        <v>4</v>
      </c>
      <c r="C911" t="b">
        <v>0</v>
      </c>
      <c r="D911">
        <v>1</v>
      </c>
      <c r="E911">
        <v>0.12</v>
      </c>
      <c r="F911">
        <v>0.1061</v>
      </c>
    </row>
    <row r="912" spans="1:6" x14ac:dyDescent="0.3">
      <c r="A912">
        <v>2</v>
      </c>
      <c r="B912">
        <v>4</v>
      </c>
      <c r="C912" t="b">
        <v>0</v>
      </c>
      <c r="D912">
        <v>1</v>
      </c>
      <c r="E912">
        <v>0.14000000000000001</v>
      </c>
      <c r="F912">
        <v>0.1212</v>
      </c>
    </row>
    <row r="913" spans="1:6" x14ac:dyDescent="0.3">
      <c r="A913">
        <v>2</v>
      </c>
      <c r="B913">
        <v>4</v>
      </c>
      <c r="C913" t="b">
        <v>0</v>
      </c>
      <c r="D913">
        <v>1</v>
      </c>
      <c r="E913">
        <v>0.16</v>
      </c>
      <c r="F913">
        <v>0.13639999999999999</v>
      </c>
    </row>
    <row r="914" spans="1:6" x14ac:dyDescent="0.3">
      <c r="A914">
        <v>2</v>
      </c>
      <c r="B914">
        <v>4</v>
      </c>
      <c r="C914" t="b">
        <v>0</v>
      </c>
      <c r="D914">
        <v>1</v>
      </c>
      <c r="E914">
        <v>0.18</v>
      </c>
      <c r="F914">
        <v>0.16669999999999999</v>
      </c>
    </row>
    <row r="915" spans="1:6" x14ac:dyDescent="0.3">
      <c r="A915">
        <v>2</v>
      </c>
      <c r="B915">
        <v>4</v>
      </c>
      <c r="C915" t="b">
        <v>0</v>
      </c>
      <c r="D915">
        <v>1</v>
      </c>
      <c r="E915">
        <v>0.2</v>
      </c>
      <c r="F915">
        <v>0.18179999999999999</v>
      </c>
    </row>
    <row r="916" spans="1:6" x14ac:dyDescent="0.3">
      <c r="A916">
        <v>2</v>
      </c>
      <c r="B916">
        <v>4</v>
      </c>
      <c r="C916" t="b">
        <v>0</v>
      </c>
      <c r="D916">
        <v>1</v>
      </c>
      <c r="E916">
        <v>0.2</v>
      </c>
      <c r="F916">
        <v>0.19700000000000001</v>
      </c>
    </row>
    <row r="917" spans="1:6" x14ac:dyDescent="0.3">
      <c r="A917">
        <v>2</v>
      </c>
      <c r="B917">
        <v>4</v>
      </c>
      <c r="C917" t="b">
        <v>0</v>
      </c>
      <c r="D917">
        <v>1</v>
      </c>
      <c r="E917">
        <v>0.2</v>
      </c>
      <c r="F917">
        <v>0.18179999999999999</v>
      </c>
    </row>
    <row r="918" spans="1:6" x14ac:dyDescent="0.3">
      <c r="A918">
        <v>2</v>
      </c>
      <c r="B918">
        <v>4</v>
      </c>
      <c r="C918" t="b">
        <v>0</v>
      </c>
      <c r="D918">
        <v>1</v>
      </c>
      <c r="E918">
        <v>0.18</v>
      </c>
      <c r="F918">
        <v>0.18179999999999999</v>
      </c>
    </row>
    <row r="919" spans="1:6" x14ac:dyDescent="0.3">
      <c r="A919">
        <v>2</v>
      </c>
      <c r="B919">
        <v>4</v>
      </c>
      <c r="C919" t="b">
        <v>0</v>
      </c>
      <c r="D919">
        <v>1</v>
      </c>
      <c r="E919">
        <v>0.16</v>
      </c>
      <c r="F919">
        <v>0.18179999999999999</v>
      </c>
    </row>
    <row r="920" spans="1:6" x14ac:dyDescent="0.3">
      <c r="A920">
        <v>2</v>
      </c>
      <c r="B920">
        <v>4</v>
      </c>
      <c r="C920" t="b">
        <v>0</v>
      </c>
      <c r="D920">
        <v>1</v>
      </c>
      <c r="E920">
        <v>0.14000000000000001</v>
      </c>
      <c r="F920">
        <v>0.16669999999999999</v>
      </c>
    </row>
    <row r="921" spans="1:6" x14ac:dyDescent="0.3">
      <c r="A921">
        <v>2</v>
      </c>
      <c r="B921">
        <v>4</v>
      </c>
      <c r="C921" t="b">
        <v>0</v>
      </c>
      <c r="D921">
        <v>1</v>
      </c>
      <c r="E921">
        <v>0.14000000000000001</v>
      </c>
      <c r="F921">
        <v>0.18179999999999999</v>
      </c>
    </row>
    <row r="922" spans="1:6" x14ac:dyDescent="0.3">
      <c r="A922">
        <v>2</v>
      </c>
      <c r="B922">
        <v>4</v>
      </c>
      <c r="C922" t="b">
        <v>0</v>
      </c>
      <c r="D922">
        <v>1</v>
      </c>
      <c r="E922">
        <v>0.14000000000000001</v>
      </c>
      <c r="F922">
        <v>0.21210000000000001</v>
      </c>
    </row>
    <row r="923" spans="1:6" x14ac:dyDescent="0.3">
      <c r="A923">
        <v>2</v>
      </c>
      <c r="B923">
        <v>4</v>
      </c>
      <c r="C923" t="b">
        <v>0</v>
      </c>
      <c r="D923">
        <v>1</v>
      </c>
      <c r="E923">
        <v>0.12</v>
      </c>
      <c r="F923">
        <v>0.19700000000000001</v>
      </c>
    </row>
    <row r="924" spans="1:6" x14ac:dyDescent="0.3">
      <c r="A924">
        <v>2</v>
      </c>
      <c r="B924">
        <v>4</v>
      </c>
      <c r="C924" t="b">
        <v>0</v>
      </c>
      <c r="D924">
        <v>1</v>
      </c>
      <c r="E924">
        <v>0.12</v>
      </c>
      <c r="F924">
        <v>0.1515</v>
      </c>
    </row>
    <row r="925" spans="1:6" x14ac:dyDescent="0.3">
      <c r="A925">
        <v>2</v>
      </c>
      <c r="B925">
        <v>5</v>
      </c>
      <c r="C925" t="b">
        <v>0</v>
      </c>
      <c r="D925">
        <v>1</v>
      </c>
      <c r="E925">
        <v>0.1</v>
      </c>
      <c r="F925">
        <v>0.13639999999999999</v>
      </c>
    </row>
    <row r="926" spans="1:6" x14ac:dyDescent="0.3">
      <c r="A926">
        <v>2</v>
      </c>
      <c r="B926">
        <v>5</v>
      </c>
      <c r="C926" t="b">
        <v>0</v>
      </c>
      <c r="D926">
        <v>1</v>
      </c>
      <c r="E926">
        <v>0.1</v>
      </c>
      <c r="F926">
        <v>0.13639999999999999</v>
      </c>
    </row>
    <row r="927" spans="1:6" x14ac:dyDescent="0.3">
      <c r="A927">
        <v>2</v>
      </c>
      <c r="B927">
        <v>5</v>
      </c>
      <c r="C927" t="b">
        <v>0</v>
      </c>
      <c r="D927">
        <v>1</v>
      </c>
      <c r="E927">
        <v>0.1</v>
      </c>
      <c r="F927">
        <v>0.13639999999999999</v>
      </c>
    </row>
    <row r="928" spans="1:6" x14ac:dyDescent="0.3">
      <c r="A928">
        <v>2</v>
      </c>
      <c r="B928">
        <v>5</v>
      </c>
      <c r="C928" t="b">
        <v>0</v>
      </c>
      <c r="D928">
        <v>1</v>
      </c>
      <c r="E928">
        <v>0.08</v>
      </c>
      <c r="F928">
        <v>0.1212</v>
      </c>
    </row>
    <row r="929" spans="1:6" x14ac:dyDescent="0.3">
      <c r="A929">
        <v>2</v>
      </c>
      <c r="B929">
        <v>5</v>
      </c>
      <c r="C929" t="b">
        <v>0</v>
      </c>
      <c r="D929">
        <v>1</v>
      </c>
      <c r="E929">
        <v>0.1</v>
      </c>
      <c r="F929">
        <v>0.18179999999999999</v>
      </c>
    </row>
    <row r="930" spans="1:6" x14ac:dyDescent="0.3">
      <c r="A930">
        <v>2</v>
      </c>
      <c r="B930">
        <v>5</v>
      </c>
      <c r="C930" t="b">
        <v>0</v>
      </c>
      <c r="D930">
        <v>1</v>
      </c>
      <c r="E930">
        <v>0.08</v>
      </c>
      <c r="F930">
        <v>0.16669999999999999</v>
      </c>
    </row>
    <row r="931" spans="1:6" x14ac:dyDescent="0.3">
      <c r="A931">
        <v>2</v>
      </c>
      <c r="B931">
        <v>5</v>
      </c>
      <c r="C931" t="b">
        <v>0</v>
      </c>
      <c r="D931">
        <v>1</v>
      </c>
      <c r="E931">
        <v>0.1</v>
      </c>
      <c r="F931">
        <v>0.1212</v>
      </c>
    </row>
    <row r="932" spans="1:6" x14ac:dyDescent="0.3">
      <c r="A932">
        <v>2</v>
      </c>
      <c r="B932">
        <v>5</v>
      </c>
      <c r="C932" t="b">
        <v>0</v>
      </c>
      <c r="D932">
        <v>1</v>
      </c>
      <c r="E932">
        <v>0.12</v>
      </c>
      <c r="F932">
        <v>0.1212</v>
      </c>
    </row>
    <row r="933" spans="1:6" x14ac:dyDescent="0.3">
      <c r="A933">
        <v>2</v>
      </c>
      <c r="B933">
        <v>5</v>
      </c>
      <c r="C933" t="b">
        <v>0</v>
      </c>
      <c r="D933">
        <v>1</v>
      </c>
      <c r="E933">
        <v>0.14000000000000001</v>
      </c>
      <c r="F933">
        <v>0.13639999999999999</v>
      </c>
    </row>
    <row r="934" spans="1:6" x14ac:dyDescent="0.3">
      <c r="A934">
        <v>2</v>
      </c>
      <c r="B934">
        <v>5</v>
      </c>
      <c r="C934" t="b">
        <v>0</v>
      </c>
      <c r="D934">
        <v>1</v>
      </c>
      <c r="E934">
        <v>0.22</v>
      </c>
      <c r="F934">
        <v>0.2273</v>
      </c>
    </row>
    <row r="935" spans="1:6" x14ac:dyDescent="0.3">
      <c r="A935">
        <v>2</v>
      </c>
      <c r="B935">
        <v>5</v>
      </c>
      <c r="C935" t="b">
        <v>0</v>
      </c>
      <c r="D935">
        <v>1</v>
      </c>
      <c r="E935">
        <v>0.22</v>
      </c>
      <c r="F935">
        <v>0.2273</v>
      </c>
    </row>
    <row r="936" spans="1:6" x14ac:dyDescent="0.3">
      <c r="A936">
        <v>2</v>
      </c>
      <c r="B936">
        <v>5</v>
      </c>
      <c r="C936" t="b">
        <v>0</v>
      </c>
      <c r="D936">
        <v>1</v>
      </c>
      <c r="E936">
        <v>0.24</v>
      </c>
      <c r="F936">
        <v>0.2273</v>
      </c>
    </row>
    <row r="937" spans="1:6" x14ac:dyDescent="0.3">
      <c r="A937">
        <v>2</v>
      </c>
      <c r="B937">
        <v>5</v>
      </c>
      <c r="C937" t="b">
        <v>0</v>
      </c>
      <c r="D937">
        <v>1</v>
      </c>
      <c r="E937">
        <v>0.3</v>
      </c>
      <c r="F937">
        <v>0.28789999999999999</v>
      </c>
    </row>
    <row r="938" spans="1:6" x14ac:dyDescent="0.3">
      <c r="A938">
        <v>2</v>
      </c>
      <c r="B938">
        <v>5</v>
      </c>
      <c r="C938" t="b">
        <v>0</v>
      </c>
      <c r="D938">
        <v>1</v>
      </c>
      <c r="E938">
        <v>0.32</v>
      </c>
      <c r="F938">
        <v>0.31819999999999998</v>
      </c>
    </row>
    <row r="939" spans="1:6" x14ac:dyDescent="0.3">
      <c r="A939">
        <v>2</v>
      </c>
      <c r="B939">
        <v>5</v>
      </c>
      <c r="C939" t="b">
        <v>0</v>
      </c>
      <c r="D939">
        <v>1</v>
      </c>
      <c r="E939">
        <v>0.3</v>
      </c>
      <c r="F939">
        <v>0.28789999999999999</v>
      </c>
    </row>
    <row r="940" spans="1:6" x14ac:dyDescent="0.3">
      <c r="A940">
        <v>2</v>
      </c>
      <c r="B940">
        <v>5</v>
      </c>
      <c r="C940" t="b">
        <v>0</v>
      </c>
      <c r="D940">
        <v>1</v>
      </c>
      <c r="E940">
        <v>0.3</v>
      </c>
      <c r="F940">
        <v>0.33329999999999999</v>
      </c>
    </row>
    <row r="941" spans="1:6" x14ac:dyDescent="0.3">
      <c r="A941">
        <v>2</v>
      </c>
      <c r="B941">
        <v>5</v>
      </c>
      <c r="C941" t="b">
        <v>0</v>
      </c>
      <c r="D941">
        <v>1</v>
      </c>
      <c r="E941">
        <v>0.28000000000000003</v>
      </c>
      <c r="F941">
        <v>0.31819999999999998</v>
      </c>
    </row>
    <row r="942" spans="1:6" x14ac:dyDescent="0.3">
      <c r="A942">
        <v>2</v>
      </c>
      <c r="B942">
        <v>5</v>
      </c>
      <c r="C942" t="b">
        <v>0</v>
      </c>
      <c r="D942">
        <v>1</v>
      </c>
      <c r="E942">
        <v>0.26</v>
      </c>
      <c r="F942">
        <v>0.30299999999999999</v>
      </c>
    </row>
    <row r="943" spans="1:6" x14ac:dyDescent="0.3">
      <c r="A943">
        <v>2</v>
      </c>
      <c r="B943">
        <v>5</v>
      </c>
      <c r="C943" t="b">
        <v>0</v>
      </c>
      <c r="D943">
        <v>1</v>
      </c>
      <c r="E943">
        <v>0.22</v>
      </c>
      <c r="F943">
        <v>0.2273</v>
      </c>
    </row>
    <row r="944" spans="1:6" x14ac:dyDescent="0.3">
      <c r="A944">
        <v>2</v>
      </c>
      <c r="B944">
        <v>5</v>
      </c>
      <c r="C944" t="b">
        <v>0</v>
      </c>
      <c r="D944">
        <v>1</v>
      </c>
      <c r="E944">
        <v>0.2</v>
      </c>
      <c r="F944">
        <v>0.21210000000000001</v>
      </c>
    </row>
    <row r="945" spans="1:6" x14ac:dyDescent="0.3">
      <c r="A945">
        <v>2</v>
      </c>
      <c r="B945">
        <v>5</v>
      </c>
      <c r="C945" t="b">
        <v>0</v>
      </c>
      <c r="D945">
        <v>1</v>
      </c>
      <c r="E945">
        <v>0.2</v>
      </c>
      <c r="F945">
        <v>0.2273</v>
      </c>
    </row>
    <row r="946" spans="1:6" x14ac:dyDescent="0.3">
      <c r="A946">
        <v>2</v>
      </c>
      <c r="B946">
        <v>5</v>
      </c>
      <c r="C946" t="b">
        <v>0</v>
      </c>
      <c r="D946">
        <v>1</v>
      </c>
      <c r="E946">
        <v>0.18</v>
      </c>
      <c r="F946">
        <v>0.2424</v>
      </c>
    </row>
    <row r="947" spans="1:6" x14ac:dyDescent="0.3">
      <c r="A947">
        <v>2</v>
      </c>
      <c r="B947">
        <v>6</v>
      </c>
      <c r="C947" t="b">
        <v>0</v>
      </c>
      <c r="D947">
        <v>1</v>
      </c>
      <c r="E947">
        <v>0.16</v>
      </c>
      <c r="F947">
        <v>0.19700000000000001</v>
      </c>
    </row>
    <row r="948" spans="1:6" x14ac:dyDescent="0.3">
      <c r="A948">
        <v>2</v>
      </c>
      <c r="B948">
        <v>6</v>
      </c>
      <c r="C948" t="b">
        <v>0</v>
      </c>
      <c r="D948">
        <v>1</v>
      </c>
      <c r="E948">
        <v>0.14000000000000001</v>
      </c>
      <c r="F948">
        <v>0.21210000000000001</v>
      </c>
    </row>
    <row r="949" spans="1:6" x14ac:dyDescent="0.3">
      <c r="A949">
        <v>2</v>
      </c>
      <c r="B949">
        <v>6</v>
      </c>
      <c r="C949" t="b">
        <v>0</v>
      </c>
      <c r="D949">
        <v>1</v>
      </c>
      <c r="E949">
        <v>0.14000000000000001</v>
      </c>
      <c r="F949">
        <v>0.21210000000000001</v>
      </c>
    </row>
    <row r="950" spans="1:6" x14ac:dyDescent="0.3">
      <c r="A950">
        <v>2</v>
      </c>
      <c r="B950">
        <v>6</v>
      </c>
      <c r="C950" t="b">
        <v>0</v>
      </c>
      <c r="D950">
        <v>1</v>
      </c>
      <c r="E950">
        <v>0.12</v>
      </c>
      <c r="F950">
        <v>0.19700000000000001</v>
      </c>
    </row>
    <row r="951" spans="1:6" x14ac:dyDescent="0.3">
      <c r="A951">
        <v>2</v>
      </c>
      <c r="B951">
        <v>6</v>
      </c>
      <c r="C951" t="b">
        <v>0</v>
      </c>
      <c r="D951">
        <v>1</v>
      </c>
      <c r="E951">
        <v>0.12</v>
      </c>
      <c r="F951">
        <v>0.16669999999999999</v>
      </c>
    </row>
    <row r="952" spans="1:6" x14ac:dyDescent="0.3">
      <c r="A952">
        <v>2</v>
      </c>
      <c r="B952">
        <v>6</v>
      </c>
      <c r="C952" t="b">
        <v>0</v>
      </c>
      <c r="D952">
        <v>1</v>
      </c>
      <c r="E952">
        <v>0.12</v>
      </c>
      <c r="F952">
        <v>0.16669999999999999</v>
      </c>
    </row>
    <row r="953" spans="1:6" x14ac:dyDescent="0.3">
      <c r="A953">
        <v>2</v>
      </c>
      <c r="B953">
        <v>6</v>
      </c>
      <c r="C953" t="b">
        <v>0</v>
      </c>
      <c r="D953">
        <v>1</v>
      </c>
      <c r="E953">
        <v>0.12</v>
      </c>
      <c r="F953">
        <v>0.13639999999999999</v>
      </c>
    </row>
    <row r="954" spans="1:6" x14ac:dyDescent="0.3">
      <c r="A954">
        <v>2</v>
      </c>
      <c r="B954">
        <v>6</v>
      </c>
      <c r="C954" t="b">
        <v>0</v>
      </c>
      <c r="D954">
        <v>1</v>
      </c>
      <c r="E954">
        <v>0.12</v>
      </c>
      <c r="F954">
        <v>0.1515</v>
      </c>
    </row>
    <row r="955" spans="1:6" x14ac:dyDescent="0.3">
      <c r="A955">
        <v>2</v>
      </c>
      <c r="B955">
        <v>6</v>
      </c>
      <c r="C955" t="b">
        <v>0</v>
      </c>
      <c r="D955">
        <v>1</v>
      </c>
      <c r="E955">
        <v>0.14000000000000001</v>
      </c>
      <c r="F955">
        <v>0.1515</v>
      </c>
    </row>
    <row r="956" spans="1:6" x14ac:dyDescent="0.3">
      <c r="A956">
        <v>2</v>
      </c>
      <c r="B956">
        <v>6</v>
      </c>
      <c r="C956" t="b">
        <v>0</v>
      </c>
      <c r="D956">
        <v>1</v>
      </c>
      <c r="E956">
        <v>0.16</v>
      </c>
      <c r="F956">
        <v>0.18179999999999999</v>
      </c>
    </row>
    <row r="957" spans="1:6" x14ac:dyDescent="0.3">
      <c r="A957">
        <v>2</v>
      </c>
      <c r="B957">
        <v>6</v>
      </c>
      <c r="C957" t="b">
        <v>0</v>
      </c>
      <c r="D957">
        <v>1</v>
      </c>
      <c r="E957">
        <v>0.22</v>
      </c>
      <c r="F957">
        <v>0.21210000000000001</v>
      </c>
    </row>
    <row r="958" spans="1:6" x14ac:dyDescent="0.3">
      <c r="A958">
        <v>2</v>
      </c>
      <c r="B958">
        <v>6</v>
      </c>
      <c r="C958" t="b">
        <v>0</v>
      </c>
      <c r="D958">
        <v>1</v>
      </c>
      <c r="E958">
        <v>0.3</v>
      </c>
      <c r="F958">
        <v>0.2727</v>
      </c>
    </row>
    <row r="959" spans="1:6" x14ac:dyDescent="0.3">
      <c r="A959">
        <v>2</v>
      </c>
      <c r="B959">
        <v>6</v>
      </c>
      <c r="C959" t="b">
        <v>0</v>
      </c>
      <c r="D959">
        <v>1</v>
      </c>
      <c r="E959">
        <v>0.3</v>
      </c>
      <c r="F959">
        <v>0.2727</v>
      </c>
    </row>
    <row r="960" spans="1:6" x14ac:dyDescent="0.3">
      <c r="A960">
        <v>2</v>
      </c>
      <c r="B960">
        <v>6</v>
      </c>
      <c r="C960" t="b">
        <v>0</v>
      </c>
      <c r="D960">
        <v>1</v>
      </c>
      <c r="E960">
        <v>0.3</v>
      </c>
      <c r="F960">
        <v>0.2727</v>
      </c>
    </row>
    <row r="961" spans="1:6" x14ac:dyDescent="0.3">
      <c r="A961">
        <v>2</v>
      </c>
      <c r="B961">
        <v>6</v>
      </c>
      <c r="C961" t="b">
        <v>0</v>
      </c>
      <c r="D961">
        <v>1</v>
      </c>
      <c r="E961">
        <v>0.34</v>
      </c>
      <c r="F961">
        <v>0.31819999999999998</v>
      </c>
    </row>
    <row r="962" spans="1:6" x14ac:dyDescent="0.3">
      <c r="A962">
        <v>2</v>
      </c>
      <c r="B962">
        <v>6</v>
      </c>
      <c r="C962" t="b">
        <v>0</v>
      </c>
      <c r="D962">
        <v>1</v>
      </c>
      <c r="E962">
        <v>0.34</v>
      </c>
      <c r="F962">
        <v>0.30299999999999999</v>
      </c>
    </row>
    <row r="963" spans="1:6" x14ac:dyDescent="0.3">
      <c r="A963">
        <v>2</v>
      </c>
      <c r="B963">
        <v>6</v>
      </c>
      <c r="C963" t="b">
        <v>0</v>
      </c>
      <c r="D963">
        <v>1</v>
      </c>
      <c r="E963">
        <v>0.34</v>
      </c>
      <c r="F963">
        <v>0.30299999999999999</v>
      </c>
    </row>
    <row r="964" spans="1:6" x14ac:dyDescent="0.3">
      <c r="A964">
        <v>2</v>
      </c>
      <c r="B964">
        <v>6</v>
      </c>
      <c r="C964" t="b">
        <v>0</v>
      </c>
      <c r="D964">
        <v>1</v>
      </c>
      <c r="E964">
        <v>0.32</v>
      </c>
      <c r="F964">
        <v>0.28789999999999999</v>
      </c>
    </row>
    <row r="965" spans="1:6" x14ac:dyDescent="0.3">
      <c r="A965">
        <v>2</v>
      </c>
      <c r="B965">
        <v>6</v>
      </c>
      <c r="C965" t="b">
        <v>0</v>
      </c>
      <c r="D965">
        <v>1</v>
      </c>
      <c r="E965">
        <v>0.28000000000000003</v>
      </c>
      <c r="F965">
        <v>0.2576</v>
      </c>
    </row>
    <row r="966" spans="1:6" x14ac:dyDescent="0.3">
      <c r="A966">
        <v>2</v>
      </c>
      <c r="B966">
        <v>6</v>
      </c>
      <c r="C966" t="b">
        <v>0</v>
      </c>
      <c r="D966">
        <v>1</v>
      </c>
      <c r="E966">
        <v>0.28000000000000003</v>
      </c>
      <c r="F966">
        <v>0.2727</v>
      </c>
    </row>
    <row r="967" spans="1:6" x14ac:dyDescent="0.3">
      <c r="A967">
        <v>2</v>
      </c>
      <c r="B967">
        <v>6</v>
      </c>
      <c r="C967" t="b">
        <v>0</v>
      </c>
      <c r="D967">
        <v>1</v>
      </c>
      <c r="E967">
        <v>0.26</v>
      </c>
      <c r="F967">
        <v>0.2576</v>
      </c>
    </row>
    <row r="968" spans="1:6" x14ac:dyDescent="0.3">
      <c r="A968">
        <v>2</v>
      </c>
      <c r="B968">
        <v>6</v>
      </c>
      <c r="C968" t="b">
        <v>0</v>
      </c>
      <c r="D968">
        <v>1</v>
      </c>
      <c r="E968">
        <v>0.26</v>
      </c>
      <c r="F968">
        <v>0.30299999999999999</v>
      </c>
    </row>
    <row r="969" spans="1:6" x14ac:dyDescent="0.3">
      <c r="A969">
        <v>2</v>
      </c>
      <c r="B969">
        <v>6</v>
      </c>
      <c r="C969" t="b">
        <v>0</v>
      </c>
      <c r="D969">
        <v>1</v>
      </c>
      <c r="E969">
        <v>0.24</v>
      </c>
      <c r="F969">
        <v>0.2576</v>
      </c>
    </row>
    <row r="970" spans="1:6" x14ac:dyDescent="0.3">
      <c r="A970">
        <v>2</v>
      </c>
      <c r="B970">
        <v>6</v>
      </c>
      <c r="C970" t="b">
        <v>0</v>
      </c>
      <c r="D970">
        <v>1</v>
      </c>
      <c r="E970">
        <v>0.22</v>
      </c>
      <c r="F970">
        <v>0.2273</v>
      </c>
    </row>
    <row r="971" spans="1:6" x14ac:dyDescent="0.3">
      <c r="A971">
        <v>2</v>
      </c>
      <c r="B971">
        <v>0</v>
      </c>
      <c r="C971" t="b">
        <v>0</v>
      </c>
      <c r="D971">
        <v>1</v>
      </c>
      <c r="E971">
        <v>0.2</v>
      </c>
      <c r="F971">
        <v>0.2273</v>
      </c>
    </row>
    <row r="972" spans="1:6" x14ac:dyDescent="0.3">
      <c r="A972">
        <v>2</v>
      </c>
      <c r="B972">
        <v>0</v>
      </c>
      <c r="C972" t="b">
        <v>0</v>
      </c>
      <c r="D972">
        <v>1</v>
      </c>
      <c r="E972">
        <v>0.2</v>
      </c>
      <c r="F972">
        <v>0.2273</v>
      </c>
    </row>
    <row r="973" spans="1:6" x14ac:dyDescent="0.3">
      <c r="A973">
        <v>2</v>
      </c>
      <c r="B973">
        <v>0</v>
      </c>
      <c r="C973" t="b">
        <v>0</v>
      </c>
      <c r="D973">
        <v>2</v>
      </c>
      <c r="E973">
        <v>0.2</v>
      </c>
      <c r="F973">
        <v>0.2273</v>
      </c>
    </row>
    <row r="974" spans="1:6" x14ac:dyDescent="0.3">
      <c r="A974">
        <v>2</v>
      </c>
      <c r="B974">
        <v>0</v>
      </c>
      <c r="C974" t="b">
        <v>0</v>
      </c>
      <c r="D974">
        <v>2</v>
      </c>
      <c r="E974">
        <v>0.2</v>
      </c>
      <c r="F974">
        <v>0.2273</v>
      </c>
    </row>
    <row r="975" spans="1:6" x14ac:dyDescent="0.3">
      <c r="A975">
        <v>2</v>
      </c>
      <c r="B975">
        <v>0</v>
      </c>
      <c r="C975" t="b">
        <v>0</v>
      </c>
      <c r="D975">
        <v>2</v>
      </c>
      <c r="E975">
        <v>0.2</v>
      </c>
      <c r="F975">
        <v>0.21210000000000001</v>
      </c>
    </row>
    <row r="976" spans="1:6" x14ac:dyDescent="0.3">
      <c r="A976">
        <v>2</v>
      </c>
      <c r="B976">
        <v>0</v>
      </c>
      <c r="C976" t="b">
        <v>0</v>
      </c>
      <c r="D976">
        <v>2</v>
      </c>
      <c r="E976">
        <v>0.2</v>
      </c>
      <c r="F976">
        <v>0.21210000000000001</v>
      </c>
    </row>
    <row r="977" spans="1:6" x14ac:dyDescent="0.3">
      <c r="A977">
        <v>2</v>
      </c>
      <c r="B977">
        <v>0</v>
      </c>
      <c r="C977" t="b">
        <v>0</v>
      </c>
      <c r="D977">
        <v>2</v>
      </c>
      <c r="E977">
        <v>0.22</v>
      </c>
      <c r="F977">
        <v>0.2727</v>
      </c>
    </row>
    <row r="978" spans="1:6" x14ac:dyDescent="0.3">
      <c r="A978">
        <v>2</v>
      </c>
      <c r="B978">
        <v>0</v>
      </c>
      <c r="C978" t="b">
        <v>0</v>
      </c>
      <c r="D978">
        <v>2</v>
      </c>
      <c r="E978">
        <v>0.22</v>
      </c>
      <c r="F978">
        <v>0.2273</v>
      </c>
    </row>
    <row r="979" spans="1:6" x14ac:dyDescent="0.3">
      <c r="A979">
        <v>2</v>
      </c>
      <c r="B979">
        <v>0</v>
      </c>
      <c r="C979" t="b">
        <v>0</v>
      </c>
      <c r="D979">
        <v>2</v>
      </c>
      <c r="E979">
        <v>0.24</v>
      </c>
      <c r="F979">
        <v>0.2273</v>
      </c>
    </row>
    <row r="980" spans="1:6" x14ac:dyDescent="0.3">
      <c r="A980">
        <v>2</v>
      </c>
      <c r="B980">
        <v>0</v>
      </c>
      <c r="C980" t="b">
        <v>0</v>
      </c>
      <c r="D980">
        <v>1</v>
      </c>
      <c r="E980">
        <v>0.3</v>
      </c>
      <c r="F980">
        <v>0.2727</v>
      </c>
    </row>
    <row r="981" spans="1:6" x14ac:dyDescent="0.3">
      <c r="A981">
        <v>2</v>
      </c>
      <c r="B981">
        <v>0</v>
      </c>
      <c r="C981" t="b">
        <v>0</v>
      </c>
      <c r="D981">
        <v>1</v>
      </c>
      <c r="E981">
        <v>0.32</v>
      </c>
      <c r="F981">
        <v>0.28789999999999999</v>
      </c>
    </row>
    <row r="982" spans="1:6" x14ac:dyDescent="0.3">
      <c r="A982">
        <v>2</v>
      </c>
      <c r="B982">
        <v>0</v>
      </c>
      <c r="C982" t="b">
        <v>0</v>
      </c>
      <c r="D982">
        <v>1</v>
      </c>
      <c r="E982">
        <v>0.36</v>
      </c>
      <c r="F982">
        <v>0.31819999999999998</v>
      </c>
    </row>
    <row r="983" spans="1:6" x14ac:dyDescent="0.3">
      <c r="A983">
        <v>2</v>
      </c>
      <c r="B983">
        <v>0</v>
      </c>
      <c r="C983" t="b">
        <v>0</v>
      </c>
      <c r="D983">
        <v>1</v>
      </c>
      <c r="E983">
        <v>0.38</v>
      </c>
      <c r="F983">
        <v>0.39389999999999997</v>
      </c>
    </row>
    <row r="984" spans="1:6" x14ac:dyDescent="0.3">
      <c r="A984">
        <v>2</v>
      </c>
      <c r="B984">
        <v>0</v>
      </c>
      <c r="C984" t="b">
        <v>0</v>
      </c>
      <c r="D984">
        <v>2</v>
      </c>
      <c r="E984">
        <v>0.4</v>
      </c>
      <c r="F984">
        <v>0.40910000000000002</v>
      </c>
    </row>
    <row r="985" spans="1:6" x14ac:dyDescent="0.3">
      <c r="A985">
        <v>2</v>
      </c>
      <c r="B985">
        <v>0</v>
      </c>
      <c r="C985" t="b">
        <v>0</v>
      </c>
      <c r="D985">
        <v>2</v>
      </c>
      <c r="E985">
        <v>0.4</v>
      </c>
      <c r="F985">
        <v>0.40910000000000002</v>
      </c>
    </row>
    <row r="986" spans="1:6" x14ac:dyDescent="0.3">
      <c r="A986">
        <v>2</v>
      </c>
      <c r="B986">
        <v>0</v>
      </c>
      <c r="C986" t="b">
        <v>0</v>
      </c>
      <c r="D986">
        <v>2</v>
      </c>
      <c r="E986">
        <v>0.42</v>
      </c>
      <c r="F986">
        <v>0.42420000000000002</v>
      </c>
    </row>
    <row r="987" spans="1:6" x14ac:dyDescent="0.3">
      <c r="A987">
        <v>2</v>
      </c>
      <c r="B987">
        <v>0</v>
      </c>
      <c r="C987" t="b">
        <v>0</v>
      </c>
      <c r="D987">
        <v>1</v>
      </c>
      <c r="E987">
        <v>0.42</v>
      </c>
      <c r="F987">
        <v>0.42420000000000002</v>
      </c>
    </row>
    <row r="988" spans="1:6" x14ac:dyDescent="0.3">
      <c r="A988">
        <v>2</v>
      </c>
      <c r="B988">
        <v>0</v>
      </c>
      <c r="C988" t="b">
        <v>0</v>
      </c>
      <c r="D988">
        <v>1</v>
      </c>
      <c r="E988">
        <v>0.4</v>
      </c>
      <c r="F988">
        <v>0.40910000000000002</v>
      </c>
    </row>
    <row r="989" spans="1:6" x14ac:dyDescent="0.3">
      <c r="A989">
        <v>2</v>
      </c>
      <c r="B989">
        <v>0</v>
      </c>
      <c r="C989" t="b">
        <v>0</v>
      </c>
      <c r="D989">
        <v>1</v>
      </c>
      <c r="E989">
        <v>0.4</v>
      </c>
      <c r="F989">
        <v>0.40910000000000002</v>
      </c>
    </row>
    <row r="990" spans="1:6" x14ac:dyDescent="0.3">
      <c r="A990">
        <v>2</v>
      </c>
      <c r="B990">
        <v>0</v>
      </c>
      <c r="C990" t="b">
        <v>0</v>
      </c>
      <c r="D990">
        <v>1</v>
      </c>
      <c r="E990">
        <v>0.4</v>
      </c>
      <c r="F990">
        <v>0.40910000000000002</v>
      </c>
    </row>
    <row r="991" spans="1:6" x14ac:dyDescent="0.3">
      <c r="A991">
        <v>2</v>
      </c>
      <c r="B991">
        <v>0</v>
      </c>
      <c r="C991" t="b">
        <v>0</v>
      </c>
      <c r="D991">
        <v>1</v>
      </c>
      <c r="E991">
        <v>0.4</v>
      </c>
      <c r="F991">
        <v>0.40910000000000002</v>
      </c>
    </row>
    <row r="992" spans="1:6" x14ac:dyDescent="0.3">
      <c r="A992">
        <v>2</v>
      </c>
      <c r="B992">
        <v>0</v>
      </c>
      <c r="C992" t="b">
        <v>0</v>
      </c>
      <c r="D992">
        <v>1</v>
      </c>
      <c r="E992">
        <v>0.4</v>
      </c>
      <c r="F992">
        <v>0.40910000000000002</v>
      </c>
    </row>
    <row r="993" spans="1:6" x14ac:dyDescent="0.3">
      <c r="A993">
        <v>2</v>
      </c>
      <c r="B993">
        <v>0</v>
      </c>
      <c r="C993" t="b">
        <v>0</v>
      </c>
      <c r="D993">
        <v>1</v>
      </c>
      <c r="E993">
        <v>0.4</v>
      </c>
      <c r="F993">
        <v>0.40910000000000002</v>
      </c>
    </row>
    <row r="994" spans="1:6" x14ac:dyDescent="0.3">
      <c r="A994">
        <v>2</v>
      </c>
      <c r="B994">
        <v>1</v>
      </c>
      <c r="C994" t="b">
        <v>0</v>
      </c>
      <c r="D994">
        <v>1</v>
      </c>
      <c r="E994">
        <v>0.38</v>
      </c>
      <c r="F994">
        <v>0.39389999999999997</v>
      </c>
    </row>
    <row r="995" spans="1:6" x14ac:dyDescent="0.3">
      <c r="A995">
        <v>2</v>
      </c>
      <c r="B995">
        <v>1</v>
      </c>
      <c r="C995" t="b">
        <v>0</v>
      </c>
      <c r="D995">
        <v>1</v>
      </c>
      <c r="E995">
        <v>0.38</v>
      </c>
      <c r="F995">
        <v>0.39389999999999997</v>
      </c>
    </row>
    <row r="996" spans="1:6" x14ac:dyDescent="0.3">
      <c r="A996">
        <v>2</v>
      </c>
      <c r="B996">
        <v>1</v>
      </c>
      <c r="C996" t="b">
        <v>0</v>
      </c>
      <c r="D996">
        <v>1</v>
      </c>
      <c r="E996">
        <v>0.36</v>
      </c>
      <c r="F996">
        <v>0.33329999999999999</v>
      </c>
    </row>
    <row r="997" spans="1:6" x14ac:dyDescent="0.3">
      <c r="A997">
        <v>2</v>
      </c>
      <c r="B997">
        <v>1</v>
      </c>
      <c r="C997" t="b">
        <v>0</v>
      </c>
      <c r="D997">
        <v>1</v>
      </c>
      <c r="E997">
        <v>0.34</v>
      </c>
      <c r="F997">
        <v>0.31819999999999998</v>
      </c>
    </row>
    <row r="998" spans="1:6" x14ac:dyDescent="0.3">
      <c r="A998">
        <v>2</v>
      </c>
      <c r="B998">
        <v>1</v>
      </c>
      <c r="C998" t="b">
        <v>0</v>
      </c>
      <c r="D998">
        <v>1</v>
      </c>
      <c r="E998">
        <v>0.32</v>
      </c>
      <c r="F998">
        <v>0.30299999999999999</v>
      </c>
    </row>
    <row r="999" spans="1:6" x14ac:dyDescent="0.3">
      <c r="A999">
        <v>2</v>
      </c>
      <c r="B999">
        <v>1</v>
      </c>
      <c r="C999" t="b">
        <v>0</v>
      </c>
      <c r="D999">
        <v>1</v>
      </c>
      <c r="E999">
        <v>0.32</v>
      </c>
      <c r="F999">
        <v>0.30299999999999999</v>
      </c>
    </row>
    <row r="1000" spans="1:6" x14ac:dyDescent="0.3">
      <c r="A1000">
        <v>2</v>
      </c>
      <c r="B1000">
        <v>1</v>
      </c>
      <c r="C1000" t="b">
        <v>0</v>
      </c>
      <c r="D1000">
        <v>1</v>
      </c>
      <c r="E1000">
        <v>0.34</v>
      </c>
      <c r="F1000">
        <v>0.30299999999999999</v>
      </c>
    </row>
    <row r="1001" spans="1:6" x14ac:dyDescent="0.3">
      <c r="A1001">
        <v>2</v>
      </c>
      <c r="B1001">
        <v>1</v>
      </c>
      <c r="C1001" t="b">
        <v>0</v>
      </c>
      <c r="D1001">
        <v>1</v>
      </c>
      <c r="E1001">
        <v>0.34</v>
      </c>
      <c r="F1001">
        <v>0.30299999999999999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6A19-1F0E-4457-B051-DFB786D69DD4}">
  <dimension ref="A1:P167"/>
  <sheetViews>
    <sheetView topLeftCell="A4" workbookViewId="0">
      <selection activeCell="A4" sqref="A4:P167"/>
    </sheetView>
  </sheetViews>
  <sheetFormatPr defaultRowHeight="14.4" x14ac:dyDescent="0.3"/>
  <cols>
    <col min="1" max="1" width="9" bestFit="1" customWidth="1"/>
    <col min="2" max="2" width="10.33203125" bestFit="1" customWidth="1"/>
    <col min="3" max="3" width="9" bestFit="1" customWidth="1"/>
    <col min="4" max="4" width="9.6640625" bestFit="1" customWidth="1"/>
    <col min="5" max="5" width="9" bestFit="1" customWidth="1"/>
    <col min="6" max="6" width="9.44140625" bestFit="1" customWidth="1"/>
    <col min="7" max="8" width="10.77734375" bestFit="1" customWidth="1"/>
    <col min="9" max="9" width="16" bestFit="1" customWidth="1"/>
    <col min="10" max="12" width="9" bestFit="1" customWidth="1"/>
    <col min="13" max="13" width="12.33203125" bestFit="1" customWidth="1"/>
    <col min="14" max="14" width="9" bestFit="1" customWidth="1"/>
    <col min="15" max="15" width="11.5546875" bestFit="1" customWidth="1"/>
    <col min="16" max="16" width="9" bestFit="1" customWidth="1"/>
  </cols>
  <sheetData>
    <row r="1" spans="1:16" x14ac:dyDescent="0.3">
      <c r="A1" s="30" t="s">
        <v>77</v>
      </c>
    </row>
    <row r="3" spans="1:16" x14ac:dyDescent="0.3">
      <c r="A3" t="s">
        <v>0</v>
      </c>
      <c r="B3" t="s">
        <v>1</v>
      </c>
      <c r="C3" t="s">
        <v>2</v>
      </c>
      <c r="D3" t="s">
        <v>4</v>
      </c>
      <c r="E3" t="s">
        <v>5</v>
      </c>
      <c r="F3" t="s">
        <v>6</v>
      </c>
      <c r="G3" t="s">
        <v>7</v>
      </c>
      <c r="H3" t="s">
        <v>17</v>
      </c>
      <c r="I3" t="s">
        <v>21</v>
      </c>
      <c r="J3" t="s">
        <v>9</v>
      </c>
      <c r="K3" t="s">
        <v>10</v>
      </c>
      <c r="L3" t="s">
        <v>11</v>
      </c>
      <c r="M3" t="s">
        <v>12</v>
      </c>
      <c r="N3" t="s">
        <v>13</v>
      </c>
      <c r="O3" t="s">
        <v>14</v>
      </c>
      <c r="P3" t="s">
        <v>15</v>
      </c>
    </row>
    <row r="4" spans="1:16" x14ac:dyDescent="0.3">
      <c r="A4">
        <v>25</v>
      </c>
      <c r="B4" s="21">
        <v>40545</v>
      </c>
      <c r="C4" t="s">
        <v>16</v>
      </c>
      <c r="D4" t="s">
        <v>70</v>
      </c>
      <c r="E4">
        <v>0</v>
      </c>
      <c r="F4" t="s">
        <v>72</v>
      </c>
      <c r="G4" t="s">
        <v>73</v>
      </c>
      <c r="H4" t="s">
        <v>75</v>
      </c>
      <c r="I4">
        <v>18.86</v>
      </c>
      <c r="J4">
        <v>0.46</v>
      </c>
      <c r="K4">
        <v>0.45450000000000002</v>
      </c>
      <c r="L4">
        <v>0.88</v>
      </c>
      <c r="M4">
        <v>0.29849999999999999</v>
      </c>
      <c r="N4">
        <v>4</v>
      </c>
      <c r="O4">
        <v>13</v>
      </c>
      <c r="P4">
        <v>17</v>
      </c>
    </row>
    <row r="5" spans="1:16" x14ac:dyDescent="0.3">
      <c r="A5">
        <v>26</v>
      </c>
      <c r="B5" s="21">
        <v>40545</v>
      </c>
      <c r="C5" t="s">
        <v>16</v>
      </c>
      <c r="D5" t="s">
        <v>70</v>
      </c>
      <c r="E5">
        <v>1</v>
      </c>
      <c r="F5" t="s">
        <v>72</v>
      </c>
      <c r="G5" t="s">
        <v>73</v>
      </c>
      <c r="H5" t="s">
        <v>75</v>
      </c>
      <c r="I5">
        <v>18.04</v>
      </c>
      <c r="J5">
        <v>0.44</v>
      </c>
      <c r="K5">
        <v>0.43940000000000001</v>
      </c>
      <c r="L5">
        <v>0.94</v>
      </c>
      <c r="M5">
        <v>0.25369999999999998</v>
      </c>
      <c r="N5">
        <v>1</v>
      </c>
      <c r="O5">
        <v>16</v>
      </c>
      <c r="P5">
        <v>17</v>
      </c>
    </row>
    <row r="6" spans="1:16" x14ac:dyDescent="0.3">
      <c r="A6">
        <v>27</v>
      </c>
      <c r="B6" s="21">
        <v>40545</v>
      </c>
      <c r="C6" t="s">
        <v>16</v>
      </c>
      <c r="D6" t="s">
        <v>70</v>
      </c>
      <c r="E6">
        <v>2</v>
      </c>
      <c r="F6" t="s">
        <v>72</v>
      </c>
      <c r="G6" t="s">
        <v>73</v>
      </c>
      <c r="H6" t="s">
        <v>75</v>
      </c>
      <c r="I6">
        <v>17.22</v>
      </c>
      <c r="J6">
        <v>0.42</v>
      </c>
      <c r="K6">
        <v>0.42420000000000002</v>
      </c>
      <c r="L6">
        <v>1</v>
      </c>
      <c r="M6">
        <v>0.28360000000000002</v>
      </c>
      <c r="N6">
        <v>1</v>
      </c>
      <c r="O6">
        <v>8</v>
      </c>
      <c r="P6">
        <v>9</v>
      </c>
    </row>
    <row r="7" spans="1:16" x14ac:dyDescent="0.3">
      <c r="A7">
        <v>28</v>
      </c>
      <c r="B7" s="21">
        <v>40545</v>
      </c>
      <c r="C7" t="s">
        <v>16</v>
      </c>
      <c r="D7" t="s">
        <v>70</v>
      </c>
      <c r="E7">
        <v>3</v>
      </c>
      <c r="F7" t="s">
        <v>72</v>
      </c>
      <c r="G7" t="s">
        <v>73</v>
      </c>
      <c r="H7" t="s">
        <v>75</v>
      </c>
      <c r="I7">
        <v>18.86</v>
      </c>
      <c r="J7">
        <v>0.46</v>
      </c>
      <c r="K7">
        <v>0.45450000000000002</v>
      </c>
      <c r="L7">
        <v>0.94</v>
      </c>
      <c r="M7">
        <v>0.19400000000000001</v>
      </c>
      <c r="N7">
        <v>2</v>
      </c>
      <c r="O7">
        <v>4</v>
      </c>
      <c r="P7">
        <v>6</v>
      </c>
    </row>
    <row r="8" spans="1:16" x14ac:dyDescent="0.3">
      <c r="A8">
        <v>29</v>
      </c>
      <c r="B8" s="21">
        <v>40545</v>
      </c>
      <c r="C8" t="s">
        <v>16</v>
      </c>
      <c r="D8" t="s">
        <v>70</v>
      </c>
      <c r="E8">
        <v>4</v>
      </c>
      <c r="F8" t="s">
        <v>72</v>
      </c>
      <c r="G8" t="s">
        <v>73</v>
      </c>
      <c r="H8" t="s">
        <v>75</v>
      </c>
      <c r="I8">
        <v>18.86</v>
      </c>
      <c r="J8">
        <v>0.46</v>
      </c>
      <c r="L8">
        <v>0.94</v>
      </c>
      <c r="M8">
        <v>0.19400000000000001</v>
      </c>
      <c r="N8">
        <v>2</v>
      </c>
      <c r="O8">
        <v>1</v>
      </c>
      <c r="P8">
        <v>3</v>
      </c>
    </row>
    <row r="9" spans="1:16" x14ac:dyDescent="0.3">
      <c r="A9">
        <v>30</v>
      </c>
      <c r="B9" s="21">
        <v>40545</v>
      </c>
      <c r="C9" t="s">
        <v>16</v>
      </c>
      <c r="D9" t="s">
        <v>70</v>
      </c>
      <c r="E9">
        <v>6</v>
      </c>
      <c r="F9" t="s">
        <v>72</v>
      </c>
      <c r="G9" t="s">
        <v>73</v>
      </c>
      <c r="H9" t="s">
        <v>76</v>
      </c>
      <c r="I9">
        <v>17.22</v>
      </c>
      <c r="J9">
        <v>0.42</v>
      </c>
      <c r="K9">
        <v>0.42420000000000002</v>
      </c>
      <c r="L9">
        <v>0.77</v>
      </c>
      <c r="M9">
        <v>0.29849999999999999</v>
      </c>
      <c r="N9">
        <v>0</v>
      </c>
      <c r="O9">
        <v>2</v>
      </c>
      <c r="P9">
        <v>2</v>
      </c>
    </row>
    <row r="10" spans="1:16" x14ac:dyDescent="0.3">
      <c r="A10">
        <v>31</v>
      </c>
      <c r="B10" s="21">
        <v>40545</v>
      </c>
      <c r="C10" t="s">
        <v>16</v>
      </c>
      <c r="D10" t="s">
        <v>70</v>
      </c>
      <c r="E10">
        <v>7</v>
      </c>
      <c r="F10" t="s">
        <v>72</v>
      </c>
      <c r="G10" t="s">
        <v>73</v>
      </c>
      <c r="H10" t="s">
        <v>75</v>
      </c>
      <c r="I10">
        <v>16.400000000000002</v>
      </c>
      <c r="J10">
        <v>0.4</v>
      </c>
      <c r="K10">
        <v>0.40910000000000002</v>
      </c>
      <c r="L10">
        <v>0.76</v>
      </c>
      <c r="M10">
        <v>0.19400000000000001</v>
      </c>
      <c r="N10">
        <v>0</v>
      </c>
      <c r="O10">
        <v>1</v>
      </c>
      <c r="P10">
        <v>1</v>
      </c>
    </row>
    <row r="11" spans="1:16" x14ac:dyDescent="0.3">
      <c r="A11">
        <v>32</v>
      </c>
      <c r="B11" s="21">
        <v>40545</v>
      </c>
      <c r="C11" t="s">
        <v>16</v>
      </c>
      <c r="D11" t="s">
        <v>70</v>
      </c>
      <c r="E11">
        <v>8</v>
      </c>
      <c r="F11" t="s">
        <v>72</v>
      </c>
      <c r="G11" t="s">
        <v>73</v>
      </c>
      <c r="H11" t="s">
        <v>76</v>
      </c>
      <c r="I11">
        <v>16.400000000000002</v>
      </c>
      <c r="J11">
        <v>0.4</v>
      </c>
      <c r="K11">
        <v>0.40910000000000002</v>
      </c>
      <c r="L11">
        <v>0.71</v>
      </c>
      <c r="M11">
        <v>0.22389999999999999</v>
      </c>
      <c r="N11">
        <v>0</v>
      </c>
      <c r="O11">
        <v>8</v>
      </c>
      <c r="P11">
        <v>8</v>
      </c>
    </row>
    <row r="12" spans="1:16" x14ac:dyDescent="0.3">
      <c r="A12">
        <v>33</v>
      </c>
      <c r="B12" s="21">
        <v>40545</v>
      </c>
      <c r="C12" t="s">
        <v>16</v>
      </c>
      <c r="D12" t="s">
        <v>70</v>
      </c>
      <c r="E12">
        <v>9</v>
      </c>
      <c r="F12" t="s">
        <v>72</v>
      </c>
      <c r="G12" t="s">
        <v>73</v>
      </c>
      <c r="H12" t="s">
        <v>75</v>
      </c>
      <c r="I12">
        <v>15.58</v>
      </c>
      <c r="J12">
        <v>0.38</v>
      </c>
      <c r="L12">
        <v>0.76</v>
      </c>
      <c r="M12">
        <v>0.22389999999999999</v>
      </c>
      <c r="N12">
        <v>1</v>
      </c>
      <c r="O12">
        <v>19</v>
      </c>
      <c r="P12">
        <v>20</v>
      </c>
    </row>
    <row r="13" spans="1:16" x14ac:dyDescent="0.3">
      <c r="A13">
        <v>34</v>
      </c>
      <c r="B13" s="21">
        <v>40545</v>
      </c>
      <c r="C13" t="s">
        <v>16</v>
      </c>
      <c r="D13" t="s">
        <v>70</v>
      </c>
      <c r="E13">
        <v>10</v>
      </c>
      <c r="F13" t="s">
        <v>72</v>
      </c>
      <c r="G13" t="s">
        <v>73</v>
      </c>
      <c r="H13" t="s">
        <v>75</v>
      </c>
      <c r="I13">
        <v>14.76</v>
      </c>
      <c r="J13">
        <v>0.36</v>
      </c>
      <c r="K13">
        <v>0.34849999999999998</v>
      </c>
      <c r="L13">
        <v>0.81</v>
      </c>
      <c r="M13">
        <v>0.22389999999999999</v>
      </c>
      <c r="N13">
        <v>7</v>
      </c>
      <c r="O13">
        <v>46</v>
      </c>
      <c r="P13">
        <v>53</v>
      </c>
    </row>
    <row r="14" spans="1:16" x14ac:dyDescent="0.3">
      <c r="A14">
        <v>35</v>
      </c>
      <c r="B14" s="21">
        <v>40545</v>
      </c>
      <c r="C14" t="s">
        <v>16</v>
      </c>
      <c r="D14" t="s">
        <v>70</v>
      </c>
      <c r="E14">
        <v>11</v>
      </c>
      <c r="F14" t="s">
        <v>72</v>
      </c>
      <c r="G14" t="s">
        <v>73</v>
      </c>
      <c r="H14" t="s">
        <v>75</v>
      </c>
      <c r="I14">
        <v>14.76</v>
      </c>
      <c r="J14">
        <v>0.36</v>
      </c>
      <c r="K14">
        <v>0.33329999999999999</v>
      </c>
      <c r="L14">
        <v>0.71</v>
      </c>
      <c r="M14">
        <v>0.25369999999999998</v>
      </c>
      <c r="N14">
        <v>16</v>
      </c>
      <c r="O14">
        <v>54</v>
      </c>
      <c r="P14">
        <v>70</v>
      </c>
    </row>
    <row r="15" spans="1:16" x14ac:dyDescent="0.3">
      <c r="A15">
        <v>36</v>
      </c>
      <c r="B15" s="21">
        <v>40545</v>
      </c>
      <c r="C15" t="s">
        <v>16</v>
      </c>
      <c r="D15" t="s">
        <v>70</v>
      </c>
      <c r="E15">
        <v>12</v>
      </c>
      <c r="F15" t="s">
        <v>72</v>
      </c>
      <c r="G15" t="s">
        <v>73</v>
      </c>
      <c r="H15" t="s">
        <v>75</v>
      </c>
      <c r="I15">
        <v>14.76</v>
      </c>
      <c r="J15">
        <v>0.36</v>
      </c>
      <c r="K15">
        <v>0.33329999999999999</v>
      </c>
      <c r="L15">
        <v>0.66</v>
      </c>
      <c r="M15">
        <v>0.29849999999999999</v>
      </c>
      <c r="N15">
        <v>20</v>
      </c>
      <c r="O15">
        <v>73</v>
      </c>
      <c r="P15">
        <v>93</v>
      </c>
    </row>
    <row r="16" spans="1:16" x14ac:dyDescent="0.3">
      <c r="A16">
        <v>37</v>
      </c>
      <c r="B16" s="21">
        <v>40545</v>
      </c>
      <c r="C16" t="s">
        <v>16</v>
      </c>
      <c r="D16" t="s">
        <v>70</v>
      </c>
      <c r="E16">
        <v>13</v>
      </c>
      <c r="F16" t="s">
        <v>72</v>
      </c>
      <c r="G16" t="s">
        <v>73</v>
      </c>
      <c r="H16" t="s">
        <v>75</v>
      </c>
      <c r="I16">
        <v>14.76</v>
      </c>
      <c r="J16">
        <v>0.36</v>
      </c>
      <c r="K16">
        <v>0.34849999999999998</v>
      </c>
      <c r="L16">
        <v>0.66</v>
      </c>
      <c r="M16">
        <v>0.1343</v>
      </c>
      <c r="N16">
        <v>11</v>
      </c>
      <c r="O16">
        <v>64</v>
      </c>
      <c r="P16">
        <v>75</v>
      </c>
    </row>
    <row r="17" spans="1:16" x14ac:dyDescent="0.3">
      <c r="A17">
        <v>38</v>
      </c>
      <c r="B17" s="21">
        <v>40545</v>
      </c>
      <c r="C17" t="s">
        <v>16</v>
      </c>
      <c r="D17" t="s">
        <v>70</v>
      </c>
      <c r="E17">
        <v>14</v>
      </c>
      <c r="F17" t="s">
        <v>72</v>
      </c>
      <c r="G17" t="s">
        <v>73</v>
      </c>
      <c r="H17" t="s">
        <v>76</v>
      </c>
      <c r="I17">
        <v>14.76</v>
      </c>
      <c r="J17">
        <v>0.36</v>
      </c>
      <c r="L17">
        <v>0.76</v>
      </c>
      <c r="M17">
        <v>0.19400000000000001</v>
      </c>
      <c r="N17">
        <v>4</v>
      </c>
      <c r="O17">
        <v>55</v>
      </c>
      <c r="P17">
        <v>59</v>
      </c>
    </row>
    <row r="18" spans="1:16" x14ac:dyDescent="0.3">
      <c r="A18">
        <v>39</v>
      </c>
      <c r="B18" s="21">
        <v>40545</v>
      </c>
      <c r="C18" t="s">
        <v>16</v>
      </c>
      <c r="D18" t="s">
        <v>70</v>
      </c>
      <c r="E18">
        <v>15</v>
      </c>
      <c r="F18" t="s">
        <v>72</v>
      </c>
      <c r="G18" t="s">
        <v>73</v>
      </c>
      <c r="H18" t="s">
        <v>76</v>
      </c>
      <c r="I18">
        <v>13.940000000000001</v>
      </c>
      <c r="J18">
        <v>0.34</v>
      </c>
      <c r="K18">
        <v>0.33329999999999999</v>
      </c>
      <c r="L18">
        <v>0.81</v>
      </c>
      <c r="M18">
        <v>0.16420000000000001</v>
      </c>
      <c r="N18">
        <v>19</v>
      </c>
      <c r="O18">
        <v>55</v>
      </c>
      <c r="P18">
        <v>74</v>
      </c>
    </row>
    <row r="19" spans="1:16" x14ac:dyDescent="0.3">
      <c r="A19">
        <v>40</v>
      </c>
      <c r="B19" s="21">
        <v>40545</v>
      </c>
      <c r="C19" t="s">
        <v>16</v>
      </c>
      <c r="D19" t="s">
        <v>70</v>
      </c>
      <c r="E19">
        <v>16</v>
      </c>
      <c r="F19" t="s">
        <v>72</v>
      </c>
      <c r="G19" t="s">
        <v>73</v>
      </c>
      <c r="H19" t="s">
        <v>76</v>
      </c>
      <c r="I19">
        <v>13.940000000000001</v>
      </c>
      <c r="J19">
        <v>0.34</v>
      </c>
      <c r="K19">
        <v>0.33329999999999999</v>
      </c>
      <c r="L19">
        <v>0.71</v>
      </c>
      <c r="M19">
        <v>0.16420000000000001</v>
      </c>
      <c r="N19">
        <v>9</v>
      </c>
      <c r="O19">
        <v>67</v>
      </c>
      <c r="P19">
        <v>76</v>
      </c>
    </row>
    <row r="20" spans="1:16" x14ac:dyDescent="0.3">
      <c r="A20">
        <v>41</v>
      </c>
      <c r="B20" s="21">
        <v>40545</v>
      </c>
      <c r="C20" t="s">
        <v>16</v>
      </c>
      <c r="D20" t="s">
        <v>70</v>
      </c>
      <c r="E20">
        <v>17</v>
      </c>
      <c r="F20" t="s">
        <v>72</v>
      </c>
      <c r="G20" t="s">
        <v>73</v>
      </c>
      <c r="H20" t="s">
        <v>74</v>
      </c>
      <c r="I20">
        <v>13.940000000000001</v>
      </c>
      <c r="J20">
        <v>0.34</v>
      </c>
      <c r="K20">
        <v>0.33329999999999999</v>
      </c>
      <c r="L20">
        <v>0.56999999999999995</v>
      </c>
      <c r="M20">
        <v>0.19400000000000001</v>
      </c>
      <c r="N20">
        <v>7</v>
      </c>
      <c r="O20">
        <v>58</v>
      </c>
      <c r="P20">
        <v>65</v>
      </c>
    </row>
    <row r="21" spans="1:16" x14ac:dyDescent="0.3">
      <c r="A21">
        <v>42</v>
      </c>
      <c r="B21" s="21">
        <v>40545</v>
      </c>
      <c r="C21" t="s">
        <v>16</v>
      </c>
      <c r="D21" t="s">
        <v>70</v>
      </c>
      <c r="E21">
        <v>18</v>
      </c>
      <c r="F21" t="s">
        <v>72</v>
      </c>
      <c r="G21" t="s">
        <v>73</v>
      </c>
      <c r="H21" t="s">
        <v>75</v>
      </c>
      <c r="I21">
        <v>14.76</v>
      </c>
      <c r="J21">
        <v>0.36</v>
      </c>
      <c r="K21">
        <v>0.33329999999999999</v>
      </c>
      <c r="L21">
        <v>0.46</v>
      </c>
      <c r="M21">
        <v>0.32840000000000003</v>
      </c>
      <c r="N21">
        <v>10</v>
      </c>
      <c r="O21">
        <v>43</v>
      </c>
      <c r="P21">
        <v>53</v>
      </c>
    </row>
    <row r="22" spans="1:16" x14ac:dyDescent="0.3">
      <c r="A22">
        <v>43</v>
      </c>
      <c r="B22" s="21">
        <v>40545</v>
      </c>
      <c r="C22" t="s">
        <v>16</v>
      </c>
      <c r="D22" t="s">
        <v>70</v>
      </c>
      <c r="E22">
        <v>19</v>
      </c>
      <c r="F22" t="s">
        <v>72</v>
      </c>
      <c r="G22" t="s">
        <v>73</v>
      </c>
      <c r="H22" t="s">
        <v>74</v>
      </c>
      <c r="I22">
        <v>13.120000000000001</v>
      </c>
      <c r="J22">
        <v>0.32</v>
      </c>
      <c r="K22">
        <v>0.28789999999999999</v>
      </c>
      <c r="L22">
        <v>0.42</v>
      </c>
      <c r="M22">
        <v>0.44779999999999998</v>
      </c>
      <c r="N22">
        <v>1</v>
      </c>
      <c r="O22">
        <v>29</v>
      </c>
      <c r="P22">
        <v>30</v>
      </c>
    </row>
    <row r="23" spans="1:16" x14ac:dyDescent="0.3">
      <c r="A23">
        <v>44</v>
      </c>
      <c r="B23" s="21">
        <v>40545</v>
      </c>
      <c r="C23" t="s">
        <v>16</v>
      </c>
      <c r="D23" t="s">
        <v>70</v>
      </c>
      <c r="E23">
        <v>20</v>
      </c>
      <c r="F23" t="s">
        <v>72</v>
      </c>
      <c r="G23" t="s">
        <v>73</v>
      </c>
      <c r="H23" t="s">
        <v>74</v>
      </c>
      <c r="I23">
        <v>12.299999999999999</v>
      </c>
      <c r="J23">
        <v>0.3</v>
      </c>
      <c r="L23">
        <v>0.39</v>
      </c>
      <c r="M23">
        <v>0.35820000000000002</v>
      </c>
      <c r="N23">
        <v>5</v>
      </c>
      <c r="O23">
        <v>17</v>
      </c>
      <c r="P23">
        <v>22</v>
      </c>
    </row>
    <row r="24" spans="1:16" x14ac:dyDescent="0.3">
      <c r="A24">
        <v>45</v>
      </c>
      <c r="B24" s="21">
        <v>40545</v>
      </c>
      <c r="C24" t="s">
        <v>16</v>
      </c>
      <c r="D24" t="s">
        <v>70</v>
      </c>
      <c r="E24">
        <v>21</v>
      </c>
      <c r="F24" t="s">
        <v>72</v>
      </c>
      <c r="G24" t="s">
        <v>73</v>
      </c>
      <c r="H24" t="s">
        <v>74</v>
      </c>
      <c r="I24">
        <v>10.66</v>
      </c>
      <c r="J24">
        <v>0.26</v>
      </c>
      <c r="K24">
        <v>0.2273</v>
      </c>
      <c r="L24">
        <v>0.44</v>
      </c>
      <c r="M24">
        <v>0.32840000000000003</v>
      </c>
      <c r="N24">
        <v>11</v>
      </c>
      <c r="O24">
        <v>20</v>
      </c>
      <c r="P24">
        <v>31</v>
      </c>
    </row>
    <row r="25" spans="1:16" x14ac:dyDescent="0.3">
      <c r="A25">
        <v>46</v>
      </c>
      <c r="B25" s="21">
        <v>40545</v>
      </c>
      <c r="C25" t="s">
        <v>16</v>
      </c>
      <c r="D25" t="s">
        <v>70</v>
      </c>
      <c r="E25">
        <v>22</v>
      </c>
      <c r="F25" t="s">
        <v>72</v>
      </c>
      <c r="G25" t="s">
        <v>73</v>
      </c>
      <c r="H25" t="s">
        <v>74</v>
      </c>
      <c r="I25">
        <v>9.84</v>
      </c>
      <c r="J25">
        <v>0.24</v>
      </c>
      <c r="K25">
        <v>0.21210000000000001</v>
      </c>
      <c r="L25">
        <v>0.44</v>
      </c>
      <c r="M25">
        <v>0.29849999999999999</v>
      </c>
      <c r="N25">
        <v>0</v>
      </c>
      <c r="O25">
        <v>9</v>
      </c>
      <c r="P25">
        <v>9</v>
      </c>
    </row>
    <row r="26" spans="1:16" x14ac:dyDescent="0.3">
      <c r="A26">
        <v>47</v>
      </c>
      <c r="B26" s="21">
        <v>40545</v>
      </c>
      <c r="C26" t="s">
        <v>16</v>
      </c>
      <c r="D26" t="s">
        <v>70</v>
      </c>
      <c r="E26">
        <v>23</v>
      </c>
      <c r="F26" t="s">
        <v>72</v>
      </c>
      <c r="G26" t="s">
        <v>73</v>
      </c>
      <c r="H26" t="s">
        <v>74</v>
      </c>
      <c r="I26">
        <v>9.02</v>
      </c>
      <c r="J26">
        <v>0.22</v>
      </c>
      <c r="K26">
        <v>0.2273</v>
      </c>
      <c r="L26">
        <v>0.47</v>
      </c>
      <c r="M26">
        <v>0.16420000000000001</v>
      </c>
      <c r="N26">
        <v>0</v>
      </c>
      <c r="O26">
        <v>8</v>
      </c>
      <c r="P26">
        <v>8</v>
      </c>
    </row>
    <row r="27" spans="1:16" x14ac:dyDescent="0.3">
      <c r="A27">
        <v>186</v>
      </c>
      <c r="B27" s="21">
        <v>40552</v>
      </c>
      <c r="C27" t="s">
        <v>16</v>
      </c>
      <c r="D27" t="s">
        <v>70</v>
      </c>
      <c r="E27">
        <v>0</v>
      </c>
      <c r="F27" t="s">
        <v>72</v>
      </c>
      <c r="G27" t="s">
        <v>73</v>
      </c>
      <c r="H27" t="s">
        <v>74</v>
      </c>
      <c r="I27">
        <v>4.1000000000000005</v>
      </c>
      <c r="J27">
        <v>0.1</v>
      </c>
      <c r="K27">
        <v>7.5800000000000006E-2</v>
      </c>
      <c r="L27">
        <v>0.42</v>
      </c>
      <c r="M27">
        <v>0.3881</v>
      </c>
      <c r="N27">
        <v>1</v>
      </c>
      <c r="O27">
        <v>24</v>
      </c>
      <c r="P27">
        <v>25</v>
      </c>
    </row>
    <row r="28" spans="1:16" x14ac:dyDescent="0.3">
      <c r="A28">
        <v>187</v>
      </c>
      <c r="B28" s="21">
        <v>40552</v>
      </c>
      <c r="C28" t="s">
        <v>16</v>
      </c>
      <c r="D28" t="s">
        <v>70</v>
      </c>
      <c r="E28">
        <v>1</v>
      </c>
      <c r="F28" t="s">
        <v>72</v>
      </c>
      <c r="G28" t="s">
        <v>73</v>
      </c>
      <c r="H28" t="s">
        <v>74</v>
      </c>
      <c r="I28">
        <v>4.1000000000000005</v>
      </c>
      <c r="J28">
        <v>0.1</v>
      </c>
      <c r="K28">
        <v>6.0600000000000001E-2</v>
      </c>
      <c r="L28">
        <v>0.42</v>
      </c>
      <c r="M28">
        <v>0.4627</v>
      </c>
      <c r="N28">
        <v>0</v>
      </c>
      <c r="O28">
        <v>12</v>
      </c>
      <c r="P28">
        <v>12</v>
      </c>
    </row>
    <row r="29" spans="1:16" x14ac:dyDescent="0.3">
      <c r="A29">
        <v>188</v>
      </c>
      <c r="B29" s="21">
        <v>40552</v>
      </c>
      <c r="C29" t="s">
        <v>16</v>
      </c>
      <c r="D29" t="s">
        <v>70</v>
      </c>
      <c r="E29">
        <v>2</v>
      </c>
      <c r="F29" t="s">
        <v>72</v>
      </c>
      <c r="G29" t="s">
        <v>73</v>
      </c>
      <c r="H29" t="s">
        <v>74</v>
      </c>
      <c r="I29">
        <v>4.1000000000000005</v>
      </c>
      <c r="J29">
        <v>0.1</v>
      </c>
      <c r="K29">
        <v>6.0600000000000001E-2</v>
      </c>
      <c r="L29">
        <v>0.46</v>
      </c>
      <c r="M29">
        <v>0.4627</v>
      </c>
      <c r="N29">
        <v>0</v>
      </c>
      <c r="O29">
        <v>11</v>
      </c>
      <c r="P29">
        <v>11</v>
      </c>
    </row>
    <row r="30" spans="1:16" x14ac:dyDescent="0.3">
      <c r="A30">
        <v>189</v>
      </c>
      <c r="B30" s="21">
        <v>40552</v>
      </c>
      <c r="C30" t="s">
        <v>16</v>
      </c>
      <c r="D30" t="s">
        <v>70</v>
      </c>
      <c r="E30">
        <v>3</v>
      </c>
      <c r="F30" t="s">
        <v>72</v>
      </c>
      <c r="G30" t="s">
        <v>73</v>
      </c>
      <c r="H30" t="s">
        <v>74</v>
      </c>
      <c r="I30">
        <v>4.1000000000000005</v>
      </c>
      <c r="J30">
        <v>0.1</v>
      </c>
      <c r="K30">
        <v>7.5800000000000006E-2</v>
      </c>
      <c r="L30">
        <v>0.46</v>
      </c>
      <c r="M30">
        <v>0.41789999999999999</v>
      </c>
      <c r="N30">
        <v>0</v>
      </c>
      <c r="O30">
        <v>4</v>
      </c>
      <c r="P30">
        <v>4</v>
      </c>
    </row>
    <row r="31" spans="1:16" x14ac:dyDescent="0.3">
      <c r="A31">
        <v>190</v>
      </c>
      <c r="B31" s="21">
        <v>40552</v>
      </c>
      <c r="C31" t="s">
        <v>16</v>
      </c>
      <c r="D31" t="s">
        <v>70</v>
      </c>
      <c r="E31">
        <v>4</v>
      </c>
      <c r="F31" t="s">
        <v>72</v>
      </c>
      <c r="G31" t="s">
        <v>73</v>
      </c>
      <c r="H31" t="s">
        <v>74</v>
      </c>
      <c r="I31">
        <v>3.2800000000000002</v>
      </c>
      <c r="J31">
        <v>0.08</v>
      </c>
      <c r="K31">
        <v>9.0899999999999995E-2</v>
      </c>
      <c r="L31">
        <v>0.53</v>
      </c>
      <c r="M31">
        <v>0.19400000000000001</v>
      </c>
      <c r="N31">
        <v>0</v>
      </c>
      <c r="O31">
        <v>1</v>
      </c>
      <c r="P31">
        <v>1</v>
      </c>
    </row>
    <row r="32" spans="1:16" x14ac:dyDescent="0.3">
      <c r="A32">
        <v>191</v>
      </c>
      <c r="B32" s="21">
        <v>40552</v>
      </c>
      <c r="C32" t="s">
        <v>16</v>
      </c>
      <c r="D32" t="s">
        <v>70</v>
      </c>
      <c r="E32">
        <v>5</v>
      </c>
      <c r="F32" t="s">
        <v>72</v>
      </c>
      <c r="G32" t="s">
        <v>73</v>
      </c>
      <c r="H32" t="s">
        <v>74</v>
      </c>
      <c r="I32">
        <v>3.2800000000000002</v>
      </c>
      <c r="J32">
        <v>0.08</v>
      </c>
      <c r="K32">
        <v>9.0899999999999995E-2</v>
      </c>
      <c r="L32">
        <v>0.53</v>
      </c>
      <c r="M32">
        <v>0.19400000000000001</v>
      </c>
      <c r="N32">
        <v>0</v>
      </c>
      <c r="O32">
        <v>1</v>
      </c>
      <c r="P32">
        <v>1</v>
      </c>
    </row>
    <row r="33" spans="1:16" x14ac:dyDescent="0.3">
      <c r="A33">
        <v>192</v>
      </c>
      <c r="B33" s="21">
        <v>40552</v>
      </c>
      <c r="C33" t="s">
        <v>16</v>
      </c>
      <c r="D33" t="s">
        <v>70</v>
      </c>
      <c r="E33">
        <v>6</v>
      </c>
      <c r="F33" t="s">
        <v>72</v>
      </c>
      <c r="G33" t="s">
        <v>73</v>
      </c>
      <c r="H33" t="s">
        <v>74</v>
      </c>
      <c r="I33">
        <v>4.1000000000000005</v>
      </c>
      <c r="J33">
        <v>0.1</v>
      </c>
      <c r="K33">
        <v>9.0899999999999995E-2</v>
      </c>
      <c r="L33">
        <v>0.49</v>
      </c>
      <c r="M33">
        <v>0.28360000000000002</v>
      </c>
      <c r="N33">
        <v>0</v>
      </c>
      <c r="O33">
        <v>1</v>
      </c>
      <c r="P33">
        <v>1</v>
      </c>
    </row>
    <row r="34" spans="1:16" x14ac:dyDescent="0.3">
      <c r="A34">
        <v>193</v>
      </c>
      <c r="B34" s="21">
        <v>40552</v>
      </c>
      <c r="C34" t="s">
        <v>16</v>
      </c>
      <c r="D34" t="s">
        <v>70</v>
      </c>
      <c r="E34">
        <v>7</v>
      </c>
      <c r="F34" t="s">
        <v>72</v>
      </c>
      <c r="G34" t="s">
        <v>73</v>
      </c>
      <c r="H34" t="s">
        <v>74</v>
      </c>
      <c r="I34">
        <v>3.2800000000000002</v>
      </c>
      <c r="J34">
        <v>0.08</v>
      </c>
      <c r="K34">
        <v>9.0899999999999995E-2</v>
      </c>
      <c r="L34">
        <v>0.53</v>
      </c>
      <c r="M34">
        <v>0.19400000000000001</v>
      </c>
      <c r="N34">
        <v>1</v>
      </c>
      <c r="O34">
        <v>5</v>
      </c>
      <c r="P34">
        <v>6</v>
      </c>
    </row>
    <row r="35" spans="1:16" x14ac:dyDescent="0.3">
      <c r="A35">
        <v>194</v>
      </c>
      <c r="B35" s="21">
        <v>40552</v>
      </c>
      <c r="C35" t="s">
        <v>16</v>
      </c>
      <c r="D35" t="s">
        <v>70</v>
      </c>
      <c r="E35">
        <v>8</v>
      </c>
      <c r="F35" t="s">
        <v>72</v>
      </c>
      <c r="G35" t="s">
        <v>73</v>
      </c>
      <c r="H35" t="s">
        <v>74</v>
      </c>
      <c r="I35">
        <v>4.1000000000000005</v>
      </c>
      <c r="J35">
        <v>0.1</v>
      </c>
      <c r="K35">
        <v>9.0899999999999995E-2</v>
      </c>
      <c r="L35">
        <v>0.49</v>
      </c>
      <c r="M35">
        <v>0.28360000000000002</v>
      </c>
      <c r="N35">
        <v>0</v>
      </c>
      <c r="O35">
        <v>10</v>
      </c>
      <c r="P35">
        <v>10</v>
      </c>
    </row>
    <row r="36" spans="1:16" x14ac:dyDescent="0.3">
      <c r="A36">
        <v>195</v>
      </c>
      <c r="B36" s="21">
        <v>40552</v>
      </c>
      <c r="C36" t="s">
        <v>16</v>
      </c>
      <c r="D36" t="s">
        <v>70</v>
      </c>
      <c r="E36">
        <v>9</v>
      </c>
      <c r="F36" t="s">
        <v>72</v>
      </c>
      <c r="G36" t="s">
        <v>73</v>
      </c>
      <c r="H36" t="s">
        <v>74</v>
      </c>
      <c r="I36">
        <v>4.92</v>
      </c>
      <c r="J36">
        <v>0.12</v>
      </c>
      <c r="K36">
        <v>7.5800000000000006E-2</v>
      </c>
      <c r="L36">
        <v>0.46</v>
      </c>
      <c r="M36">
        <v>0.52239999999999998</v>
      </c>
      <c r="N36">
        <v>0</v>
      </c>
      <c r="O36">
        <v>19</v>
      </c>
      <c r="P36">
        <v>19</v>
      </c>
    </row>
    <row r="37" spans="1:16" x14ac:dyDescent="0.3">
      <c r="A37">
        <v>196</v>
      </c>
      <c r="B37" s="21">
        <v>40552</v>
      </c>
      <c r="C37" t="s">
        <v>16</v>
      </c>
      <c r="D37" t="s">
        <v>70</v>
      </c>
      <c r="E37">
        <v>10</v>
      </c>
      <c r="F37" t="s">
        <v>72</v>
      </c>
      <c r="G37" t="s">
        <v>73</v>
      </c>
      <c r="H37" t="s">
        <v>74</v>
      </c>
      <c r="I37">
        <v>5.74</v>
      </c>
      <c r="J37">
        <v>0.14000000000000001</v>
      </c>
      <c r="K37">
        <v>0.1061</v>
      </c>
      <c r="L37">
        <v>0.43</v>
      </c>
      <c r="M37">
        <v>0.3881</v>
      </c>
      <c r="N37">
        <v>0</v>
      </c>
      <c r="O37">
        <v>49</v>
      </c>
      <c r="P37">
        <v>49</v>
      </c>
    </row>
    <row r="38" spans="1:16" x14ac:dyDescent="0.3">
      <c r="A38">
        <v>197</v>
      </c>
      <c r="B38" s="21">
        <v>40552</v>
      </c>
      <c r="C38" t="s">
        <v>16</v>
      </c>
      <c r="D38" t="s">
        <v>70</v>
      </c>
      <c r="E38">
        <v>11</v>
      </c>
      <c r="F38" t="s">
        <v>72</v>
      </c>
      <c r="G38" t="s">
        <v>73</v>
      </c>
      <c r="H38" t="s">
        <v>74</v>
      </c>
      <c r="I38">
        <v>6.5600000000000005</v>
      </c>
      <c r="J38">
        <v>0.16</v>
      </c>
      <c r="K38">
        <v>0.1212</v>
      </c>
      <c r="L38">
        <v>0.4</v>
      </c>
      <c r="M38">
        <v>0.52239999999999998</v>
      </c>
      <c r="N38">
        <v>2</v>
      </c>
      <c r="O38">
        <v>47</v>
      </c>
      <c r="P38">
        <v>49</v>
      </c>
    </row>
    <row r="39" spans="1:16" x14ac:dyDescent="0.3">
      <c r="A39">
        <v>198</v>
      </c>
      <c r="B39" s="21">
        <v>40552</v>
      </c>
      <c r="C39" t="s">
        <v>16</v>
      </c>
      <c r="D39" t="s">
        <v>70</v>
      </c>
      <c r="E39">
        <v>12</v>
      </c>
      <c r="F39" t="s">
        <v>72</v>
      </c>
      <c r="G39" t="s">
        <v>73</v>
      </c>
      <c r="H39" t="s">
        <v>74</v>
      </c>
      <c r="I39">
        <v>7.38</v>
      </c>
      <c r="J39">
        <v>0.18</v>
      </c>
      <c r="K39">
        <v>0.13639999999999999</v>
      </c>
      <c r="L39">
        <v>0.37</v>
      </c>
      <c r="M39">
        <v>0.44779999999999998</v>
      </c>
      <c r="N39">
        <v>4</v>
      </c>
      <c r="O39">
        <v>79</v>
      </c>
      <c r="P39">
        <v>83</v>
      </c>
    </row>
    <row r="40" spans="1:16" x14ac:dyDescent="0.3">
      <c r="A40">
        <v>199</v>
      </c>
      <c r="B40" s="21">
        <v>40552</v>
      </c>
      <c r="C40" t="s">
        <v>16</v>
      </c>
      <c r="D40" t="s">
        <v>70</v>
      </c>
      <c r="E40">
        <v>13</v>
      </c>
      <c r="F40" t="s">
        <v>72</v>
      </c>
      <c r="G40" t="s">
        <v>73</v>
      </c>
      <c r="H40" t="s">
        <v>74</v>
      </c>
      <c r="I40">
        <v>8.2000000000000011</v>
      </c>
      <c r="J40">
        <v>0.2</v>
      </c>
      <c r="K40">
        <v>0.16669999999999999</v>
      </c>
      <c r="L40">
        <v>0.34</v>
      </c>
      <c r="M40">
        <v>0.44779999999999998</v>
      </c>
      <c r="N40">
        <v>6</v>
      </c>
      <c r="O40">
        <v>69</v>
      </c>
      <c r="P40">
        <v>75</v>
      </c>
    </row>
    <row r="41" spans="1:16" x14ac:dyDescent="0.3">
      <c r="A41">
        <v>200</v>
      </c>
      <c r="B41" s="21">
        <v>40552</v>
      </c>
      <c r="C41" t="s">
        <v>16</v>
      </c>
      <c r="D41" t="s">
        <v>70</v>
      </c>
      <c r="E41">
        <v>14</v>
      </c>
      <c r="F41" t="s">
        <v>72</v>
      </c>
      <c r="G41" t="s">
        <v>73</v>
      </c>
      <c r="H41" t="s">
        <v>74</v>
      </c>
      <c r="I41">
        <v>9.02</v>
      </c>
      <c r="J41">
        <v>0.22</v>
      </c>
      <c r="K41">
        <v>0.18179999999999999</v>
      </c>
      <c r="L41">
        <v>0.32</v>
      </c>
      <c r="M41">
        <v>0.4627</v>
      </c>
      <c r="N41">
        <v>8</v>
      </c>
      <c r="O41">
        <v>64</v>
      </c>
      <c r="P41">
        <v>72</v>
      </c>
    </row>
    <row r="42" spans="1:16" x14ac:dyDescent="0.3">
      <c r="A42">
        <v>201</v>
      </c>
      <c r="B42" s="21">
        <v>40552</v>
      </c>
      <c r="C42" t="s">
        <v>16</v>
      </c>
      <c r="D42" t="s">
        <v>70</v>
      </c>
      <c r="E42">
        <v>15</v>
      </c>
      <c r="F42" t="s">
        <v>72</v>
      </c>
      <c r="G42" t="s">
        <v>73</v>
      </c>
      <c r="H42" t="s">
        <v>74</v>
      </c>
      <c r="I42">
        <v>9.02</v>
      </c>
      <c r="J42">
        <v>0.22</v>
      </c>
      <c r="K42">
        <v>0.19700000000000001</v>
      </c>
      <c r="L42">
        <v>0.35</v>
      </c>
      <c r="M42">
        <v>0.35820000000000002</v>
      </c>
      <c r="N42">
        <v>5</v>
      </c>
      <c r="O42">
        <v>77</v>
      </c>
      <c r="P42">
        <v>82</v>
      </c>
    </row>
    <row r="43" spans="1:16" x14ac:dyDescent="0.3">
      <c r="A43">
        <v>202</v>
      </c>
      <c r="B43" s="21">
        <v>40552</v>
      </c>
      <c r="C43" t="s">
        <v>16</v>
      </c>
      <c r="D43" t="s">
        <v>70</v>
      </c>
      <c r="E43">
        <v>16</v>
      </c>
      <c r="F43" t="s">
        <v>72</v>
      </c>
      <c r="G43" t="s">
        <v>73</v>
      </c>
      <c r="H43" t="s">
        <v>74</v>
      </c>
      <c r="I43">
        <v>8.2000000000000011</v>
      </c>
      <c r="J43">
        <v>0.2</v>
      </c>
      <c r="K43">
        <v>0.16669999999999999</v>
      </c>
      <c r="L43">
        <v>0.34</v>
      </c>
      <c r="M43">
        <v>0.44779999999999998</v>
      </c>
      <c r="N43">
        <v>13</v>
      </c>
      <c r="O43">
        <v>79</v>
      </c>
      <c r="P43">
        <v>92</v>
      </c>
    </row>
    <row r="44" spans="1:16" x14ac:dyDescent="0.3">
      <c r="A44">
        <v>203</v>
      </c>
      <c r="B44" s="21">
        <v>40552</v>
      </c>
      <c r="C44" t="s">
        <v>16</v>
      </c>
      <c r="D44" t="s">
        <v>70</v>
      </c>
      <c r="E44">
        <v>17</v>
      </c>
      <c r="F44" t="s">
        <v>72</v>
      </c>
      <c r="G44" t="s">
        <v>73</v>
      </c>
      <c r="H44" t="s">
        <v>74</v>
      </c>
      <c r="I44">
        <v>7.38</v>
      </c>
      <c r="J44">
        <v>0.18</v>
      </c>
      <c r="K44">
        <v>0.1515</v>
      </c>
      <c r="L44">
        <v>0.37</v>
      </c>
      <c r="M44">
        <v>0.3881</v>
      </c>
      <c r="N44">
        <v>3</v>
      </c>
      <c r="O44">
        <v>59</v>
      </c>
      <c r="P44">
        <v>62</v>
      </c>
    </row>
    <row r="45" spans="1:16" x14ac:dyDescent="0.3">
      <c r="A45">
        <v>204</v>
      </c>
      <c r="B45" s="21">
        <v>40552</v>
      </c>
      <c r="C45" t="s">
        <v>16</v>
      </c>
      <c r="D45" t="s">
        <v>70</v>
      </c>
      <c r="E45">
        <v>18</v>
      </c>
      <c r="F45" t="s">
        <v>72</v>
      </c>
      <c r="G45" t="s">
        <v>73</v>
      </c>
      <c r="H45" t="s">
        <v>74</v>
      </c>
      <c r="I45">
        <v>6.5600000000000005</v>
      </c>
      <c r="J45">
        <v>0.16</v>
      </c>
      <c r="K45">
        <v>0.13639999999999999</v>
      </c>
      <c r="L45">
        <v>0.4</v>
      </c>
      <c r="M45">
        <v>0.32840000000000003</v>
      </c>
      <c r="N45">
        <v>4</v>
      </c>
      <c r="O45">
        <v>44</v>
      </c>
      <c r="P45">
        <v>48</v>
      </c>
    </row>
    <row r="46" spans="1:16" x14ac:dyDescent="0.3">
      <c r="A46">
        <v>205</v>
      </c>
      <c r="B46" s="21">
        <v>40552</v>
      </c>
      <c r="C46" t="s">
        <v>16</v>
      </c>
      <c r="D46" t="s">
        <v>70</v>
      </c>
      <c r="E46">
        <v>19</v>
      </c>
      <c r="F46" t="s">
        <v>72</v>
      </c>
      <c r="G46" t="s">
        <v>73</v>
      </c>
      <c r="H46" t="s">
        <v>74</v>
      </c>
      <c r="I46">
        <v>6.5600000000000005</v>
      </c>
      <c r="J46">
        <v>0.16</v>
      </c>
      <c r="K46">
        <v>0.13639999999999999</v>
      </c>
      <c r="L46">
        <v>0.43</v>
      </c>
      <c r="M46">
        <v>0.32840000000000003</v>
      </c>
      <c r="N46">
        <v>1</v>
      </c>
      <c r="O46">
        <v>40</v>
      </c>
      <c r="P46">
        <v>41</v>
      </c>
    </row>
    <row r="47" spans="1:16" x14ac:dyDescent="0.3">
      <c r="A47">
        <v>206</v>
      </c>
      <c r="B47" s="21">
        <v>40552</v>
      </c>
      <c r="C47" t="s">
        <v>16</v>
      </c>
      <c r="D47" t="s">
        <v>70</v>
      </c>
      <c r="E47">
        <v>20</v>
      </c>
      <c r="F47" t="s">
        <v>72</v>
      </c>
      <c r="G47" t="s">
        <v>73</v>
      </c>
      <c r="H47" t="s">
        <v>74</v>
      </c>
      <c r="I47">
        <v>5.74</v>
      </c>
      <c r="J47">
        <v>0.14000000000000001</v>
      </c>
      <c r="K47">
        <v>0.1212</v>
      </c>
      <c r="L47">
        <v>0.46</v>
      </c>
      <c r="M47">
        <v>0.25369999999999998</v>
      </c>
      <c r="N47">
        <v>0</v>
      </c>
      <c r="O47">
        <v>38</v>
      </c>
      <c r="P47">
        <v>38</v>
      </c>
    </row>
    <row r="48" spans="1:16" x14ac:dyDescent="0.3">
      <c r="A48">
        <v>207</v>
      </c>
      <c r="B48" s="21">
        <v>40552</v>
      </c>
      <c r="C48" t="s">
        <v>16</v>
      </c>
      <c r="D48" t="s">
        <v>70</v>
      </c>
      <c r="E48">
        <v>21</v>
      </c>
      <c r="F48" t="s">
        <v>72</v>
      </c>
      <c r="G48" t="s">
        <v>73</v>
      </c>
      <c r="H48" t="s">
        <v>74</v>
      </c>
      <c r="I48">
        <v>5.74</v>
      </c>
      <c r="J48">
        <v>0.14000000000000001</v>
      </c>
      <c r="K48">
        <v>0.1061</v>
      </c>
      <c r="L48">
        <v>0.46</v>
      </c>
      <c r="M48">
        <v>0.41789999999999999</v>
      </c>
      <c r="N48">
        <v>1</v>
      </c>
      <c r="O48">
        <v>19</v>
      </c>
      <c r="P48">
        <v>20</v>
      </c>
    </row>
    <row r="49" spans="1:16" x14ac:dyDescent="0.3">
      <c r="A49">
        <v>208</v>
      </c>
      <c r="B49" s="21">
        <v>40552</v>
      </c>
      <c r="C49" t="s">
        <v>16</v>
      </c>
      <c r="D49" t="s">
        <v>70</v>
      </c>
      <c r="E49">
        <v>22</v>
      </c>
      <c r="F49" t="s">
        <v>72</v>
      </c>
      <c r="G49" t="s">
        <v>73</v>
      </c>
      <c r="H49" t="s">
        <v>74</v>
      </c>
      <c r="I49">
        <v>5.74</v>
      </c>
      <c r="J49">
        <v>0.14000000000000001</v>
      </c>
      <c r="K49">
        <v>0.1212</v>
      </c>
      <c r="L49">
        <v>0.46</v>
      </c>
      <c r="M49">
        <v>0.29849999999999999</v>
      </c>
      <c r="N49">
        <v>5</v>
      </c>
      <c r="O49">
        <v>10</v>
      </c>
      <c r="P49">
        <v>15</v>
      </c>
    </row>
    <row r="50" spans="1:16" x14ac:dyDescent="0.3">
      <c r="A50">
        <v>209</v>
      </c>
      <c r="B50" s="21">
        <v>40552</v>
      </c>
      <c r="C50" t="s">
        <v>16</v>
      </c>
      <c r="D50" t="s">
        <v>70</v>
      </c>
      <c r="E50">
        <v>23</v>
      </c>
      <c r="F50" t="s">
        <v>72</v>
      </c>
      <c r="G50" t="s">
        <v>73</v>
      </c>
      <c r="H50" t="s">
        <v>74</v>
      </c>
      <c r="I50">
        <v>4.92</v>
      </c>
      <c r="J50">
        <v>0.12</v>
      </c>
      <c r="K50">
        <v>0.13639999999999999</v>
      </c>
      <c r="L50">
        <v>0.5</v>
      </c>
      <c r="M50">
        <v>0.19400000000000001</v>
      </c>
      <c r="N50">
        <v>0</v>
      </c>
      <c r="O50">
        <v>6</v>
      </c>
      <c r="P50">
        <v>6</v>
      </c>
    </row>
    <row r="51" spans="1:16" x14ac:dyDescent="0.3">
      <c r="A51">
        <v>349</v>
      </c>
      <c r="B51" s="21">
        <v>40559</v>
      </c>
      <c r="C51" t="s">
        <v>16</v>
      </c>
      <c r="D51" t="s">
        <v>70</v>
      </c>
      <c r="E51">
        <v>0</v>
      </c>
      <c r="F51" t="s">
        <v>72</v>
      </c>
      <c r="G51" t="s">
        <v>73</v>
      </c>
      <c r="H51" t="s">
        <v>74</v>
      </c>
      <c r="I51">
        <v>10.66</v>
      </c>
      <c r="J51">
        <v>0.26</v>
      </c>
      <c r="K51">
        <v>0.30299999999999999</v>
      </c>
      <c r="L51">
        <v>0.56000000000000005</v>
      </c>
      <c r="M51">
        <v>0</v>
      </c>
      <c r="N51">
        <v>6</v>
      </c>
      <c r="O51">
        <v>33</v>
      </c>
      <c r="P51">
        <v>39</v>
      </c>
    </row>
    <row r="52" spans="1:16" x14ac:dyDescent="0.3">
      <c r="A52">
        <v>350</v>
      </c>
      <c r="B52" s="21">
        <v>40559</v>
      </c>
      <c r="C52" t="s">
        <v>16</v>
      </c>
      <c r="D52" t="s">
        <v>70</v>
      </c>
      <c r="E52">
        <v>1</v>
      </c>
      <c r="F52" t="s">
        <v>72</v>
      </c>
      <c r="G52" t="s">
        <v>73</v>
      </c>
      <c r="H52" t="s">
        <v>74</v>
      </c>
      <c r="I52">
        <v>10.66</v>
      </c>
      <c r="J52">
        <v>0.26</v>
      </c>
      <c r="K52">
        <v>0.2727</v>
      </c>
      <c r="L52">
        <v>0.56000000000000005</v>
      </c>
      <c r="M52">
        <v>0.1343</v>
      </c>
      <c r="N52">
        <v>4</v>
      </c>
      <c r="O52">
        <v>19</v>
      </c>
      <c r="P52">
        <v>23</v>
      </c>
    </row>
    <row r="53" spans="1:16" x14ac:dyDescent="0.3">
      <c r="A53">
        <v>351</v>
      </c>
      <c r="B53" s="21">
        <v>40559</v>
      </c>
      <c r="C53" t="s">
        <v>16</v>
      </c>
      <c r="D53" t="s">
        <v>70</v>
      </c>
      <c r="E53">
        <v>2</v>
      </c>
      <c r="F53" t="s">
        <v>72</v>
      </c>
      <c r="G53" t="s">
        <v>73</v>
      </c>
      <c r="H53" t="s">
        <v>74</v>
      </c>
      <c r="I53">
        <v>10.66</v>
      </c>
      <c r="J53">
        <v>0.26</v>
      </c>
      <c r="K53">
        <v>0.28789999999999999</v>
      </c>
      <c r="L53">
        <v>0.56000000000000005</v>
      </c>
      <c r="M53">
        <v>8.9599999999999999E-2</v>
      </c>
      <c r="N53">
        <v>3</v>
      </c>
      <c r="O53">
        <v>13</v>
      </c>
      <c r="P53">
        <v>16</v>
      </c>
    </row>
    <row r="54" spans="1:16" x14ac:dyDescent="0.3">
      <c r="A54">
        <v>352</v>
      </c>
      <c r="B54" s="21">
        <v>40559</v>
      </c>
      <c r="C54" t="s">
        <v>16</v>
      </c>
      <c r="D54" t="s">
        <v>70</v>
      </c>
      <c r="E54">
        <v>3</v>
      </c>
      <c r="F54" t="s">
        <v>72</v>
      </c>
      <c r="G54" t="s">
        <v>73</v>
      </c>
      <c r="H54" t="s">
        <v>74</v>
      </c>
      <c r="I54">
        <v>9.02</v>
      </c>
      <c r="J54">
        <v>0.22</v>
      </c>
      <c r="K54">
        <v>0.2727</v>
      </c>
      <c r="L54">
        <v>0.69</v>
      </c>
      <c r="M54">
        <v>0</v>
      </c>
      <c r="N54">
        <v>9</v>
      </c>
      <c r="O54">
        <v>6</v>
      </c>
      <c r="P54">
        <v>15</v>
      </c>
    </row>
    <row r="55" spans="1:16" x14ac:dyDescent="0.3">
      <c r="A55">
        <v>353</v>
      </c>
      <c r="B55" s="21">
        <v>40559</v>
      </c>
      <c r="C55" t="s">
        <v>16</v>
      </c>
      <c r="D55" t="s">
        <v>70</v>
      </c>
      <c r="E55">
        <v>4</v>
      </c>
      <c r="F55" t="s">
        <v>72</v>
      </c>
      <c r="G55" t="s">
        <v>73</v>
      </c>
      <c r="H55" t="s">
        <v>74</v>
      </c>
      <c r="I55">
        <v>10.66</v>
      </c>
      <c r="J55">
        <v>0.26</v>
      </c>
      <c r="K55">
        <v>0.2576</v>
      </c>
      <c r="L55">
        <v>0.56000000000000005</v>
      </c>
      <c r="M55">
        <v>0.16420000000000001</v>
      </c>
      <c r="N55">
        <v>0</v>
      </c>
      <c r="O55">
        <v>1</v>
      </c>
      <c r="P55">
        <v>1</v>
      </c>
    </row>
    <row r="56" spans="1:16" x14ac:dyDescent="0.3">
      <c r="A56">
        <v>354</v>
      </c>
      <c r="B56" s="21">
        <v>40559</v>
      </c>
      <c r="C56" t="s">
        <v>16</v>
      </c>
      <c r="D56" t="s">
        <v>70</v>
      </c>
      <c r="E56">
        <v>5</v>
      </c>
      <c r="F56" t="s">
        <v>72</v>
      </c>
      <c r="G56" t="s">
        <v>73</v>
      </c>
      <c r="H56" t="s">
        <v>75</v>
      </c>
      <c r="I56">
        <v>10.66</v>
      </c>
      <c r="J56">
        <v>0.26</v>
      </c>
      <c r="K56">
        <v>0.2576</v>
      </c>
      <c r="L56">
        <v>0.56000000000000005</v>
      </c>
      <c r="M56">
        <v>0.16420000000000001</v>
      </c>
      <c r="N56">
        <v>1</v>
      </c>
      <c r="O56">
        <v>1</v>
      </c>
      <c r="P56">
        <v>2</v>
      </c>
    </row>
    <row r="57" spans="1:16" x14ac:dyDescent="0.3">
      <c r="A57">
        <v>355</v>
      </c>
      <c r="B57" s="21">
        <v>40559</v>
      </c>
      <c r="C57" t="s">
        <v>16</v>
      </c>
      <c r="D57" t="s">
        <v>70</v>
      </c>
      <c r="E57">
        <v>6</v>
      </c>
      <c r="F57" t="s">
        <v>72</v>
      </c>
      <c r="G57" t="s">
        <v>73</v>
      </c>
      <c r="H57" t="s">
        <v>75</v>
      </c>
      <c r="I57">
        <v>10.66</v>
      </c>
      <c r="J57">
        <v>0.26</v>
      </c>
      <c r="K57">
        <v>0.2576</v>
      </c>
      <c r="L57">
        <v>0.56000000000000005</v>
      </c>
      <c r="M57">
        <v>0.16420000000000001</v>
      </c>
      <c r="N57">
        <v>0</v>
      </c>
      <c r="O57">
        <v>1</v>
      </c>
      <c r="P57">
        <v>1</v>
      </c>
    </row>
    <row r="58" spans="1:16" x14ac:dyDescent="0.3">
      <c r="A58">
        <v>356</v>
      </c>
      <c r="B58" s="21">
        <v>40559</v>
      </c>
      <c r="C58" t="s">
        <v>16</v>
      </c>
      <c r="D58" t="s">
        <v>70</v>
      </c>
      <c r="E58">
        <v>7</v>
      </c>
      <c r="F58" t="s">
        <v>72</v>
      </c>
      <c r="G58" t="s">
        <v>73</v>
      </c>
      <c r="H58" t="s">
        <v>75</v>
      </c>
      <c r="I58">
        <v>9.84</v>
      </c>
      <c r="J58">
        <v>0.24</v>
      </c>
      <c r="K58">
        <v>0.21210000000000001</v>
      </c>
      <c r="L58">
        <v>0.56000000000000005</v>
      </c>
      <c r="M58">
        <v>0.29849999999999999</v>
      </c>
      <c r="N58">
        <v>0</v>
      </c>
      <c r="O58">
        <v>3</v>
      </c>
      <c r="P58">
        <v>3</v>
      </c>
    </row>
    <row r="59" spans="1:16" x14ac:dyDescent="0.3">
      <c r="A59">
        <v>357</v>
      </c>
      <c r="B59" s="21">
        <v>40559</v>
      </c>
      <c r="C59" t="s">
        <v>16</v>
      </c>
      <c r="D59" t="s">
        <v>70</v>
      </c>
      <c r="E59">
        <v>8</v>
      </c>
      <c r="F59" t="s">
        <v>72</v>
      </c>
      <c r="G59" t="s">
        <v>73</v>
      </c>
      <c r="H59" t="s">
        <v>74</v>
      </c>
      <c r="I59">
        <v>9.02</v>
      </c>
      <c r="J59">
        <v>0.22</v>
      </c>
      <c r="K59">
        <v>0.21210000000000001</v>
      </c>
      <c r="L59">
        <v>0.55000000000000004</v>
      </c>
      <c r="M59">
        <v>0.28360000000000002</v>
      </c>
      <c r="N59">
        <v>0</v>
      </c>
      <c r="O59">
        <v>18</v>
      </c>
      <c r="P59">
        <v>18</v>
      </c>
    </row>
    <row r="60" spans="1:16" x14ac:dyDescent="0.3">
      <c r="A60">
        <v>358</v>
      </c>
      <c r="B60" s="21">
        <v>40559</v>
      </c>
      <c r="C60" t="s">
        <v>16</v>
      </c>
      <c r="D60" t="s">
        <v>70</v>
      </c>
      <c r="E60">
        <v>9</v>
      </c>
      <c r="F60" t="s">
        <v>72</v>
      </c>
      <c r="G60" t="s">
        <v>73</v>
      </c>
      <c r="H60" t="s">
        <v>74</v>
      </c>
      <c r="I60">
        <v>9.02</v>
      </c>
      <c r="J60">
        <v>0.22</v>
      </c>
      <c r="K60">
        <v>0.21210000000000001</v>
      </c>
      <c r="L60">
        <v>0.51</v>
      </c>
      <c r="M60">
        <v>0.25369999999999998</v>
      </c>
      <c r="N60">
        <v>3</v>
      </c>
      <c r="O60">
        <v>29</v>
      </c>
      <c r="P60">
        <v>32</v>
      </c>
    </row>
    <row r="61" spans="1:16" x14ac:dyDescent="0.3">
      <c r="A61">
        <v>359</v>
      </c>
      <c r="B61" s="21">
        <v>40559</v>
      </c>
      <c r="C61" t="s">
        <v>16</v>
      </c>
      <c r="D61" t="s">
        <v>70</v>
      </c>
      <c r="E61">
        <v>10</v>
      </c>
      <c r="F61" t="s">
        <v>72</v>
      </c>
      <c r="G61" t="s">
        <v>73</v>
      </c>
      <c r="H61" t="s">
        <v>74</v>
      </c>
      <c r="I61">
        <v>9.02</v>
      </c>
      <c r="J61">
        <v>0.22</v>
      </c>
      <c r="K61">
        <v>0.21210000000000001</v>
      </c>
      <c r="L61">
        <v>0.51</v>
      </c>
      <c r="M61">
        <v>0.28360000000000002</v>
      </c>
      <c r="N61">
        <v>8</v>
      </c>
      <c r="O61">
        <v>71</v>
      </c>
      <c r="P61">
        <v>79</v>
      </c>
    </row>
    <row r="62" spans="1:16" x14ac:dyDescent="0.3">
      <c r="A62">
        <v>360</v>
      </c>
      <c r="B62" s="21">
        <v>40559</v>
      </c>
      <c r="C62" t="s">
        <v>16</v>
      </c>
      <c r="D62" t="s">
        <v>70</v>
      </c>
      <c r="E62">
        <v>11</v>
      </c>
      <c r="F62" t="s">
        <v>72</v>
      </c>
      <c r="G62" t="s">
        <v>73</v>
      </c>
      <c r="H62" t="s">
        <v>74</v>
      </c>
      <c r="I62">
        <v>9.84</v>
      </c>
      <c r="J62">
        <v>0.24</v>
      </c>
      <c r="K62">
        <v>0.2273</v>
      </c>
      <c r="L62">
        <v>0.44</v>
      </c>
      <c r="M62">
        <v>0.25369999999999998</v>
      </c>
      <c r="N62">
        <v>23</v>
      </c>
      <c r="O62">
        <v>70</v>
      </c>
      <c r="P62">
        <v>93</v>
      </c>
    </row>
    <row r="63" spans="1:16" x14ac:dyDescent="0.3">
      <c r="A63">
        <v>361</v>
      </c>
      <c r="B63" s="21">
        <v>40559</v>
      </c>
      <c r="C63" t="s">
        <v>16</v>
      </c>
      <c r="D63" t="s">
        <v>70</v>
      </c>
      <c r="E63">
        <v>12</v>
      </c>
      <c r="F63" t="s">
        <v>72</v>
      </c>
      <c r="G63" t="s">
        <v>73</v>
      </c>
      <c r="H63" t="s">
        <v>74</v>
      </c>
      <c r="I63">
        <v>9.84</v>
      </c>
      <c r="J63">
        <v>0.24</v>
      </c>
      <c r="K63">
        <v>0.21210000000000001</v>
      </c>
      <c r="L63">
        <v>0.41</v>
      </c>
      <c r="M63">
        <v>0.28360000000000002</v>
      </c>
      <c r="N63">
        <v>29</v>
      </c>
      <c r="O63">
        <v>75</v>
      </c>
      <c r="P63">
        <v>104</v>
      </c>
    </row>
    <row r="64" spans="1:16" x14ac:dyDescent="0.3">
      <c r="A64">
        <v>362</v>
      </c>
      <c r="B64" s="21">
        <v>40559</v>
      </c>
      <c r="C64" t="s">
        <v>16</v>
      </c>
      <c r="D64" t="s">
        <v>70</v>
      </c>
      <c r="E64">
        <v>13</v>
      </c>
      <c r="F64" t="s">
        <v>72</v>
      </c>
      <c r="G64" t="s">
        <v>73</v>
      </c>
      <c r="H64" t="s">
        <v>74</v>
      </c>
      <c r="I64">
        <v>10.66</v>
      </c>
      <c r="J64">
        <v>0.26</v>
      </c>
      <c r="K64">
        <v>0.2273</v>
      </c>
      <c r="L64">
        <v>0.35</v>
      </c>
      <c r="M64">
        <v>0.29849999999999999</v>
      </c>
      <c r="N64">
        <v>23</v>
      </c>
      <c r="O64">
        <v>95</v>
      </c>
      <c r="P64">
        <v>118</v>
      </c>
    </row>
    <row r="65" spans="1:16" x14ac:dyDescent="0.3">
      <c r="A65">
        <v>363</v>
      </c>
      <c r="B65" s="21">
        <v>40559</v>
      </c>
      <c r="C65" t="s">
        <v>16</v>
      </c>
      <c r="D65" t="s">
        <v>70</v>
      </c>
      <c r="E65">
        <v>14</v>
      </c>
      <c r="F65" t="s">
        <v>72</v>
      </c>
      <c r="G65" t="s">
        <v>73</v>
      </c>
      <c r="H65" t="s">
        <v>74</v>
      </c>
      <c r="I65">
        <v>11.48</v>
      </c>
      <c r="J65">
        <v>0.28000000000000003</v>
      </c>
      <c r="K65">
        <v>0.2727</v>
      </c>
      <c r="L65">
        <v>0.36</v>
      </c>
      <c r="M65">
        <v>0.25369999999999998</v>
      </c>
      <c r="N65">
        <v>22</v>
      </c>
      <c r="O65">
        <v>69</v>
      </c>
      <c r="P65">
        <v>91</v>
      </c>
    </row>
    <row r="66" spans="1:16" x14ac:dyDescent="0.3">
      <c r="A66">
        <v>364</v>
      </c>
      <c r="B66" s="21">
        <v>40559</v>
      </c>
      <c r="C66" t="s">
        <v>16</v>
      </c>
      <c r="D66" t="s">
        <v>70</v>
      </c>
      <c r="E66">
        <v>15</v>
      </c>
      <c r="F66" t="s">
        <v>72</v>
      </c>
      <c r="G66" t="s">
        <v>73</v>
      </c>
      <c r="H66" t="s">
        <v>74</v>
      </c>
      <c r="I66">
        <v>10.66</v>
      </c>
      <c r="J66">
        <v>0.26</v>
      </c>
      <c r="K66">
        <v>0.2424</v>
      </c>
      <c r="L66">
        <v>0.38</v>
      </c>
      <c r="M66">
        <v>0.25369999999999998</v>
      </c>
      <c r="N66">
        <v>35</v>
      </c>
      <c r="O66">
        <v>78</v>
      </c>
      <c r="P66">
        <v>113</v>
      </c>
    </row>
    <row r="67" spans="1:16" x14ac:dyDescent="0.3">
      <c r="A67">
        <v>365</v>
      </c>
      <c r="B67" s="21">
        <v>40559</v>
      </c>
      <c r="C67" t="s">
        <v>16</v>
      </c>
      <c r="D67" t="s">
        <v>70</v>
      </c>
      <c r="E67">
        <v>16</v>
      </c>
      <c r="F67" t="s">
        <v>72</v>
      </c>
      <c r="G67" t="s">
        <v>73</v>
      </c>
      <c r="H67" t="s">
        <v>74</v>
      </c>
      <c r="I67">
        <v>9.84</v>
      </c>
      <c r="J67">
        <v>0.24</v>
      </c>
      <c r="K67">
        <v>0.2273</v>
      </c>
      <c r="L67">
        <v>0.38</v>
      </c>
      <c r="M67">
        <v>0.22389999999999999</v>
      </c>
      <c r="N67">
        <v>22</v>
      </c>
      <c r="O67">
        <v>77</v>
      </c>
      <c r="P67">
        <v>99</v>
      </c>
    </row>
    <row r="68" spans="1:16" x14ac:dyDescent="0.3">
      <c r="A68">
        <v>366</v>
      </c>
      <c r="B68" s="21">
        <v>40559</v>
      </c>
      <c r="C68" t="s">
        <v>16</v>
      </c>
      <c r="D68" t="s">
        <v>70</v>
      </c>
      <c r="E68">
        <v>17</v>
      </c>
      <c r="F68" t="s">
        <v>72</v>
      </c>
      <c r="G68" t="s">
        <v>73</v>
      </c>
      <c r="H68" t="s">
        <v>74</v>
      </c>
      <c r="I68">
        <v>9.02</v>
      </c>
      <c r="J68">
        <v>0.22</v>
      </c>
      <c r="K68">
        <v>0.21210000000000001</v>
      </c>
      <c r="L68">
        <v>0.37</v>
      </c>
      <c r="M68">
        <v>0.25369999999999998</v>
      </c>
      <c r="N68">
        <v>23</v>
      </c>
      <c r="O68">
        <v>82</v>
      </c>
      <c r="P68">
        <v>105</v>
      </c>
    </row>
    <row r="69" spans="1:16" x14ac:dyDescent="0.3">
      <c r="A69">
        <v>367</v>
      </c>
      <c r="B69" s="21">
        <v>40559</v>
      </c>
      <c r="C69" t="s">
        <v>16</v>
      </c>
      <c r="D69" t="s">
        <v>70</v>
      </c>
      <c r="E69">
        <v>18</v>
      </c>
      <c r="F69" t="s">
        <v>72</v>
      </c>
      <c r="G69" t="s">
        <v>73</v>
      </c>
      <c r="H69" t="s">
        <v>74</v>
      </c>
      <c r="I69">
        <v>8.2000000000000011</v>
      </c>
      <c r="J69">
        <v>0.2</v>
      </c>
      <c r="K69">
        <v>0.21210000000000001</v>
      </c>
      <c r="L69">
        <v>0.4</v>
      </c>
      <c r="M69">
        <v>0.16420000000000001</v>
      </c>
      <c r="N69">
        <v>11</v>
      </c>
      <c r="O69">
        <v>56</v>
      </c>
      <c r="P69">
        <v>67</v>
      </c>
    </row>
    <row r="70" spans="1:16" x14ac:dyDescent="0.3">
      <c r="A70">
        <v>368</v>
      </c>
      <c r="B70" s="21">
        <v>40559</v>
      </c>
      <c r="C70" t="s">
        <v>16</v>
      </c>
      <c r="D70" t="s">
        <v>70</v>
      </c>
      <c r="E70">
        <v>19</v>
      </c>
      <c r="F70" t="s">
        <v>72</v>
      </c>
      <c r="G70" t="s">
        <v>73</v>
      </c>
      <c r="H70" t="s">
        <v>74</v>
      </c>
      <c r="I70">
        <v>7.38</v>
      </c>
      <c r="J70">
        <v>0.18</v>
      </c>
      <c r="K70">
        <v>0.19700000000000001</v>
      </c>
      <c r="L70">
        <v>0.47</v>
      </c>
      <c r="M70">
        <v>0.1343</v>
      </c>
      <c r="N70">
        <v>14</v>
      </c>
      <c r="O70">
        <v>47</v>
      </c>
      <c r="P70">
        <v>61</v>
      </c>
    </row>
    <row r="71" spans="1:16" x14ac:dyDescent="0.3">
      <c r="A71">
        <v>369</v>
      </c>
      <c r="B71" s="21">
        <v>40559</v>
      </c>
      <c r="C71" t="s">
        <v>16</v>
      </c>
      <c r="D71" t="s">
        <v>70</v>
      </c>
      <c r="E71">
        <v>20</v>
      </c>
      <c r="F71" t="s">
        <v>72</v>
      </c>
      <c r="G71" t="s">
        <v>73</v>
      </c>
      <c r="H71" t="s">
        <v>74</v>
      </c>
      <c r="I71">
        <v>7.38</v>
      </c>
      <c r="J71">
        <v>0.18</v>
      </c>
      <c r="K71">
        <v>0.19700000000000001</v>
      </c>
      <c r="L71">
        <v>0.47</v>
      </c>
      <c r="M71">
        <v>0.16420000000000001</v>
      </c>
      <c r="N71">
        <v>7</v>
      </c>
      <c r="O71">
        <v>50</v>
      </c>
      <c r="P71">
        <v>57</v>
      </c>
    </row>
    <row r="72" spans="1:16" x14ac:dyDescent="0.3">
      <c r="A72">
        <v>370</v>
      </c>
      <c r="B72" s="21">
        <v>40559</v>
      </c>
      <c r="C72" t="s">
        <v>16</v>
      </c>
      <c r="D72" t="s">
        <v>70</v>
      </c>
      <c r="E72">
        <v>21</v>
      </c>
      <c r="F72" t="s">
        <v>72</v>
      </c>
      <c r="G72" t="s">
        <v>73</v>
      </c>
      <c r="H72" t="s">
        <v>74</v>
      </c>
      <c r="I72">
        <v>7.38</v>
      </c>
      <c r="J72">
        <v>0.18</v>
      </c>
      <c r="K72">
        <v>0.19700000000000001</v>
      </c>
      <c r="L72">
        <v>0.51</v>
      </c>
      <c r="M72">
        <v>0.16420000000000001</v>
      </c>
      <c r="N72">
        <v>6</v>
      </c>
      <c r="O72">
        <v>22</v>
      </c>
      <c r="P72">
        <v>28</v>
      </c>
    </row>
    <row r="73" spans="1:16" x14ac:dyDescent="0.3">
      <c r="A73">
        <v>371</v>
      </c>
      <c r="B73" s="21">
        <v>40559</v>
      </c>
      <c r="C73" t="s">
        <v>16</v>
      </c>
      <c r="D73" t="s">
        <v>70</v>
      </c>
      <c r="E73">
        <v>22</v>
      </c>
      <c r="F73" t="s">
        <v>72</v>
      </c>
      <c r="G73" t="s">
        <v>73</v>
      </c>
      <c r="H73" t="s">
        <v>75</v>
      </c>
      <c r="I73">
        <v>8.2000000000000011</v>
      </c>
      <c r="J73">
        <v>0.2</v>
      </c>
      <c r="K73">
        <v>0.21210000000000001</v>
      </c>
      <c r="L73">
        <v>0.49</v>
      </c>
      <c r="M73">
        <v>0.1343</v>
      </c>
      <c r="N73">
        <v>2</v>
      </c>
      <c r="O73">
        <v>19</v>
      </c>
      <c r="P73">
        <v>21</v>
      </c>
    </row>
    <row r="74" spans="1:16" x14ac:dyDescent="0.3">
      <c r="A74">
        <v>372</v>
      </c>
      <c r="B74" s="21">
        <v>40559</v>
      </c>
      <c r="C74" t="s">
        <v>16</v>
      </c>
      <c r="D74" t="s">
        <v>70</v>
      </c>
      <c r="E74">
        <v>23</v>
      </c>
      <c r="F74" t="s">
        <v>72</v>
      </c>
      <c r="G74" t="s">
        <v>73</v>
      </c>
      <c r="H74" t="s">
        <v>75</v>
      </c>
      <c r="I74">
        <v>8.2000000000000011</v>
      </c>
      <c r="J74">
        <v>0.2</v>
      </c>
      <c r="K74">
        <v>0.2273</v>
      </c>
      <c r="L74">
        <v>0.4</v>
      </c>
      <c r="M74">
        <v>0.1045</v>
      </c>
      <c r="N74">
        <v>0</v>
      </c>
      <c r="O74">
        <v>18</v>
      </c>
      <c r="P74">
        <v>18</v>
      </c>
    </row>
    <row r="75" spans="1:16" x14ac:dyDescent="0.3">
      <c r="A75">
        <v>503</v>
      </c>
      <c r="B75" s="21">
        <v>40566</v>
      </c>
      <c r="C75" t="s">
        <v>16</v>
      </c>
      <c r="D75" t="s">
        <v>70</v>
      </c>
      <c r="E75">
        <v>0</v>
      </c>
      <c r="F75" t="s">
        <v>72</v>
      </c>
      <c r="G75" t="s">
        <v>73</v>
      </c>
      <c r="H75" t="s">
        <v>74</v>
      </c>
      <c r="I75">
        <v>1.6400000000000001</v>
      </c>
      <c r="J75">
        <v>0.04</v>
      </c>
      <c r="K75">
        <v>7.5800000000000006E-2</v>
      </c>
      <c r="L75">
        <v>0.56999999999999995</v>
      </c>
      <c r="M75">
        <v>0.1045</v>
      </c>
      <c r="N75">
        <v>2</v>
      </c>
      <c r="O75">
        <v>20</v>
      </c>
      <c r="P75">
        <v>22</v>
      </c>
    </row>
    <row r="76" spans="1:16" x14ac:dyDescent="0.3">
      <c r="A76">
        <v>504</v>
      </c>
      <c r="B76" s="21">
        <v>40566</v>
      </c>
      <c r="C76" t="s">
        <v>16</v>
      </c>
      <c r="D76" t="s">
        <v>70</v>
      </c>
      <c r="E76">
        <v>1</v>
      </c>
      <c r="F76" t="s">
        <v>72</v>
      </c>
      <c r="G76" t="s">
        <v>73</v>
      </c>
      <c r="H76" t="s">
        <v>74</v>
      </c>
      <c r="I76">
        <v>1.6400000000000001</v>
      </c>
      <c r="J76">
        <v>0.04</v>
      </c>
      <c r="K76">
        <v>7.5800000000000006E-2</v>
      </c>
      <c r="L76">
        <v>0.56999999999999995</v>
      </c>
      <c r="M76">
        <v>0.1045</v>
      </c>
      <c r="N76">
        <v>1</v>
      </c>
      <c r="O76">
        <v>12</v>
      </c>
      <c r="P76">
        <v>13</v>
      </c>
    </row>
    <row r="77" spans="1:16" x14ac:dyDescent="0.3">
      <c r="A77">
        <v>505</v>
      </c>
      <c r="B77" s="21">
        <v>40566</v>
      </c>
      <c r="C77" t="s">
        <v>16</v>
      </c>
      <c r="D77" t="s">
        <v>70</v>
      </c>
      <c r="E77">
        <v>2</v>
      </c>
      <c r="F77" t="s">
        <v>72</v>
      </c>
      <c r="G77" t="s">
        <v>73</v>
      </c>
      <c r="H77" t="s">
        <v>74</v>
      </c>
      <c r="I77">
        <v>0.82000000000000006</v>
      </c>
      <c r="J77">
        <v>0.02</v>
      </c>
      <c r="K77">
        <v>6.0600000000000001E-2</v>
      </c>
      <c r="L77">
        <v>0.62</v>
      </c>
      <c r="M77">
        <v>0.1343</v>
      </c>
      <c r="N77">
        <v>3</v>
      </c>
      <c r="O77">
        <v>15</v>
      </c>
      <c r="P77">
        <v>18</v>
      </c>
    </row>
    <row r="78" spans="1:16" x14ac:dyDescent="0.3">
      <c r="A78">
        <v>506</v>
      </c>
      <c r="B78" s="21">
        <v>40566</v>
      </c>
      <c r="C78" t="s">
        <v>16</v>
      </c>
      <c r="D78" t="s">
        <v>70</v>
      </c>
      <c r="E78">
        <v>3</v>
      </c>
      <c r="F78" t="s">
        <v>72</v>
      </c>
      <c r="G78" t="s">
        <v>73</v>
      </c>
      <c r="H78" t="s">
        <v>74</v>
      </c>
      <c r="I78">
        <v>0.82000000000000006</v>
      </c>
      <c r="J78">
        <v>0.02</v>
      </c>
      <c r="K78">
        <v>6.0600000000000001E-2</v>
      </c>
      <c r="L78">
        <v>0.62</v>
      </c>
      <c r="M78">
        <v>0.1343</v>
      </c>
      <c r="N78">
        <v>1</v>
      </c>
      <c r="O78">
        <v>4</v>
      </c>
      <c r="P78">
        <v>5</v>
      </c>
    </row>
    <row r="79" spans="1:16" x14ac:dyDescent="0.3">
      <c r="A79">
        <v>507</v>
      </c>
      <c r="B79" s="21">
        <v>40566</v>
      </c>
      <c r="C79" t="s">
        <v>16</v>
      </c>
      <c r="D79" t="s">
        <v>70</v>
      </c>
      <c r="E79">
        <v>5</v>
      </c>
      <c r="F79" t="s">
        <v>72</v>
      </c>
      <c r="G79" t="s">
        <v>73</v>
      </c>
      <c r="H79" t="s">
        <v>75</v>
      </c>
      <c r="I79">
        <v>1.6400000000000001</v>
      </c>
      <c r="J79">
        <v>0.04</v>
      </c>
      <c r="K79">
        <v>7.5800000000000006E-2</v>
      </c>
      <c r="L79">
        <v>0.56999999999999995</v>
      </c>
      <c r="M79">
        <v>0.1045</v>
      </c>
      <c r="N79">
        <v>0</v>
      </c>
      <c r="O79">
        <v>3</v>
      </c>
      <c r="P79">
        <v>3</v>
      </c>
    </row>
    <row r="80" spans="1:16" x14ac:dyDescent="0.3">
      <c r="A80">
        <v>508</v>
      </c>
      <c r="B80" s="21">
        <v>40566</v>
      </c>
      <c r="C80" t="s">
        <v>16</v>
      </c>
      <c r="D80" t="s">
        <v>70</v>
      </c>
      <c r="E80">
        <v>6</v>
      </c>
      <c r="F80" t="s">
        <v>72</v>
      </c>
      <c r="G80" t="s">
        <v>73</v>
      </c>
      <c r="H80" t="s">
        <v>75</v>
      </c>
      <c r="I80">
        <v>1.6400000000000001</v>
      </c>
      <c r="J80">
        <v>0.04</v>
      </c>
      <c r="K80">
        <v>7.5800000000000006E-2</v>
      </c>
      <c r="L80">
        <v>0.56999999999999995</v>
      </c>
      <c r="M80">
        <v>0.1045</v>
      </c>
      <c r="N80">
        <v>0</v>
      </c>
      <c r="O80">
        <v>1</v>
      </c>
      <c r="P80">
        <v>1</v>
      </c>
    </row>
    <row r="81" spans="1:16" x14ac:dyDescent="0.3">
      <c r="A81">
        <v>509</v>
      </c>
      <c r="B81" s="21">
        <v>40566</v>
      </c>
      <c r="C81" t="s">
        <v>16</v>
      </c>
      <c r="D81" t="s">
        <v>70</v>
      </c>
      <c r="E81">
        <v>7</v>
      </c>
      <c r="F81" t="s">
        <v>72</v>
      </c>
      <c r="G81" t="s">
        <v>73</v>
      </c>
      <c r="H81" t="s">
        <v>74</v>
      </c>
      <c r="I81">
        <v>3.2800000000000002</v>
      </c>
      <c r="J81">
        <v>0.08</v>
      </c>
      <c r="K81">
        <v>0.1061</v>
      </c>
      <c r="L81">
        <v>0.57999999999999996</v>
      </c>
      <c r="M81">
        <v>0.16420000000000001</v>
      </c>
      <c r="N81">
        <v>1</v>
      </c>
      <c r="O81">
        <v>1</v>
      </c>
      <c r="P81">
        <v>2</v>
      </c>
    </row>
    <row r="82" spans="1:16" x14ac:dyDescent="0.3">
      <c r="A82">
        <v>510</v>
      </c>
      <c r="B82" s="21">
        <v>40566</v>
      </c>
      <c r="C82" t="s">
        <v>16</v>
      </c>
      <c r="D82" t="s">
        <v>70</v>
      </c>
      <c r="E82">
        <v>8</v>
      </c>
      <c r="F82" t="s">
        <v>72</v>
      </c>
      <c r="G82" t="s">
        <v>73</v>
      </c>
      <c r="H82" t="s">
        <v>74</v>
      </c>
      <c r="I82">
        <v>2.46</v>
      </c>
      <c r="J82">
        <v>0.06</v>
      </c>
      <c r="K82">
        <v>7.5800000000000006E-2</v>
      </c>
      <c r="L82">
        <v>0.62</v>
      </c>
      <c r="M82">
        <v>0.16420000000000001</v>
      </c>
      <c r="N82">
        <v>2</v>
      </c>
      <c r="O82">
        <v>17</v>
      </c>
      <c r="P82">
        <v>19</v>
      </c>
    </row>
    <row r="83" spans="1:16" x14ac:dyDescent="0.3">
      <c r="A83">
        <v>511</v>
      </c>
      <c r="B83" s="21">
        <v>40566</v>
      </c>
      <c r="C83" t="s">
        <v>16</v>
      </c>
      <c r="D83" t="s">
        <v>70</v>
      </c>
      <c r="E83">
        <v>9</v>
      </c>
      <c r="F83" t="s">
        <v>72</v>
      </c>
      <c r="G83" t="s">
        <v>73</v>
      </c>
      <c r="H83" t="s">
        <v>74</v>
      </c>
      <c r="I83">
        <v>4.1000000000000005</v>
      </c>
      <c r="J83">
        <v>0.1</v>
      </c>
      <c r="K83">
        <v>7.5800000000000006E-2</v>
      </c>
      <c r="L83">
        <v>0.54</v>
      </c>
      <c r="M83">
        <v>0.35820000000000002</v>
      </c>
      <c r="N83">
        <v>3</v>
      </c>
      <c r="O83">
        <v>25</v>
      </c>
      <c r="P83">
        <v>28</v>
      </c>
    </row>
    <row r="84" spans="1:16" x14ac:dyDescent="0.3">
      <c r="A84">
        <v>512</v>
      </c>
      <c r="B84" s="21">
        <v>40566</v>
      </c>
      <c r="C84" t="s">
        <v>16</v>
      </c>
      <c r="D84" t="s">
        <v>70</v>
      </c>
      <c r="E84">
        <v>10</v>
      </c>
      <c r="F84" t="s">
        <v>72</v>
      </c>
      <c r="G84" t="s">
        <v>73</v>
      </c>
      <c r="H84" t="s">
        <v>74</v>
      </c>
      <c r="I84">
        <v>5.74</v>
      </c>
      <c r="J84">
        <v>0.14000000000000001</v>
      </c>
      <c r="K84">
        <v>0.1061</v>
      </c>
      <c r="L84">
        <v>0.46</v>
      </c>
      <c r="M84">
        <v>0.3881</v>
      </c>
      <c r="N84">
        <v>7</v>
      </c>
      <c r="O84">
        <v>51</v>
      </c>
      <c r="P84">
        <v>58</v>
      </c>
    </row>
    <row r="85" spans="1:16" x14ac:dyDescent="0.3">
      <c r="A85">
        <v>513</v>
      </c>
      <c r="B85" s="21">
        <v>40566</v>
      </c>
      <c r="C85" t="s">
        <v>16</v>
      </c>
      <c r="D85" t="s">
        <v>70</v>
      </c>
      <c r="E85">
        <v>11</v>
      </c>
      <c r="F85" t="s">
        <v>72</v>
      </c>
      <c r="G85" t="s">
        <v>73</v>
      </c>
      <c r="H85" t="s">
        <v>74</v>
      </c>
      <c r="I85">
        <v>5.74</v>
      </c>
      <c r="J85">
        <v>0.14000000000000001</v>
      </c>
      <c r="K85">
        <v>0.13639999999999999</v>
      </c>
      <c r="L85">
        <v>0.43</v>
      </c>
      <c r="M85">
        <v>0.22389999999999999</v>
      </c>
      <c r="N85">
        <v>22</v>
      </c>
      <c r="O85">
        <v>77</v>
      </c>
      <c r="P85">
        <v>99</v>
      </c>
    </row>
    <row r="86" spans="1:16" x14ac:dyDescent="0.3">
      <c r="A86">
        <v>514</v>
      </c>
      <c r="B86" s="21">
        <v>40566</v>
      </c>
      <c r="C86" t="s">
        <v>16</v>
      </c>
      <c r="D86" t="s">
        <v>70</v>
      </c>
      <c r="E86">
        <v>12</v>
      </c>
      <c r="F86" t="s">
        <v>72</v>
      </c>
      <c r="G86" t="s">
        <v>73</v>
      </c>
      <c r="H86" t="s">
        <v>74</v>
      </c>
      <c r="I86">
        <v>6.5600000000000005</v>
      </c>
      <c r="J86">
        <v>0.16</v>
      </c>
      <c r="K86">
        <v>0.1212</v>
      </c>
      <c r="L86">
        <v>0.37</v>
      </c>
      <c r="M86">
        <v>0.4627</v>
      </c>
      <c r="N86">
        <v>24</v>
      </c>
      <c r="O86">
        <v>92</v>
      </c>
      <c r="P86">
        <v>116</v>
      </c>
    </row>
    <row r="87" spans="1:16" x14ac:dyDescent="0.3">
      <c r="A87">
        <v>515</v>
      </c>
      <c r="B87" s="21">
        <v>40566</v>
      </c>
      <c r="C87" t="s">
        <v>16</v>
      </c>
      <c r="D87" t="s">
        <v>70</v>
      </c>
      <c r="E87">
        <v>13</v>
      </c>
      <c r="F87" t="s">
        <v>72</v>
      </c>
      <c r="G87" t="s">
        <v>73</v>
      </c>
      <c r="H87" t="s">
        <v>74</v>
      </c>
      <c r="I87">
        <v>5.74</v>
      </c>
      <c r="J87">
        <v>0.14000000000000001</v>
      </c>
      <c r="K87">
        <v>0.1061</v>
      </c>
      <c r="L87">
        <v>0.33</v>
      </c>
      <c r="M87">
        <v>0.3881</v>
      </c>
      <c r="N87">
        <v>12</v>
      </c>
      <c r="O87">
        <v>75</v>
      </c>
      <c r="P87">
        <v>87</v>
      </c>
    </row>
    <row r="88" spans="1:16" x14ac:dyDescent="0.3">
      <c r="A88">
        <v>516</v>
      </c>
      <c r="B88" s="21">
        <v>40566</v>
      </c>
      <c r="C88" t="s">
        <v>16</v>
      </c>
      <c r="D88" t="s">
        <v>70</v>
      </c>
      <c r="E88">
        <v>14</v>
      </c>
      <c r="F88" t="s">
        <v>72</v>
      </c>
      <c r="G88" t="s">
        <v>73</v>
      </c>
      <c r="H88" t="s">
        <v>74</v>
      </c>
      <c r="I88">
        <v>6.5600000000000005</v>
      </c>
      <c r="J88">
        <v>0.16</v>
      </c>
      <c r="K88">
        <v>0.13639999999999999</v>
      </c>
      <c r="L88">
        <v>0.28000000000000003</v>
      </c>
      <c r="M88">
        <v>0.35820000000000002</v>
      </c>
      <c r="N88">
        <v>17</v>
      </c>
      <c r="O88">
        <v>93</v>
      </c>
      <c r="P88">
        <v>110</v>
      </c>
    </row>
    <row r="89" spans="1:16" x14ac:dyDescent="0.3">
      <c r="A89">
        <v>517</v>
      </c>
      <c r="B89" s="21">
        <v>40566</v>
      </c>
      <c r="C89" t="s">
        <v>16</v>
      </c>
      <c r="D89" t="s">
        <v>70</v>
      </c>
      <c r="E89">
        <v>15</v>
      </c>
      <c r="F89" t="s">
        <v>72</v>
      </c>
      <c r="G89" t="s">
        <v>73</v>
      </c>
      <c r="H89" t="s">
        <v>74</v>
      </c>
      <c r="I89">
        <v>6.5600000000000005</v>
      </c>
      <c r="J89">
        <v>0.16</v>
      </c>
      <c r="K89">
        <v>0.13639999999999999</v>
      </c>
      <c r="L89">
        <v>0.28000000000000003</v>
      </c>
      <c r="M89">
        <v>0.35820000000000002</v>
      </c>
      <c r="N89">
        <v>13</v>
      </c>
      <c r="O89">
        <v>64</v>
      </c>
      <c r="P89">
        <v>77</v>
      </c>
    </row>
    <row r="90" spans="1:16" x14ac:dyDescent="0.3">
      <c r="A90">
        <v>518</v>
      </c>
      <c r="B90" s="21">
        <v>40566</v>
      </c>
      <c r="C90" t="s">
        <v>16</v>
      </c>
      <c r="D90" t="s">
        <v>70</v>
      </c>
      <c r="E90">
        <v>16</v>
      </c>
      <c r="F90" t="s">
        <v>72</v>
      </c>
      <c r="G90" t="s">
        <v>73</v>
      </c>
      <c r="H90" t="s">
        <v>74</v>
      </c>
      <c r="I90">
        <v>6.5600000000000005</v>
      </c>
      <c r="J90">
        <v>0.16</v>
      </c>
      <c r="K90">
        <v>0.13639999999999999</v>
      </c>
      <c r="L90">
        <v>0.26</v>
      </c>
      <c r="M90">
        <v>0.32840000000000003</v>
      </c>
      <c r="N90">
        <v>9</v>
      </c>
      <c r="O90">
        <v>56</v>
      </c>
      <c r="P90">
        <v>65</v>
      </c>
    </row>
    <row r="91" spans="1:16" x14ac:dyDescent="0.3">
      <c r="A91">
        <v>519</v>
      </c>
      <c r="B91" s="21">
        <v>40566</v>
      </c>
      <c r="C91" t="s">
        <v>16</v>
      </c>
      <c r="D91" t="s">
        <v>70</v>
      </c>
      <c r="E91">
        <v>17</v>
      </c>
      <c r="F91" t="s">
        <v>72</v>
      </c>
      <c r="G91" t="s">
        <v>73</v>
      </c>
      <c r="H91" t="s">
        <v>74</v>
      </c>
      <c r="I91">
        <v>5.74</v>
      </c>
      <c r="J91">
        <v>0.14000000000000001</v>
      </c>
      <c r="K91">
        <v>0.1061</v>
      </c>
      <c r="L91">
        <v>0.26</v>
      </c>
      <c r="M91">
        <v>0.3881</v>
      </c>
      <c r="N91">
        <v>5</v>
      </c>
      <c r="O91">
        <v>50</v>
      </c>
      <c r="P91">
        <v>55</v>
      </c>
    </row>
    <row r="92" spans="1:16" x14ac:dyDescent="0.3">
      <c r="A92">
        <v>520</v>
      </c>
      <c r="B92" s="21">
        <v>40566</v>
      </c>
      <c r="C92" t="s">
        <v>16</v>
      </c>
      <c r="D92" t="s">
        <v>70</v>
      </c>
      <c r="E92">
        <v>18</v>
      </c>
      <c r="F92" t="s">
        <v>72</v>
      </c>
      <c r="G92" t="s">
        <v>73</v>
      </c>
      <c r="H92" t="s">
        <v>74</v>
      </c>
      <c r="I92">
        <v>4.92</v>
      </c>
      <c r="J92">
        <v>0.12</v>
      </c>
      <c r="K92">
        <v>0.1212</v>
      </c>
      <c r="L92">
        <v>0.3</v>
      </c>
      <c r="M92">
        <v>0.25369999999999998</v>
      </c>
      <c r="N92">
        <v>5</v>
      </c>
      <c r="O92">
        <v>44</v>
      </c>
      <c r="P92">
        <v>49</v>
      </c>
    </row>
    <row r="93" spans="1:16" x14ac:dyDescent="0.3">
      <c r="A93">
        <v>521</v>
      </c>
      <c r="B93" s="21">
        <v>40566</v>
      </c>
      <c r="C93" t="s">
        <v>16</v>
      </c>
      <c r="D93" t="s">
        <v>70</v>
      </c>
      <c r="E93">
        <v>19</v>
      </c>
      <c r="F93" t="s">
        <v>72</v>
      </c>
      <c r="G93" t="s">
        <v>73</v>
      </c>
      <c r="H93" t="s">
        <v>74</v>
      </c>
      <c r="I93">
        <v>4.92</v>
      </c>
      <c r="J93">
        <v>0.12</v>
      </c>
      <c r="K93">
        <v>0.1212</v>
      </c>
      <c r="L93">
        <v>0.3</v>
      </c>
      <c r="M93">
        <v>0.28360000000000002</v>
      </c>
      <c r="N93">
        <v>5</v>
      </c>
      <c r="O93">
        <v>45</v>
      </c>
      <c r="P93">
        <v>50</v>
      </c>
    </row>
    <row r="94" spans="1:16" x14ac:dyDescent="0.3">
      <c r="A94">
        <v>522</v>
      </c>
      <c r="B94" s="21">
        <v>40566</v>
      </c>
      <c r="C94" t="s">
        <v>16</v>
      </c>
      <c r="D94" t="s">
        <v>70</v>
      </c>
      <c r="E94">
        <v>20</v>
      </c>
      <c r="F94" t="s">
        <v>72</v>
      </c>
      <c r="G94" t="s">
        <v>73</v>
      </c>
      <c r="H94" t="s">
        <v>74</v>
      </c>
      <c r="I94">
        <v>4.1000000000000005</v>
      </c>
      <c r="J94">
        <v>0.1</v>
      </c>
      <c r="K94">
        <v>0.1061</v>
      </c>
      <c r="L94">
        <v>0.36</v>
      </c>
      <c r="M94">
        <v>0.25369999999999998</v>
      </c>
      <c r="N94">
        <v>4</v>
      </c>
      <c r="O94">
        <v>31</v>
      </c>
      <c r="P94">
        <v>35</v>
      </c>
    </row>
    <row r="95" spans="1:16" x14ac:dyDescent="0.3">
      <c r="A95">
        <v>523</v>
      </c>
      <c r="B95" s="21">
        <v>40566</v>
      </c>
      <c r="C95" t="s">
        <v>16</v>
      </c>
      <c r="D95" t="s">
        <v>70</v>
      </c>
      <c r="E95">
        <v>21</v>
      </c>
      <c r="F95" t="s">
        <v>72</v>
      </c>
      <c r="G95" t="s">
        <v>73</v>
      </c>
      <c r="H95" t="s">
        <v>74</v>
      </c>
      <c r="I95">
        <v>4.1000000000000005</v>
      </c>
      <c r="J95">
        <v>0.1</v>
      </c>
      <c r="K95">
        <v>0.1061</v>
      </c>
      <c r="L95">
        <v>0.36</v>
      </c>
      <c r="M95">
        <v>0.19400000000000001</v>
      </c>
      <c r="N95">
        <v>5</v>
      </c>
      <c r="O95">
        <v>20</v>
      </c>
      <c r="P95">
        <v>25</v>
      </c>
    </row>
    <row r="96" spans="1:16" x14ac:dyDescent="0.3">
      <c r="A96">
        <v>524</v>
      </c>
      <c r="B96" s="21">
        <v>40566</v>
      </c>
      <c r="C96" t="s">
        <v>16</v>
      </c>
      <c r="D96" t="s">
        <v>70</v>
      </c>
      <c r="E96">
        <v>22</v>
      </c>
      <c r="F96" t="s">
        <v>72</v>
      </c>
      <c r="G96" t="s">
        <v>73</v>
      </c>
      <c r="H96" t="s">
        <v>74</v>
      </c>
      <c r="I96">
        <v>3.2800000000000002</v>
      </c>
      <c r="J96">
        <v>0.08</v>
      </c>
      <c r="K96">
        <v>9.0899999999999995E-2</v>
      </c>
      <c r="L96">
        <v>0.38</v>
      </c>
      <c r="M96">
        <v>0.19400000000000001</v>
      </c>
      <c r="N96">
        <v>5</v>
      </c>
      <c r="O96">
        <v>23</v>
      </c>
      <c r="P96">
        <v>28</v>
      </c>
    </row>
    <row r="97" spans="1:16" x14ac:dyDescent="0.3">
      <c r="A97">
        <v>525</v>
      </c>
      <c r="B97" s="21">
        <v>40566</v>
      </c>
      <c r="C97" t="s">
        <v>16</v>
      </c>
      <c r="D97" t="s">
        <v>70</v>
      </c>
      <c r="E97">
        <v>23</v>
      </c>
      <c r="F97" t="s">
        <v>72</v>
      </c>
      <c r="G97" t="s">
        <v>73</v>
      </c>
      <c r="H97" t="s">
        <v>74</v>
      </c>
      <c r="I97">
        <v>2.46</v>
      </c>
      <c r="J97">
        <v>0.06</v>
      </c>
      <c r="K97">
        <v>6.0600000000000001E-2</v>
      </c>
      <c r="L97">
        <v>0.41</v>
      </c>
      <c r="M97">
        <v>0.22389999999999999</v>
      </c>
      <c r="N97">
        <v>4</v>
      </c>
      <c r="O97">
        <v>17</v>
      </c>
      <c r="P97">
        <v>21</v>
      </c>
    </row>
    <row r="98" spans="1:16" x14ac:dyDescent="0.3">
      <c r="A98">
        <v>642</v>
      </c>
      <c r="B98" s="21">
        <v>40573</v>
      </c>
      <c r="C98" t="s">
        <v>16</v>
      </c>
      <c r="D98" t="s">
        <v>70</v>
      </c>
      <c r="E98">
        <v>0</v>
      </c>
      <c r="F98" t="s">
        <v>72</v>
      </c>
      <c r="G98" t="s">
        <v>73</v>
      </c>
      <c r="H98" t="s">
        <v>74</v>
      </c>
      <c r="I98">
        <v>6.5600000000000005</v>
      </c>
      <c r="J98">
        <v>0.16</v>
      </c>
      <c r="K98">
        <v>0.18179999999999999</v>
      </c>
      <c r="L98">
        <v>0.8</v>
      </c>
      <c r="M98">
        <v>0.1045</v>
      </c>
      <c r="N98">
        <v>0</v>
      </c>
      <c r="O98">
        <v>33</v>
      </c>
      <c r="P98">
        <v>33</v>
      </c>
    </row>
    <row r="99" spans="1:16" x14ac:dyDescent="0.3">
      <c r="A99">
        <v>643</v>
      </c>
      <c r="B99" s="21">
        <v>40573</v>
      </c>
      <c r="C99" t="s">
        <v>16</v>
      </c>
      <c r="D99" t="s">
        <v>70</v>
      </c>
      <c r="E99">
        <v>1</v>
      </c>
      <c r="F99" t="s">
        <v>72</v>
      </c>
      <c r="G99" t="s">
        <v>73</v>
      </c>
      <c r="H99" t="s">
        <v>74</v>
      </c>
      <c r="I99">
        <v>5.74</v>
      </c>
      <c r="J99">
        <v>0.14000000000000001</v>
      </c>
      <c r="K99">
        <v>0.21210000000000001</v>
      </c>
      <c r="L99">
        <v>0.8</v>
      </c>
      <c r="M99">
        <v>0</v>
      </c>
      <c r="N99">
        <v>7</v>
      </c>
      <c r="O99">
        <v>22</v>
      </c>
      <c r="P99">
        <v>29</v>
      </c>
    </row>
    <row r="100" spans="1:16" x14ac:dyDescent="0.3">
      <c r="A100">
        <v>644</v>
      </c>
      <c r="B100" s="21">
        <v>40573</v>
      </c>
      <c r="C100" t="s">
        <v>16</v>
      </c>
      <c r="D100" t="s">
        <v>70</v>
      </c>
      <c r="E100">
        <v>2</v>
      </c>
      <c r="F100" t="s">
        <v>72</v>
      </c>
      <c r="G100" t="s">
        <v>73</v>
      </c>
      <c r="H100" t="s">
        <v>74</v>
      </c>
      <c r="I100">
        <v>6.5600000000000005</v>
      </c>
      <c r="J100">
        <v>0.16</v>
      </c>
      <c r="K100">
        <v>0.2273</v>
      </c>
      <c r="L100">
        <v>0.8</v>
      </c>
      <c r="M100">
        <v>0</v>
      </c>
      <c r="N100">
        <v>1</v>
      </c>
      <c r="O100">
        <v>10</v>
      </c>
      <c r="P100">
        <v>11</v>
      </c>
    </row>
    <row r="101" spans="1:16" x14ac:dyDescent="0.3">
      <c r="A101">
        <v>645</v>
      </c>
      <c r="B101" s="21">
        <v>40573</v>
      </c>
      <c r="C101" t="s">
        <v>16</v>
      </c>
      <c r="D101" t="s">
        <v>70</v>
      </c>
      <c r="E101">
        <v>3</v>
      </c>
      <c r="F101" t="s">
        <v>72</v>
      </c>
      <c r="G101" t="s">
        <v>73</v>
      </c>
      <c r="H101" t="s">
        <v>74</v>
      </c>
      <c r="I101">
        <v>5.74</v>
      </c>
      <c r="J101">
        <v>0.14000000000000001</v>
      </c>
      <c r="K101">
        <v>0.21210000000000001</v>
      </c>
      <c r="L101">
        <v>0.93</v>
      </c>
      <c r="M101">
        <v>0</v>
      </c>
      <c r="N101">
        <v>1</v>
      </c>
      <c r="O101">
        <v>7</v>
      </c>
      <c r="P101">
        <v>8</v>
      </c>
    </row>
    <row r="102" spans="1:16" x14ac:dyDescent="0.3">
      <c r="A102">
        <v>646</v>
      </c>
      <c r="B102" s="21">
        <v>40573</v>
      </c>
      <c r="C102" t="s">
        <v>16</v>
      </c>
      <c r="D102" t="s">
        <v>70</v>
      </c>
      <c r="E102">
        <v>4</v>
      </c>
      <c r="F102" t="s">
        <v>72</v>
      </c>
      <c r="G102" t="s">
        <v>73</v>
      </c>
      <c r="H102" t="s">
        <v>74</v>
      </c>
      <c r="I102">
        <v>5.74</v>
      </c>
      <c r="J102">
        <v>0.14000000000000001</v>
      </c>
      <c r="K102">
        <v>0.21210000000000001</v>
      </c>
      <c r="L102">
        <v>0.93</v>
      </c>
      <c r="M102">
        <v>0</v>
      </c>
      <c r="N102">
        <v>0</v>
      </c>
      <c r="O102">
        <v>1</v>
      </c>
      <c r="P102">
        <v>1</v>
      </c>
    </row>
    <row r="103" spans="1:16" x14ac:dyDescent="0.3">
      <c r="A103">
        <v>647</v>
      </c>
      <c r="B103" s="21">
        <v>40573</v>
      </c>
      <c r="C103" t="s">
        <v>16</v>
      </c>
      <c r="D103" t="s">
        <v>70</v>
      </c>
      <c r="E103">
        <v>5</v>
      </c>
      <c r="F103" t="s">
        <v>72</v>
      </c>
      <c r="G103" t="s">
        <v>73</v>
      </c>
      <c r="H103" t="s">
        <v>74</v>
      </c>
      <c r="I103">
        <v>5.74</v>
      </c>
      <c r="J103">
        <v>0.14000000000000001</v>
      </c>
      <c r="K103">
        <v>0.21210000000000001</v>
      </c>
      <c r="L103">
        <v>0.86</v>
      </c>
      <c r="M103">
        <v>0</v>
      </c>
      <c r="N103">
        <v>0</v>
      </c>
      <c r="O103">
        <v>3</v>
      </c>
      <c r="P103">
        <v>3</v>
      </c>
    </row>
    <row r="104" spans="1:16" x14ac:dyDescent="0.3">
      <c r="A104">
        <v>648</v>
      </c>
      <c r="B104" s="21">
        <v>40573</v>
      </c>
      <c r="C104" t="s">
        <v>16</v>
      </c>
      <c r="D104" t="s">
        <v>70</v>
      </c>
      <c r="E104">
        <v>7</v>
      </c>
      <c r="F104" t="s">
        <v>72</v>
      </c>
      <c r="G104" t="s">
        <v>73</v>
      </c>
      <c r="H104" t="s">
        <v>74</v>
      </c>
      <c r="I104">
        <v>5.74</v>
      </c>
      <c r="J104">
        <v>0.14000000000000001</v>
      </c>
      <c r="K104">
        <v>0.21210000000000001</v>
      </c>
      <c r="L104">
        <v>0.86</v>
      </c>
      <c r="M104">
        <v>0</v>
      </c>
      <c r="N104">
        <v>0</v>
      </c>
      <c r="O104">
        <v>3</v>
      </c>
      <c r="P104">
        <v>3</v>
      </c>
    </row>
    <row r="105" spans="1:16" x14ac:dyDescent="0.3">
      <c r="A105">
        <v>649</v>
      </c>
      <c r="B105" s="21">
        <v>40573</v>
      </c>
      <c r="C105" t="s">
        <v>16</v>
      </c>
      <c r="D105" t="s">
        <v>70</v>
      </c>
      <c r="E105">
        <v>8</v>
      </c>
      <c r="F105" t="s">
        <v>72</v>
      </c>
      <c r="G105" t="s">
        <v>73</v>
      </c>
      <c r="H105" t="s">
        <v>75</v>
      </c>
      <c r="I105">
        <v>5.74</v>
      </c>
      <c r="J105">
        <v>0.14000000000000001</v>
      </c>
      <c r="K105">
        <v>0.21210000000000001</v>
      </c>
      <c r="L105">
        <v>0.86</v>
      </c>
      <c r="M105">
        <v>0</v>
      </c>
      <c r="N105">
        <v>1</v>
      </c>
      <c r="O105">
        <v>11</v>
      </c>
      <c r="P105">
        <v>12</v>
      </c>
    </row>
    <row r="106" spans="1:16" x14ac:dyDescent="0.3">
      <c r="A106">
        <v>650</v>
      </c>
      <c r="B106" s="21">
        <v>40573</v>
      </c>
      <c r="C106" t="s">
        <v>16</v>
      </c>
      <c r="D106" t="s">
        <v>70</v>
      </c>
      <c r="E106">
        <v>9</v>
      </c>
      <c r="F106" t="s">
        <v>72</v>
      </c>
      <c r="G106" t="s">
        <v>73</v>
      </c>
      <c r="H106" t="s">
        <v>75</v>
      </c>
      <c r="I106">
        <v>6.5600000000000005</v>
      </c>
      <c r="J106">
        <v>0.16</v>
      </c>
      <c r="K106">
        <v>0.2273</v>
      </c>
      <c r="L106">
        <v>0.8</v>
      </c>
      <c r="M106">
        <v>0</v>
      </c>
      <c r="N106">
        <v>4</v>
      </c>
      <c r="O106">
        <v>34</v>
      </c>
      <c r="P106">
        <v>38</v>
      </c>
    </row>
    <row r="107" spans="1:16" x14ac:dyDescent="0.3">
      <c r="A107">
        <v>651</v>
      </c>
      <c r="B107" s="21">
        <v>40573</v>
      </c>
      <c r="C107" t="s">
        <v>16</v>
      </c>
      <c r="D107" t="s">
        <v>70</v>
      </c>
      <c r="E107">
        <v>10</v>
      </c>
      <c r="F107" t="s">
        <v>72</v>
      </c>
      <c r="G107" t="s">
        <v>73</v>
      </c>
      <c r="H107" t="s">
        <v>75</v>
      </c>
      <c r="I107">
        <v>7.38</v>
      </c>
      <c r="J107">
        <v>0.18</v>
      </c>
      <c r="K107">
        <v>0.2424</v>
      </c>
      <c r="L107">
        <v>0.8</v>
      </c>
      <c r="M107">
        <v>0</v>
      </c>
      <c r="N107">
        <v>7</v>
      </c>
      <c r="O107">
        <v>57</v>
      </c>
      <c r="P107">
        <v>64</v>
      </c>
    </row>
    <row r="108" spans="1:16" x14ac:dyDescent="0.3">
      <c r="A108">
        <v>652</v>
      </c>
      <c r="B108" s="21">
        <v>40573</v>
      </c>
      <c r="C108" t="s">
        <v>16</v>
      </c>
      <c r="D108" t="s">
        <v>70</v>
      </c>
      <c r="E108">
        <v>11</v>
      </c>
      <c r="F108" t="s">
        <v>72</v>
      </c>
      <c r="G108" t="s">
        <v>73</v>
      </c>
      <c r="H108" t="s">
        <v>74</v>
      </c>
      <c r="I108">
        <v>9.02</v>
      </c>
      <c r="J108">
        <v>0.22</v>
      </c>
      <c r="K108">
        <v>0.2727</v>
      </c>
      <c r="L108">
        <v>0.75</v>
      </c>
      <c r="M108">
        <v>0</v>
      </c>
      <c r="N108">
        <v>9</v>
      </c>
      <c r="O108">
        <v>50</v>
      </c>
      <c r="P108">
        <v>59</v>
      </c>
    </row>
    <row r="109" spans="1:16" x14ac:dyDescent="0.3">
      <c r="A109">
        <v>653</v>
      </c>
      <c r="B109" s="21">
        <v>40573</v>
      </c>
      <c r="C109" t="s">
        <v>16</v>
      </c>
      <c r="D109" t="s">
        <v>70</v>
      </c>
      <c r="E109">
        <v>12</v>
      </c>
      <c r="F109" t="s">
        <v>72</v>
      </c>
      <c r="G109" t="s">
        <v>73</v>
      </c>
      <c r="H109" t="s">
        <v>74</v>
      </c>
      <c r="I109">
        <v>12.299999999999999</v>
      </c>
      <c r="J109">
        <v>0.3</v>
      </c>
      <c r="K109">
        <v>0.31819999999999998</v>
      </c>
      <c r="L109">
        <v>0.52</v>
      </c>
      <c r="M109">
        <v>0.1045</v>
      </c>
      <c r="N109">
        <v>10</v>
      </c>
      <c r="O109">
        <v>87</v>
      </c>
      <c r="P109">
        <v>97</v>
      </c>
    </row>
    <row r="110" spans="1:16" x14ac:dyDescent="0.3">
      <c r="A110">
        <v>654</v>
      </c>
      <c r="B110" s="21">
        <v>40573</v>
      </c>
      <c r="C110" t="s">
        <v>16</v>
      </c>
      <c r="D110" t="s">
        <v>70</v>
      </c>
      <c r="E110">
        <v>13</v>
      </c>
      <c r="F110" t="s">
        <v>72</v>
      </c>
      <c r="G110" t="s">
        <v>73</v>
      </c>
      <c r="H110" t="s">
        <v>74</v>
      </c>
      <c r="I110">
        <v>11.48</v>
      </c>
      <c r="J110">
        <v>0.28000000000000003</v>
      </c>
      <c r="K110">
        <v>0.28789999999999999</v>
      </c>
      <c r="L110">
        <v>0.61</v>
      </c>
      <c r="M110">
        <v>0.1045</v>
      </c>
      <c r="N110">
        <v>13</v>
      </c>
      <c r="O110">
        <v>71</v>
      </c>
      <c r="P110">
        <v>84</v>
      </c>
    </row>
    <row r="111" spans="1:16" x14ac:dyDescent="0.3">
      <c r="A111">
        <v>655</v>
      </c>
      <c r="B111" s="21">
        <v>40573</v>
      </c>
      <c r="C111" t="s">
        <v>16</v>
      </c>
      <c r="D111" t="s">
        <v>70</v>
      </c>
      <c r="E111">
        <v>14</v>
      </c>
      <c r="F111" t="s">
        <v>72</v>
      </c>
      <c r="G111" t="s">
        <v>73</v>
      </c>
      <c r="H111" t="s">
        <v>74</v>
      </c>
      <c r="I111">
        <v>11.48</v>
      </c>
      <c r="J111">
        <v>0.28000000000000003</v>
      </c>
      <c r="K111">
        <v>0.30299999999999999</v>
      </c>
      <c r="L111">
        <v>0.61</v>
      </c>
      <c r="M111">
        <v>8.9599999999999999E-2</v>
      </c>
      <c r="N111">
        <v>18</v>
      </c>
      <c r="O111">
        <v>104</v>
      </c>
      <c r="P111">
        <v>122</v>
      </c>
    </row>
    <row r="112" spans="1:16" x14ac:dyDescent="0.3">
      <c r="A112">
        <v>656</v>
      </c>
      <c r="B112" s="21">
        <v>40573</v>
      </c>
      <c r="C112" t="s">
        <v>16</v>
      </c>
      <c r="D112" t="s">
        <v>70</v>
      </c>
      <c r="E112">
        <v>15</v>
      </c>
      <c r="F112" t="s">
        <v>72</v>
      </c>
      <c r="G112" t="s">
        <v>73</v>
      </c>
      <c r="H112" t="s">
        <v>74</v>
      </c>
      <c r="I112">
        <v>12.299999999999999</v>
      </c>
      <c r="J112">
        <v>0.3</v>
      </c>
      <c r="K112">
        <v>0.33329999999999999</v>
      </c>
      <c r="L112">
        <v>0.56000000000000005</v>
      </c>
      <c r="M112">
        <v>0</v>
      </c>
      <c r="N112">
        <v>14</v>
      </c>
      <c r="O112">
        <v>95</v>
      </c>
      <c r="P112">
        <v>109</v>
      </c>
    </row>
    <row r="113" spans="1:16" x14ac:dyDescent="0.3">
      <c r="A113">
        <v>657</v>
      </c>
      <c r="B113" s="21">
        <v>40573</v>
      </c>
      <c r="C113" t="s">
        <v>16</v>
      </c>
      <c r="D113" t="s">
        <v>70</v>
      </c>
      <c r="E113">
        <v>16</v>
      </c>
      <c r="F113" t="s">
        <v>72</v>
      </c>
      <c r="G113" t="s">
        <v>73</v>
      </c>
      <c r="H113" t="s">
        <v>74</v>
      </c>
      <c r="I113">
        <v>12.299999999999999</v>
      </c>
      <c r="J113">
        <v>0.3</v>
      </c>
      <c r="K113">
        <v>0.33329999999999999</v>
      </c>
      <c r="L113">
        <v>0.56000000000000005</v>
      </c>
      <c r="M113">
        <v>0</v>
      </c>
      <c r="N113">
        <v>19</v>
      </c>
      <c r="O113">
        <v>104</v>
      </c>
      <c r="P113">
        <v>123</v>
      </c>
    </row>
    <row r="114" spans="1:16" x14ac:dyDescent="0.3">
      <c r="A114">
        <v>658</v>
      </c>
      <c r="B114" s="21">
        <v>40573</v>
      </c>
      <c r="C114" t="s">
        <v>16</v>
      </c>
      <c r="D114" t="s">
        <v>70</v>
      </c>
      <c r="E114">
        <v>17</v>
      </c>
      <c r="F114" t="s">
        <v>72</v>
      </c>
      <c r="G114" t="s">
        <v>73</v>
      </c>
      <c r="H114" t="s">
        <v>74</v>
      </c>
      <c r="I114">
        <v>12.299999999999999</v>
      </c>
      <c r="J114">
        <v>0.3</v>
      </c>
      <c r="K114">
        <v>0.28789999999999999</v>
      </c>
      <c r="L114">
        <v>0.56000000000000005</v>
      </c>
      <c r="M114">
        <v>0.19400000000000001</v>
      </c>
      <c r="N114">
        <v>6</v>
      </c>
      <c r="O114">
        <v>71</v>
      </c>
      <c r="P114">
        <v>77</v>
      </c>
    </row>
    <row r="115" spans="1:16" x14ac:dyDescent="0.3">
      <c r="A115">
        <v>659</v>
      </c>
      <c r="B115" s="21">
        <v>40573</v>
      </c>
      <c r="C115" t="s">
        <v>16</v>
      </c>
      <c r="D115" t="s">
        <v>70</v>
      </c>
      <c r="E115">
        <v>18</v>
      </c>
      <c r="F115" t="s">
        <v>72</v>
      </c>
      <c r="G115" t="s">
        <v>73</v>
      </c>
      <c r="H115" t="s">
        <v>74</v>
      </c>
      <c r="I115">
        <v>10.66</v>
      </c>
      <c r="J115">
        <v>0.26</v>
      </c>
      <c r="K115">
        <v>0.2576</v>
      </c>
      <c r="L115">
        <v>0.65</v>
      </c>
      <c r="M115">
        <v>0.16420000000000001</v>
      </c>
      <c r="N115">
        <v>8</v>
      </c>
      <c r="O115">
        <v>57</v>
      </c>
      <c r="P115">
        <v>65</v>
      </c>
    </row>
    <row r="116" spans="1:16" x14ac:dyDescent="0.3">
      <c r="A116">
        <v>660</v>
      </c>
      <c r="B116" s="21">
        <v>40573</v>
      </c>
      <c r="C116" t="s">
        <v>16</v>
      </c>
      <c r="D116" t="s">
        <v>70</v>
      </c>
      <c r="E116">
        <v>19</v>
      </c>
      <c r="F116" t="s">
        <v>72</v>
      </c>
      <c r="G116" t="s">
        <v>73</v>
      </c>
      <c r="H116" t="s">
        <v>74</v>
      </c>
      <c r="I116">
        <v>10.66</v>
      </c>
      <c r="J116">
        <v>0.26</v>
      </c>
      <c r="K116">
        <v>0.2576</v>
      </c>
      <c r="L116">
        <v>0.65</v>
      </c>
      <c r="M116">
        <v>0.19400000000000001</v>
      </c>
      <c r="N116">
        <v>9</v>
      </c>
      <c r="O116">
        <v>46</v>
      </c>
      <c r="P116">
        <v>55</v>
      </c>
    </row>
    <row r="117" spans="1:16" x14ac:dyDescent="0.3">
      <c r="A117">
        <v>661</v>
      </c>
      <c r="B117" s="21">
        <v>40573</v>
      </c>
      <c r="C117" t="s">
        <v>16</v>
      </c>
      <c r="D117" t="s">
        <v>70</v>
      </c>
      <c r="E117">
        <v>20</v>
      </c>
      <c r="F117" t="s">
        <v>72</v>
      </c>
      <c r="G117" t="s">
        <v>73</v>
      </c>
      <c r="H117" t="s">
        <v>75</v>
      </c>
      <c r="I117">
        <v>10.66</v>
      </c>
      <c r="J117">
        <v>0.26</v>
      </c>
      <c r="K117">
        <v>0.2727</v>
      </c>
      <c r="L117">
        <v>0.65</v>
      </c>
      <c r="M117">
        <v>0.1045</v>
      </c>
      <c r="N117">
        <v>3</v>
      </c>
      <c r="O117">
        <v>30</v>
      </c>
      <c r="P117">
        <v>33</v>
      </c>
    </row>
    <row r="118" spans="1:16" x14ac:dyDescent="0.3">
      <c r="A118">
        <v>662</v>
      </c>
      <c r="B118" s="21">
        <v>40573</v>
      </c>
      <c r="C118" t="s">
        <v>16</v>
      </c>
      <c r="D118" t="s">
        <v>70</v>
      </c>
      <c r="E118">
        <v>21</v>
      </c>
      <c r="F118" t="s">
        <v>72</v>
      </c>
      <c r="G118" t="s">
        <v>73</v>
      </c>
      <c r="H118" t="s">
        <v>75</v>
      </c>
      <c r="I118">
        <v>9.84</v>
      </c>
      <c r="J118">
        <v>0.24</v>
      </c>
      <c r="K118">
        <v>0.2424</v>
      </c>
      <c r="L118">
        <v>0.7</v>
      </c>
      <c r="M118">
        <v>0.16420000000000001</v>
      </c>
      <c r="N118">
        <v>3</v>
      </c>
      <c r="O118">
        <v>25</v>
      </c>
      <c r="P118">
        <v>28</v>
      </c>
    </row>
    <row r="119" spans="1:16" x14ac:dyDescent="0.3">
      <c r="A119">
        <v>663</v>
      </c>
      <c r="B119" s="21">
        <v>40573</v>
      </c>
      <c r="C119" t="s">
        <v>16</v>
      </c>
      <c r="D119" t="s">
        <v>70</v>
      </c>
      <c r="E119">
        <v>22</v>
      </c>
      <c r="F119" t="s">
        <v>72</v>
      </c>
      <c r="G119" t="s">
        <v>73</v>
      </c>
      <c r="H119" t="s">
        <v>75</v>
      </c>
      <c r="I119">
        <v>9.84</v>
      </c>
      <c r="J119">
        <v>0.24</v>
      </c>
      <c r="K119">
        <v>0.2273</v>
      </c>
      <c r="L119">
        <v>0.7</v>
      </c>
      <c r="M119">
        <v>0.19400000000000001</v>
      </c>
      <c r="N119">
        <v>2</v>
      </c>
      <c r="O119">
        <v>19</v>
      </c>
      <c r="P119">
        <v>21</v>
      </c>
    </row>
    <row r="120" spans="1:16" x14ac:dyDescent="0.3">
      <c r="A120">
        <v>664</v>
      </c>
      <c r="B120" s="21">
        <v>40573</v>
      </c>
      <c r="C120" t="s">
        <v>16</v>
      </c>
      <c r="D120" t="s">
        <v>70</v>
      </c>
      <c r="E120">
        <v>23</v>
      </c>
      <c r="F120" t="s">
        <v>72</v>
      </c>
      <c r="G120" t="s">
        <v>73</v>
      </c>
      <c r="H120" t="s">
        <v>75</v>
      </c>
      <c r="I120">
        <v>9.84</v>
      </c>
      <c r="J120">
        <v>0.24</v>
      </c>
      <c r="K120">
        <v>0.21210000000000001</v>
      </c>
      <c r="L120">
        <v>0.65</v>
      </c>
      <c r="M120">
        <v>0.28360000000000002</v>
      </c>
      <c r="N120">
        <v>5</v>
      </c>
      <c r="O120">
        <v>16</v>
      </c>
      <c r="P120">
        <v>21</v>
      </c>
    </row>
    <row r="121" spans="1:16" x14ac:dyDescent="0.3">
      <c r="A121">
        <v>806</v>
      </c>
      <c r="B121" s="21">
        <v>40580</v>
      </c>
      <c r="C121" t="s">
        <v>16</v>
      </c>
      <c r="D121" t="s">
        <v>71</v>
      </c>
      <c r="E121">
        <v>0</v>
      </c>
      <c r="F121" t="s">
        <v>72</v>
      </c>
      <c r="G121" t="s">
        <v>73</v>
      </c>
      <c r="H121" t="s">
        <v>74</v>
      </c>
      <c r="I121">
        <v>10.66</v>
      </c>
      <c r="J121">
        <v>0.26</v>
      </c>
      <c r="K121">
        <v>0.2576</v>
      </c>
      <c r="L121">
        <v>0.7</v>
      </c>
      <c r="M121">
        <v>0.19400000000000001</v>
      </c>
      <c r="N121">
        <v>2</v>
      </c>
      <c r="O121">
        <v>37</v>
      </c>
      <c r="P121">
        <v>39</v>
      </c>
    </row>
    <row r="122" spans="1:16" x14ac:dyDescent="0.3">
      <c r="A122">
        <v>807</v>
      </c>
      <c r="B122" s="21">
        <v>40580</v>
      </c>
      <c r="C122" t="s">
        <v>16</v>
      </c>
      <c r="D122" t="s">
        <v>71</v>
      </c>
      <c r="E122">
        <v>1</v>
      </c>
      <c r="F122" t="s">
        <v>72</v>
      </c>
      <c r="G122" t="s">
        <v>73</v>
      </c>
      <c r="H122" t="s">
        <v>74</v>
      </c>
      <c r="I122">
        <v>10.66</v>
      </c>
      <c r="J122">
        <v>0.26</v>
      </c>
      <c r="K122">
        <v>0.2273</v>
      </c>
      <c r="L122">
        <v>0.65</v>
      </c>
      <c r="M122">
        <v>0.41789999999999999</v>
      </c>
      <c r="N122">
        <v>4</v>
      </c>
      <c r="O122">
        <v>40</v>
      </c>
      <c r="P122">
        <v>44</v>
      </c>
    </row>
    <row r="123" spans="1:16" x14ac:dyDescent="0.3">
      <c r="A123">
        <v>808</v>
      </c>
      <c r="B123" s="21">
        <v>40580</v>
      </c>
      <c r="C123" t="s">
        <v>16</v>
      </c>
      <c r="D123" t="s">
        <v>71</v>
      </c>
      <c r="E123">
        <v>2</v>
      </c>
      <c r="F123" t="s">
        <v>72</v>
      </c>
      <c r="G123" t="s">
        <v>73</v>
      </c>
      <c r="H123" t="s">
        <v>74</v>
      </c>
      <c r="I123">
        <v>10.66</v>
      </c>
      <c r="J123">
        <v>0.26</v>
      </c>
      <c r="K123">
        <v>0.2273</v>
      </c>
      <c r="L123">
        <v>0.6</v>
      </c>
      <c r="M123">
        <v>0.32840000000000003</v>
      </c>
      <c r="N123">
        <v>0</v>
      </c>
      <c r="O123">
        <v>20</v>
      </c>
      <c r="P123">
        <v>20</v>
      </c>
    </row>
    <row r="124" spans="1:16" x14ac:dyDescent="0.3">
      <c r="A124">
        <v>809</v>
      </c>
      <c r="B124" s="21">
        <v>40580</v>
      </c>
      <c r="C124" t="s">
        <v>16</v>
      </c>
      <c r="D124" t="s">
        <v>71</v>
      </c>
      <c r="E124">
        <v>3</v>
      </c>
      <c r="F124" t="s">
        <v>72</v>
      </c>
      <c r="G124" t="s">
        <v>73</v>
      </c>
      <c r="H124" t="s">
        <v>74</v>
      </c>
      <c r="I124">
        <v>10.66</v>
      </c>
      <c r="J124">
        <v>0.26</v>
      </c>
      <c r="K124">
        <v>0.28789999999999999</v>
      </c>
      <c r="L124">
        <v>0.6</v>
      </c>
      <c r="M124">
        <v>8.9599999999999999E-2</v>
      </c>
      <c r="N124">
        <v>3</v>
      </c>
      <c r="O124">
        <v>10</v>
      </c>
      <c r="P124">
        <v>13</v>
      </c>
    </row>
    <row r="125" spans="1:16" x14ac:dyDescent="0.3">
      <c r="A125">
        <v>810</v>
      </c>
      <c r="B125" s="21">
        <v>40580</v>
      </c>
      <c r="C125" t="s">
        <v>16</v>
      </c>
      <c r="D125" t="s">
        <v>71</v>
      </c>
      <c r="E125">
        <v>4</v>
      </c>
      <c r="F125" t="s">
        <v>72</v>
      </c>
      <c r="G125" t="s">
        <v>73</v>
      </c>
      <c r="H125" t="s">
        <v>74</v>
      </c>
      <c r="I125">
        <v>10.66</v>
      </c>
      <c r="J125">
        <v>0.26</v>
      </c>
      <c r="K125">
        <v>0.2273</v>
      </c>
      <c r="L125">
        <v>0.6</v>
      </c>
      <c r="M125">
        <v>0.35820000000000002</v>
      </c>
      <c r="N125">
        <v>0</v>
      </c>
      <c r="O125">
        <v>2</v>
      </c>
      <c r="P125">
        <v>2</v>
      </c>
    </row>
    <row r="126" spans="1:16" x14ac:dyDescent="0.3">
      <c r="A126">
        <v>811</v>
      </c>
      <c r="B126" s="21">
        <v>40580</v>
      </c>
      <c r="C126" t="s">
        <v>16</v>
      </c>
      <c r="D126" t="s">
        <v>71</v>
      </c>
      <c r="E126">
        <v>5</v>
      </c>
      <c r="F126" t="s">
        <v>72</v>
      </c>
      <c r="G126" t="s">
        <v>73</v>
      </c>
      <c r="H126" t="s">
        <v>74</v>
      </c>
      <c r="I126">
        <v>10.66</v>
      </c>
      <c r="J126">
        <v>0.26</v>
      </c>
      <c r="K126">
        <v>0.2576</v>
      </c>
      <c r="L126">
        <v>0.6</v>
      </c>
      <c r="M126">
        <v>0.22389999999999999</v>
      </c>
      <c r="N126">
        <v>0</v>
      </c>
      <c r="O126">
        <v>1</v>
      </c>
      <c r="P126">
        <v>1</v>
      </c>
    </row>
    <row r="127" spans="1:16" x14ac:dyDescent="0.3">
      <c r="A127">
        <v>812</v>
      </c>
      <c r="B127" s="21">
        <v>40580</v>
      </c>
      <c r="C127" t="s">
        <v>16</v>
      </c>
      <c r="D127" t="s">
        <v>71</v>
      </c>
      <c r="E127">
        <v>6</v>
      </c>
      <c r="F127" t="s">
        <v>72</v>
      </c>
      <c r="G127" t="s">
        <v>73</v>
      </c>
      <c r="H127" t="s">
        <v>74</v>
      </c>
      <c r="I127">
        <v>10.66</v>
      </c>
      <c r="J127">
        <v>0.26</v>
      </c>
      <c r="K127">
        <v>0.2576</v>
      </c>
      <c r="L127">
        <v>0.6</v>
      </c>
      <c r="M127">
        <v>0.22389999999999999</v>
      </c>
      <c r="N127">
        <v>0</v>
      </c>
      <c r="O127">
        <v>1</v>
      </c>
      <c r="P127">
        <v>1</v>
      </c>
    </row>
    <row r="128" spans="1:16" x14ac:dyDescent="0.3">
      <c r="A128">
        <v>813</v>
      </c>
      <c r="B128" s="21">
        <v>40580</v>
      </c>
      <c r="C128" t="s">
        <v>16</v>
      </c>
      <c r="D128" t="s">
        <v>71</v>
      </c>
      <c r="E128">
        <v>7</v>
      </c>
      <c r="F128" t="s">
        <v>72</v>
      </c>
      <c r="G128" t="s">
        <v>73</v>
      </c>
      <c r="H128" t="s">
        <v>74</v>
      </c>
      <c r="I128">
        <v>9.84</v>
      </c>
      <c r="J128">
        <v>0.24</v>
      </c>
      <c r="K128">
        <v>0.2424</v>
      </c>
      <c r="L128">
        <v>0.65</v>
      </c>
      <c r="M128">
        <v>0.16420000000000001</v>
      </c>
      <c r="N128">
        <v>0</v>
      </c>
      <c r="O128">
        <v>8</v>
      </c>
      <c r="P128">
        <v>8</v>
      </c>
    </row>
    <row r="129" spans="1:16" x14ac:dyDescent="0.3">
      <c r="A129">
        <v>814</v>
      </c>
      <c r="B129" s="21">
        <v>40580</v>
      </c>
      <c r="C129" t="s">
        <v>16</v>
      </c>
      <c r="D129" t="s">
        <v>71</v>
      </c>
      <c r="E129">
        <v>8</v>
      </c>
      <c r="F129" t="s">
        <v>72</v>
      </c>
      <c r="G129" t="s">
        <v>73</v>
      </c>
      <c r="H129" t="s">
        <v>74</v>
      </c>
      <c r="I129">
        <v>9.84</v>
      </c>
      <c r="J129">
        <v>0.24</v>
      </c>
      <c r="K129">
        <v>0.2576</v>
      </c>
      <c r="L129">
        <v>0.65</v>
      </c>
      <c r="M129">
        <v>0.1045</v>
      </c>
      <c r="N129">
        <v>2</v>
      </c>
      <c r="O129">
        <v>21</v>
      </c>
      <c r="P129">
        <v>23</v>
      </c>
    </row>
    <row r="130" spans="1:16" x14ac:dyDescent="0.3">
      <c r="A130">
        <v>815</v>
      </c>
      <c r="B130" s="21">
        <v>40580</v>
      </c>
      <c r="C130" t="s">
        <v>16</v>
      </c>
      <c r="D130" t="s">
        <v>71</v>
      </c>
      <c r="E130">
        <v>9</v>
      </c>
      <c r="F130" t="s">
        <v>72</v>
      </c>
      <c r="G130" t="s">
        <v>73</v>
      </c>
      <c r="H130" t="s">
        <v>74</v>
      </c>
      <c r="I130">
        <v>11.48</v>
      </c>
      <c r="J130">
        <v>0.28000000000000003</v>
      </c>
      <c r="K130">
        <v>0.28789999999999999</v>
      </c>
      <c r="L130">
        <v>0.56000000000000005</v>
      </c>
      <c r="M130">
        <v>0.1045</v>
      </c>
      <c r="N130">
        <v>7</v>
      </c>
      <c r="O130">
        <v>38</v>
      </c>
      <c r="P130">
        <v>45</v>
      </c>
    </row>
    <row r="131" spans="1:16" x14ac:dyDescent="0.3">
      <c r="A131">
        <v>816</v>
      </c>
      <c r="B131" s="21">
        <v>40580</v>
      </c>
      <c r="C131" t="s">
        <v>16</v>
      </c>
      <c r="D131" t="s">
        <v>71</v>
      </c>
      <c r="E131">
        <v>10</v>
      </c>
      <c r="F131" t="s">
        <v>72</v>
      </c>
      <c r="G131" t="s">
        <v>73</v>
      </c>
      <c r="H131" t="s">
        <v>74</v>
      </c>
      <c r="I131">
        <v>12.299999999999999</v>
      </c>
      <c r="J131">
        <v>0.3</v>
      </c>
      <c r="K131">
        <v>0.28789999999999999</v>
      </c>
      <c r="L131">
        <v>0.52</v>
      </c>
      <c r="M131">
        <v>0.25369999999999998</v>
      </c>
      <c r="N131">
        <v>15</v>
      </c>
      <c r="O131">
        <v>74</v>
      </c>
      <c r="P131">
        <v>89</v>
      </c>
    </row>
    <row r="132" spans="1:16" x14ac:dyDescent="0.3">
      <c r="A132">
        <v>817</v>
      </c>
      <c r="B132" s="21">
        <v>40580</v>
      </c>
      <c r="C132" t="s">
        <v>16</v>
      </c>
      <c r="D132" t="s">
        <v>71</v>
      </c>
      <c r="E132">
        <v>11</v>
      </c>
      <c r="F132" t="s">
        <v>72</v>
      </c>
      <c r="G132" t="s">
        <v>73</v>
      </c>
      <c r="H132" t="s">
        <v>74</v>
      </c>
      <c r="I132">
        <v>13.120000000000001</v>
      </c>
      <c r="J132">
        <v>0.32</v>
      </c>
      <c r="K132">
        <v>0.30299999999999999</v>
      </c>
      <c r="L132">
        <v>0.49</v>
      </c>
      <c r="M132">
        <v>0.25369999999999998</v>
      </c>
      <c r="N132">
        <v>28</v>
      </c>
      <c r="O132">
        <v>89</v>
      </c>
      <c r="P132">
        <v>117</v>
      </c>
    </row>
    <row r="133" spans="1:16" x14ac:dyDescent="0.3">
      <c r="A133">
        <v>818</v>
      </c>
      <c r="B133" s="21">
        <v>40580</v>
      </c>
      <c r="C133" t="s">
        <v>16</v>
      </c>
      <c r="D133" t="s">
        <v>71</v>
      </c>
      <c r="E133">
        <v>12</v>
      </c>
      <c r="F133" t="s">
        <v>72</v>
      </c>
      <c r="G133" t="s">
        <v>73</v>
      </c>
      <c r="H133" t="s">
        <v>74</v>
      </c>
      <c r="I133">
        <v>13.940000000000001</v>
      </c>
      <c r="J133">
        <v>0.34</v>
      </c>
      <c r="K133">
        <v>0.33329999999999999</v>
      </c>
      <c r="L133">
        <v>0.46</v>
      </c>
      <c r="M133">
        <v>0</v>
      </c>
      <c r="N133">
        <v>48</v>
      </c>
      <c r="O133">
        <v>126</v>
      </c>
      <c r="P133">
        <v>174</v>
      </c>
    </row>
    <row r="134" spans="1:16" x14ac:dyDescent="0.3">
      <c r="A134">
        <v>819</v>
      </c>
      <c r="B134" s="21">
        <v>40580</v>
      </c>
      <c r="C134" t="s">
        <v>16</v>
      </c>
      <c r="D134" t="s">
        <v>71</v>
      </c>
      <c r="E134">
        <v>13</v>
      </c>
      <c r="F134" t="s">
        <v>72</v>
      </c>
      <c r="G134" t="s">
        <v>73</v>
      </c>
      <c r="H134" t="s">
        <v>74</v>
      </c>
      <c r="I134">
        <v>13.940000000000001</v>
      </c>
      <c r="J134">
        <v>0.34</v>
      </c>
      <c r="K134">
        <v>0.36359999999999998</v>
      </c>
      <c r="L134">
        <v>0.46</v>
      </c>
      <c r="M134">
        <v>0</v>
      </c>
      <c r="N134">
        <v>47</v>
      </c>
      <c r="O134">
        <v>135</v>
      </c>
      <c r="P134">
        <v>182</v>
      </c>
    </row>
    <row r="135" spans="1:16" x14ac:dyDescent="0.3">
      <c r="A135">
        <v>820</v>
      </c>
      <c r="B135" s="21">
        <v>40580</v>
      </c>
      <c r="C135" t="s">
        <v>16</v>
      </c>
      <c r="D135" t="s">
        <v>71</v>
      </c>
      <c r="E135">
        <v>14</v>
      </c>
      <c r="F135" t="s">
        <v>72</v>
      </c>
      <c r="G135" t="s">
        <v>73</v>
      </c>
      <c r="H135" t="s">
        <v>74</v>
      </c>
      <c r="I135">
        <v>13.940000000000001</v>
      </c>
      <c r="J135">
        <v>0.34</v>
      </c>
      <c r="K135">
        <v>0.34849999999999998</v>
      </c>
      <c r="L135">
        <v>0.46</v>
      </c>
      <c r="M135">
        <v>8.9599999999999999E-2</v>
      </c>
      <c r="N135">
        <v>47</v>
      </c>
      <c r="O135">
        <v>114</v>
      </c>
      <c r="P135">
        <v>161</v>
      </c>
    </row>
    <row r="136" spans="1:16" x14ac:dyDescent="0.3">
      <c r="A136">
        <v>821</v>
      </c>
      <c r="B136" s="21">
        <v>40580</v>
      </c>
      <c r="C136" t="s">
        <v>16</v>
      </c>
      <c r="D136" t="s">
        <v>71</v>
      </c>
      <c r="E136">
        <v>15</v>
      </c>
      <c r="F136" t="s">
        <v>72</v>
      </c>
      <c r="G136" t="s">
        <v>73</v>
      </c>
      <c r="H136" t="s">
        <v>74</v>
      </c>
      <c r="I136">
        <v>13.940000000000001</v>
      </c>
      <c r="J136">
        <v>0.34</v>
      </c>
      <c r="K136">
        <v>0.34849999999999998</v>
      </c>
      <c r="L136">
        <v>0.46</v>
      </c>
      <c r="M136">
        <v>8.9599999999999999E-2</v>
      </c>
      <c r="N136">
        <v>52</v>
      </c>
      <c r="O136">
        <v>130</v>
      </c>
      <c r="P136">
        <v>182</v>
      </c>
    </row>
    <row r="137" spans="1:16" x14ac:dyDescent="0.3">
      <c r="A137">
        <v>822</v>
      </c>
      <c r="B137" s="21">
        <v>40580</v>
      </c>
      <c r="C137" t="s">
        <v>16</v>
      </c>
      <c r="D137" t="s">
        <v>71</v>
      </c>
      <c r="E137">
        <v>16</v>
      </c>
      <c r="F137" t="s">
        <v>72</v>
      </c>
      <c r="G137" t="s">
        <v>73</v>
      </c>
      <c r="H137" t="s">
        <v>74</v>
      </c>
      <c r="I137">
        <v>13.940000000000001</v>
      </c>
      <c r="J137">
        <v>0.34</v>
      </c>
      <c r="K137">
        <v>0.34849999999999998</v>
      </c>
      <c r="L137">
        <v>0.49</v>
      </c>
      <c r="M137">
        <v>0.1045</v>
      </c>
      <c r="N137">
        <v>42</v>
      </c>
      <c r="O137">
        <v>115</v>
      </c>
      <c r="P137">
        <v>157</v>
      </c>
    </row>
    <row r="138" spans="1:16" x14ac:dyDescent="0.3">
      <c r="A138">
        <v>823</v>
      </c>
      <c r="B138" s="21">
        <v>40580</v>
      </c>
      <c r="C138" t="s">
        <v>16</v>
      </c>
      <c r="D138" t="s">
        <v>71</v>
      </c>
      <c r="E138">
        <v>17</v>
      </c>
      <c r="F138" t="s">
        <v>72</v>
      </c>
      <c r="G138" t="s">
        <v>73</v>
      </c>
      <c r="H138" t="s">
        <v>74</v>
      </c>
      <c r="I138">
        <v>13.940000000000001</v>
      </c>
      <c r="J138">
        <v>0.34</v>
      </c>
      <c r="K138">
        <v>0.36359999999999998</v>
      </c>
      <c r="L138">
        <v>0.46</v>
      </c>
      <c r="M138">
        <v>0</v>
      </c>
      <c r="N138">
        <v>24</v>
      </c>
      <c r="O138">
        <v>97</v>
      </c>
      <c r="P138">
        <v>121</v>
      </c>
    </row>
    <row r="139" spans="1:16" x14ac:dyDescent="0.3">
      <c r="A139">
        <v>824</v>
      </c>
      <c r="B139" s="21">
        <v>40580</v>
      </c>
      <c r="C139" t="s">
        <v>16</v>
      </c>
      <c r="D139" t="s">
        <v>71</v>
      </c>
      <c r="E139">
        <v>18</v>
      </c>
      <c r="F139" t="s">
        <v>72</v>
      </c>
      <c r="G139" t="s">
        <v>73</v>
      </c>
      <c r="H139" t="s">
        <v>74</v>
      </c>
      <c r="I139">
        <v>12.299999999999999</v>
      </c>
      <c r="J139">
        <v>0.3</v>
      </c>
      <c r="K139">
        <v>0.30299999999999999</v>
      </c>
      <c r="L139">
        <v>0.56000000000000005</v>
      </c>
      <c r="M139">
        <v>0.16420000000000001</v>
      </c>
      <c r="N139">
        <v>13</v>
      </c>
      <c r="O139">
        <v>65</v>
      </c>
      <c r="P139">
        <v>78</v>
      </c>
    </row>
    <row r="140" spans="1:16" x14ac:dyDescent="0.3">
      <c r="A140">
        <v>825</v>
      </c>
      <c r="B140" s="21">
        <v>40580</v>
      </c>
      <c r="C140" t="s">
        <v>16</v>
      </c>
      <c r="D140" t="s">
        <v>71</v>
      </c>
      <c r="E140">
        <v>19</v>
      </c>
      <c r="F140" t="s">
        <v>72</v>
      </c>
      <c r="G140" t="s">
        <v>73</v>
      </c>
      <c r="H140" t="s">
        <v>74</v>
      </c>
      <c r="I140">
        <v>11.48</v>
      </c>
      <c r="J140">
        <v>0.28000000000000003</v>
      </c>
      <c r="K140">
        <v>0.28789999999999999</v>
      </c>
      <c r="L140">
        <v>0.61</v>
      </c>
      <c r="M140">
        <v>0.1343</v>
      </c>
      <c r="N140">
        <v>1</v>
      </c>
      <c r="O140">
        <v>20</v>
      </c>
      <c r="P140">
        <v>21</v>
      </c>
    </row>
    <row r="141" spans="1:16" x14ac:dyDescent="0.3">
      <c r="A141">
        <v>826</v>
      </c>
      <c r="B141" s="21">
        <v>40580</v>
      </c>
      <c r="C141" t="s">
        <v>16</v>
      </c>
      <c r="D141" t="s">
        <v>71</v>
      </c>
      <c r="E141">
        <v>20</v>
      </c>
      <c r="F141" t="s">
        <v>72</v>
      </c>
      <c r="G141" t="s">
        <v>73</v>
      </c>
      <c r="H141" t="s">
        <v>74</v>
      </c>
      <c r="I141">
        <v>11.48</v>
      </c>
      <c r="J141">
        <v>0.28000000000000003</v>
      </c>
      <c r="K141">
        <v>0.28789999999999999</v>
      </c>
      <c r="L141">
        <v>0.61</v>
      </c>
      <c r="M141">
        <v>0.1045</v>
      </c>
      <c r="N141">
        <v>5</v>
      </c>
      <c r="O141">
        <v>21</v>
      </c>
      <c r="P141">
        <v>26</v>
      </c>
    </row>
    <row r="142" spans="1:16" x14ac:dyDescent="0.3">
      <c r="A142">
        <v>827</v>
      </c>
      <c r="B142" s="21">
        <v>40580</v>
      </c>
      <c r="C142" t="s">
        <v>16</v>
      </c>
      <c r="D142" t="s">
        <v>71</v>
      </c>
      <c r="E142">
        <v>21</v>
      </c>
      <c r="F142" t="s">
        <v>72</v>
      </c>
      <c r="G142" t="s">
        <v>73</v>
      </c>
      <c r="H142" t="s">
        <v>74</v>
      </c>
      <c r="I142">
        <v>10.66</v>
      </c>
      <c r="J142">
        <v>0.26</v>
      </c>
      <c r="K142">
        <v>0.30299999999999999</v>
      </c>
      <c r="L142">
        <v>0.6</v>
      </c>
      <c r="M142">
        <v>0</v>
      </c>
      <c r="N142">
        <v>5</v>
      </c>
      <c r="O142">
        <v>22</v>
      </c>
      <c r="P142">
        <v>27</v>
      </c>
    </row>
    <row r="143" spans="1:16" x14ac:dyDescent="0.3">
      <c r="A143">
        <v>828</v>
      </c>
      <c r="B143" s="21">
        <v>40580</v>
      </c>
      <c r="C143" t="s">
        <v>16</v>
      </c>
      <c r="D143" t="s">
        <v>71</v>
      </c>
      <c r="E143">
        <v>22</v>
      </c>
      <c r="F143" t="s">
        <v>72</v>
      </c>
      <c r="G143" t="s">
        <v>73</v>
      </c>
      <c r="H143" t="s">
        <v>74</v>
      </c>
      <c r="I143">
        <v>10.66</v>
      </c>
      <c r="J143">
        <v>0.26</v>
      </c>
      <c r="K143">
        <v>0.30299999999999999</v>
      </c>
      <c r="L143">
        <v>0.6</v>
      </c>
      <c r="M143">
        <v>0</v>
      </c>
      <c r="N143">
        <v>5</v>
      </c>
      <c r="O143">
        <v>57</v>
      </c>
      <c r="P143">
        <v>62</v>
      </c>
    </row>
    <row r="144" spans="1:16" x14ac:dyDescent="0.3">
      <c r="A144">
        <v>829</v>
      </c>
      <c r="B144" s="21">
        <v>40580</v>
      </c>
      <c r="C144" t="s">
        <v>16</v>
      </c>
      <c r="D144" t="s">
        <v>71</v>
      </c>
      <c r="E144">
        <v>23</v>
      </c>
      <c r="F144" t="s">
        <v>72</v>
      </c>
      <c r="G144" t="s">
        <v>73</v>
      </c>
      <c r="H144" t="s">
        <v>74</v>
      </c>
      <c r="I144">
        <v>9.84</v>
      </c>
      <c r="J144">
        <v>0.24</v>
      </c>
      <c r="K144">
        <v>0.28789999999999999</v>
      </c>
      <c r="L144">
        <v>0.65</v>
      </c>
      <c r="M144">
        <v>0</v>
      </c>
      <c r="N144">
        <v>4</v>
      </c>
      <c r="O144">
        <v>26</v>
      </c>
      <c r="P144">
        <v>30</v>
      </c>
    </row>
    <row r="145" spans="1:16" x14ac:dyDescent="0.3">
      <c r="A145">
        <v>970</v>
      </c>
      <c r="B145" s="21">
        <v>40587</v>
      </c>
      <c r="C145" t="s">
        <v>16</v>
      </c>
      <c r="D145" t="s">
        <v>71</v>
      </c>
      <c r="E145">
        <v>0</v>
      </c>
      <c r="F145" t="s">
        <v>72</v>
      </c>
      <c r="G145" t="s">
        <v>73</v>
      </c>
      <c r="H145" t="s">
        <v>74</v>
      </c>
      <c r="I145">
        <v>8.2000000000000011</v>
      </c>
      <c r="J145">
        <v>0.2</v>
      </c>
      <c r="K145">
        <v>0.2273</v>
      </c>
      <c r="L145">
        <v>0.64</v>
      </c>
      <c r="M145">
        <v>0.1045</v>
      </c>
      <c r="N145">
        <v>5</v>
      </c>
      <c r="O145">
        <v>34</v>
      </c>
      <c r="P145">
        <v>39</v>
      </c>
    </row>
    <row r="146" spans="1:16" x14ac:dyDescent="0.3">
      <c r="A146">
        <v>971</v>
      </c>
      <c r="B146" s="21">
        <v>40587</v>
      </c>
      <c r="C146" t="s">
        <v>16</v>
      </c>
      <c r="D146" t="s">
        <v>71</v>
      </c>
      <c r="E146">
        <v>1</v>
      </c>
      <c r="F146" t="s">
        <v>72</v>
      </c>
      <c r="G146" t="s">
        <v>73</v>
      </c>
      <c r="H146" t="s">
        <v>74</v>
      </c>
      <c r="I146">
        <v>8.2000000000000011</v>
      </c>
      <c r="J146">
        <v>0.2</v>
      </c>
      <c r="K146">
        <v>0.2273</v>
      </c>
      <c r="L146">
        <v>0.59</v>
      </c>
      <c r="M146">
        <v>8.9599999999999999E-2</v>
      </c>
      <c r="N146">
        <v>1</v>
      </c>
      <c r="O146">
        <v>23</v>
      </c>
      <c r="P146">
        <v>24</v>
      </c>
    </row>
    <row r="147" spans="1:16" x14ac:dyDescent="0.3">
      <c r="A147">
        <v>972</v>
      </c>
      <c r="B147" s="21">
        <v>40587</v>
      </c>
      <c r="C147" t="s">
        <v>16</v>
      </c>
      <c r="D147" t="s">
        <v>71</v>
      </c>
      <c r="E147">
        <v>2</v>
      </c>
      <c r="F147" t="s">
        <v>72</v>
      </c>
      <c r="G147" t="s">
        <v>73</v>
      </c>
      <c r="H147" t="s">
        <v>75</v>
      </c>
      <c r="I147">
        <v>8.2000000000000011</v>
      </c>
      <c r="J147">
        <v>0.2</v>
      </c>
      <c r="K147">
        <v>0.2273</v>
      </c>
      <c r="L147">
        <v>0.75</v>
      </c>
      <c r="M147">
        <v>8.9599999999999999E-2</v>
      </c>
      <c r="N147">
        <v>1</v>
      </c>
      <c r="O147">
        <v>19</v>
      </c>
      <c r="P147">
        <v>20</v>
      </c>
    </row>
    <row r="148" spans="1:16" x14ac:dyDescent="0.3">
      <c r="A148">
        <v>973</v>
      </c>
      <c r="B148" s="21">
        <v>40587</v>
      </c>
      <c r="C148" t="s">
        <v>16</v>
      </c>
      <c r="D148" t="s">
        <v>71</v>
      </c>
      <c r="E148">
        <v>3</v>
      </c>
      <c r="F148" t="s">
        <v>72</v>
      </c>
      <c r="G148" t="s">
        <v>73</v>
      </c>
      <c r="H148" t="s">
        <v>75</v>
      </c>
      <c r="I148">
        <v>8.2000000000000011</v>
      </c>
      <c r="J148">
        <v>0.2</v>
      </c>
      <c r="K148">
        <v>0.2273</v>
      </c>
      <c r="L148">
        <v>0.69</v>
      </c>
      <c r="M148">
        <v>0.1045</v>
      </c>
      <c r="N148">
        <v>4</v>
      </c>
      <c r="O148">
        <v>8</v>
      </c>
      <c r="P148">
        <v>12</v>
      </c>
    </row>
    <row r="149" spans="1:16" x14ac:dyDescent="0.3">
      <c r="A149">
        <v>974</v>
      </c>
      <c r="B149" s="21">
        <v>40587</v>
      </c>
      <c r="C149" t="s">
        <v>16</v>
      </c>
      <c r="D149" t="s">
        <v>71</v>
      </c>
      <c r="E149">
        <v>4</v>
      </c>
      <c r="F149" t="s">
        <v>72</v>
      </c>
      <c r="G149" t="s">
        <v>73</v>
      </c>
      <c r="H149" t="s">
        <v>75</v>
      </c>
      <c r="I149">
        <v>8.2000000000000011</v>
      </c>
      <c r="J149">
        <v>0.2</v>
      </c>
      <c r="K149">
        <v>0.21210000000000001</v>
      </c>
      <c r="L149">
        <v>0.69</v>
      </c>
      <c r="M149">
        <v>0.16420000000000001</v>
      </c>
      <c r="N149">
        <v>0</v>
      </c>
      <c r="O149">
        <v>2</v>
      </c>
      <c r="P149">
        <v>2</v>
      </c>
    </row>
    <row r="150" spans="1:16" x14ac:dyDescent="0.3">
      <c r="A150">
        <v>975</v>
      </c>
      <c r="B150" s="21">
        <v>40587</v>
      </c>
      <c r="C150" t="s">
        <v>16</v>
      </c>
      <c r="D150" t="s">
        <v>71</v>
      </c>
      <c r="E150">
        <v>6</v>
      </c>
      <c r="F150" t="s">
        <v>72</v>
      </c>
      <c r="G150" t="s">
        <v>73</v>
      </c>
      <c r="H150" t="s">
        <v>75</v>
      </c>
      <c r="I150">
        <v>8.2000000000000011</v>
      </c>
      <c r="J150">
        <v>0.2</v>
      </c>
      <c r="K150">
        <v>0.21210000000000001</v>
      </c>
      <c r="L150">
        <v>0.69</v>
      </c>
      <c r="M150">
        <v>0.1343</v>
      </c>
      <c r="N150">
        <v>2</v>
      </c>
      <c r="O150">
        <v>3</v>
      </c>
      <c r="P150">
        <v>5</v>
      </c>
    </row>
    <row r="151" spans="1:16" x14ac:dyDescent="0.3">
      <c r="A151">
        <v>976</v>
      </c>
      <c r="B151" s="21">
        <v>40587</v>
      </c>
      <c r="C151" t="s">
        <v>16</v>
      </c>
      <c r="D151" t="s">
        <v>71</v>
      </c>
      <c r="E151">
        <v>7</v>
      </c>
      <c r="F151" t="s">
        <v>72</v>
      </c>
      <c r="G151" t="s">
        <v>73</v>
      </c>
      <c r="H151" t="s">
        <v>75</v>
      </c>
      <c r="I151">
        <v>9.02</v>
      </c>
      <c r="J151">
        <v>0.22</v>
      </c>
      <c r="K151">
        <v>0.2727</v>
      </c>
      <c r="L151">
        <v>0.55000000000000004</v>
      </c>
      <c r="M151">
        <v>0</v>
      </c>
      <c r="N151">
        <v>0</v>
      </c>
      <c r="O151">
        <v>3</v>
      </c>
      <c r="P151">
        <v>3</v>
      </c>
    </row>
    <row r="152" spans="1:16" x14ac:dyDescent="0.3">
      <c r="A152">
        <v>977</v>
      </c>
      <c r="B152" s="21">
        <v>40587</v>
      </c>
      <c r="C152" t="s">
        <v>16</v>
      </c>
      <c r="D152" t="s">
        <v>71</v>
      </c>
      <c r="E152">
        <v>8</v>
      </c>
      <c r="F152" t="s">
        <v>72</v>
      </c>
      <c r="G152" t="s">
        <v>73</v>
      </c>
      <c r="H152" t="s">
        <v>75</v>
      </c>
      <c r="I152">
        <v>9.02</v>
      </c>
      <c r="J152">
        <v>0.22</v>
      </c>
      <c r="K152">
        <v>0.2273</v>
      </c>
      <c r="L152">
        <v>0.64</v>
      </c>
      <c r="M152">
        <v>0.19400000000000001</v>
      </c>
      <c r="N152">
        <v>1</v>
      </c>
      <c r="O152">
        <v>11</v>
      </c>
      <c r="P152">
        <v>12</v>
      </c>
    </row>
    <row r="153" spans="1:16" x14ac:dyDescent="0.3">
      <c r="A153">
        <v>978</v>
      </c>
      <c r="B153" s="21">
        <v>40587</v>
      </c>
      <c r="C153" t="s">
        <v>16</v>
      </c>
      <c r="D153" t="s">
        <v>71</v>
      </c>
      <c r="E153">
        <v>9</v>
      </c>
      <c r="F153" t="s">
        <v>72</v>
      </c>
      <c r="G153" t="s">
        <v>73</v>
      </c>
      <c r="H153" t="s">
        <v>75</v>
      </c>
      <c r="I153">
        <v>9.84</v>
      </c>
      <c r="J153">
        <v>0.24</v>
      </c>
      <c r="K153">
        <v>0.2273</v>
      </c>
      <c r="L153">
        <v>0.6</v>
      </c>
      <c r="M153">
        <v>0.22389999999999999</v>
      </c>
      <c r="N153">
        <v>12</v>
      </c>
      <c r="O153">
        <v>35</v>
      </c>
      <c r="P153">
        <v>47</v>
      </c>
    </row>
    <row r="154" spans="1:16" x14ac:dyDescent="0.3">
      <c r="A154">
        <v>979</v>
      </c>
      <c r="B154" s="21">
        <v>40587</v>
      </c>
      <c r="C154" t="s">
        <v>16</v>
      </c>
      <c r="D154" t="s">
        <v>71</v>
      </c>
      <c r="E154">
        <v>10</v>
      </c>
      <c r="F154" t="s">
        <v>72</v>
      </c>
      <c r="G154" t="s">
        <v>73</v>
      </c>
      <c r="H154" t="s">
        <v>74</v>
      </c>
      <c r="I154">
        <v>12.299999999999999</v>
      </c>
      <c r="J154">
        <v>0.3</v>
      </c>
      <c r="K154">
        <v>0.2727</v>
      </c>
      <c r="L154">
        <v>0.45</v>
      </c>
      <c r="M154">
        <v>0.32840000000000003</v>
      </c>
      <c r="N154">
        <v>19</v>
      </c>
      <c r="O154">
        <v>86</v>
      </c>
      <c r="P154">
        <v>105</v>
      </c>
    </row>
    <row r="155" spans="1:16" x14ac:dyDescent="0.3">
      <c r="A155">
        <v>980</v>
      </c>
      <c r="B155" s="21">
        <v>40587</v>
      </c>
      <c r="C155" t="s">
        <v>16</v>
      </c>
      <c r="D155" t="s">
        <v>71</v>
      </c>
      <c r="E155">
        <v>11</v>
      </c>
      <c r="F155" t="s">
        <v>72</v>
      </c>
      <c r="G155" t="s">
        <v>73</v>
      </c>
      <c r="H155" t="s">
        <v>74</v>
      </c>
      <c r="I155">
        <v>13.120000000000001</v>
      </c>
      <c r="J155">
        <v>0.32</v>
      </c>
      <c r="K155">
        <v>0.28789999999999999</v>
      </c>
      <c r="L155">
        <v>0.39</v>
      </c>
      <c r="M155">
        <v>0.44779999999999998</v>
      </c>
      <c r="N155">
        <v>26</v>
      </c>
      <c r="O155">
        <v>86</v>
      </c>
      <c r="P155">
        <v>112</v>
      </c>
    </row>
    <row r="156" spans="1:16" x14ac:dyDescent="0.3">
      <c r="A156">
        <v>981</v>
      </c>
      <c r="B156" s="21">
        <v>40587</v>
      </c>
      <c r="C156" t="s">
        <v>16</v>
      </c>
      <c r="D156" t="s">
        <v>71</v>
      </c>
      <c r="E156">
        <v>12</v>
      </c>
      <c r="F156" t="s">
        <v>72</v>
      </c>
      <c r="G156" t="s">
        <v>73</v>
      </c>
      <c r="H156" t="s">
        <v>74</v>
      </c>
      <c r="I156">
        <v>14.76</v>
      </c>
      <c r="J156">
        <v>0.36</v>
      </c>
      <c r="K156">
        <v>0.31819999999999998</v>
      </c>
      <c r="L156">
        <v>0.32</v>
      </c>
      <c r="M156">
        <v>0.4627</v>
      </c>
      <c r="N156">
        <v>58</v>
      </c>
      <c r="O156">
        <v>94</v>
      </c>
      <c r="P156">
        <v>152</v>
      </c>
    </row>
    <row r="157" spans="1:16" x14ac:dyDescent="0.3">
      <c r="A157">
        <v>982</v>
      </c>
      <c r="B157" s="21">
        <v>40587</v>
      </c>
      <c r="C157" t="s">
        <v>16</v>
      </c>
      <c r="D157" t="s">
        <v>71</v>
      </c>
      <c r="E157">
        <v>13</v>
      </c>
      <c r="F157" t="s">
        <v>72</v>
      </c>
      <c r="G157" t="s">
        <v>73</v>
      </c>
      <c r="H157" t="s">
        <v>74</v>
      </c>
      <c r="I157">
        <v>15.58</v>
      </c>
      <c r="J157">
        <v>0.38</v>
      </c>
      <c r="K157">
        <v>0.39389999999999997</v>
      </c>
      <c r="L157">
        <v>0.28999999999999998</v>
      </c>
      <c r="M157">
        <v>0.35820000000000002</v>
      </c>
      <c r="N157">
        <v>62</v>
      </c>
      <c r="O157">
        <v>92</v>
      </c>
      <c r="P157">
        <v>154</v>
      </c>
    </row>
    <row r="158" spans="1:16" x14ac:dyDescent="0.3">
      <c r="A158">
        <v>983</v>
      </c>
      <c r="B158" s="21">
        <v>40587</v>
      </c>
      <c r="C158" t="s">
        <v>16</v>
      </c>
      <c r="D158" t="s">
        <v>71</v>
      </c>
      <c r="E158">
        <v>14</v>
      </c>
      <c r="F158" t="s">
        <v>72</v>
      </c>
      <c r="G158" t="s">
        <v>73</v>
      </c>
      <c r="H158" t="s">
        <v>75</v>
      </c>
      <c r="I158">
        <v>16.400000000000002</v>
      </c>
      <c r="J158">
        <v>0.4</v>
      </c>
      <c r="K158">
        <v>0.40910000000000002</v>
      </c>
      <c r="L158">
        <v>0.3</v>
      </c>
      <c r="M158">
        <v>0.41789999999999999</v>
      </c>
      <c r="N158">
        <v>51</v>
      </c>
      <c r="O158">
        <v>110</v>
      </c>
      <c r="P158">
        <v>161</v>
      </c>
    </row>
    <row r="159" spans="1:16" x14ac:dyDescent="0.3">
      <c r="A159">
        <v>984</v>
      </c>
      <c r="B159" s="21">
        <v>40587</v>
      </c>
      <c r="C159" t="s">
        <v>16</v>
      </c>
      <c r="D159" t="s">
        <v>71</v>
      </c>
      <c r="E159">
        <v>15</v>
      </c>
      <c r="F159" t="s">
        <v>72</v>
      </c>
      <c r="G159" t="s">
        <v>73</v>
      </c>
      <c r="H159" t="s">
        <v>75</v>
      </c>
      <c r="I159">
        <v>16.400000000000002</v>
      </c>
      <c r="J159">
        <v>0.4</v>
      </c>
      <c r="K159">
        <v>0.40910000000000002</v>
      </c>
      <c r="L159">
        <v>0.3</v>
      </c>
      <c r="M159">
        <v>0.29849999999999999</v>
      </c>
      <c r="N159">
        <v>40</v>
      </c>
      <c r="O159">
        <v>122</v>
      </c>
      <c r="P159">
        <v>162</v>
      </c>
    </row>
    <row r="160" spans="1:16" x14ac:dyDescent="0.3">
      <c r="A160">
        <v>985</v>
      </c>
      <c r="B160" s="21">
        <v>40587</v>
      </c>
      <c r="C160" t="s">
        <v>16</v>
      </c>
      <c r="D160" t="s">
        <v>71</v>
      </c>
      <c r="E160">
        <v>16</v>
      </c>
      <c r="F160" t="s">
        <v>72</v>
      </c>
      <c r="G160" t="s">
        <v>73</v>
      </c>
      <c r="H160" t="s">
        <v>75</v>
      </c>
      <c r="I160">
        <v>17.22</v>
      </c>
      <c r="J160">
        <v>0.42</v>
      </c>
      <c r="K160">
        <v>0.42420000000000002</v>
      </c>
      <c r="L160">
        <v>0.28000000000000003</v>
      </c>
      <c r="M160">
        <v>0.32840000000000003</v>
      </c>
      <c r="N160">
        <v>28</v>
      </c>
      <c r="O160">
        <v>106</v>
      </c>
      <c r="P160">
        <v>134</v>
      </c>
    </row>
    <row r="161" spans="1:16" x14ac:dyDescent="0.3">
      <c r="A161">
        <v>986</v>
      </c>
      <c r="B161" s="21">
        <v>40587</v>
      </c>
      <c r="C161" t="s">
        <v>16</v>
      </c>
      <c r="D161" t="s">
        <v>71</v>
      </c>
      <c r="E161">
        <v>17</v>
      </c>
      <c r="F161" t="s">
        <v>72</v>
      </c>
      <c r="G161" t="s">
        <v>73</v>
      </c>
      <c r="H161" t="s">
        <v>74</v>
      </c>
      <c r="I161">
        <v>17.22</v>
      </c>
      <c r="J161">
        <v>0.42</v>
      </c>
      <c r="K161">
        <v>0.42420000000000002</v>
      </c>
      <c r="L161">
        <v>0.28000000000000003</v>
      </c>
      <c r="M161">
        <v>0.32840000000000003</v>
      </c>
      <c r="N161">
        <v>30</v>
      </c>
      <c r="O161">
        <v>95</v>
      </c>
      <c r="P161">
        <v>125</v>
      </c>
    </row>
    <row r="162" spans="1:16" x14ac:dyDescent="0.3">
      <c r="A162">
        <v>987</v>
      </c>
      <c r="B162" s="21">
        <v>40587</v>
      </c>
      <c r="C162" t="s">
        <v>16</v>
      </c>
      <c r="D162" t="s">
        <v>71</v>
      </c>
      <c r="E162">
        <v>18</v>
      </c>
      <c r="F162" t="s">
        <v>72</v>
      </c>
      <c r="G162" t="s">
        <v>73</v>
      </c>
      <c r="H162" t="s">
        <v>74</v>
      </c>
      <c r="I162">
        <v>16.400000000000002</v>
      </c>
      <c r="J162">
        <v>0.4</v>
      </c>
      <c r="K162">
        <v>0.40910000000000002</v>
      </c>
      <c r="L162">
        <v>0.32</v>
      </c>
      <c r="M162">
        <v>0.29849999999999999</v>
      </c>
      <c r="N162">
        <v>17</v>
      </c>
      <c r="O162">
        <v>78</v>
      </c>
      <c r="P162">
        <v>95</v>
      </c>
    </row>
    <row r="163" spans="1:16" x14ac:dyDescent="0.3">
      <c r="A163">
        <v>988</v>
      </c>
      <c r="B163" s="21">
        <v>40587</v>
      </c>
      <c r="C163" t="s">
        <v>16</v>
      </c>
      <c r="D163" t="s">
        <v>71</v>
      </c>
      <c r="E163">
        <v>19</v>
      </c>
      <c r="F163" t="s">
        <v>72</v>
      </c>
      <c r="G163" t="s">
        <v>73</v>
      </c>
      <c r="H163" t="s">
        <v>74</v>
      </c>
      <c r="I163">
        <v>16.400000000000002</v>
      </c>
      <c r="J163">
        <v>0.4</v>
      </c>
      <c r="K163">
        <v>0.40910000000000002</v>
      </c>
      <c r="L163">
        <v>0.35</v>
      </c>
      <c r="M163">
        <v>0.28360000000000002</v>
      </c>
      <c r="N163">
        <v>11</v>
      </c>
      <c r="O163">
        <v>50</v>
      </c>
      <c r="P163">
        <v>61</v>
      </c>
    </row>
    <row r="164" spans="1:16" x14ac:dyDescent="0.3">
      <c r="A164">
        <v>989</v>
      </c>
      <c r="B164" s="21">
        <v>40587</v>
      </c>
      <c r="C164" t="s">
        <v>16</v>
      </c>
      <c r="D164" t="s">
        <v>71</v>
      </c>
      <c r="E164">
        <v>20</v>
      </c>
      <c r="F164" t="s">
        <v>72</v>
      </c>
      <c r="G164" t="s">
        <v>73</v>
      </c>
      <c r="H164" t="s">
        <v>74</v>
      </c>
      <c r="I164">
        <v>16.400000000000002</v>
      </c>
      <c r="J164">
        <v>0.4</v>
      </c>
      <c r="K164">
        <v>0.40910000000000002</v>
      </c>
      <c r="L164">
        <v>0.35</v>
      </c>
      <c r="M164">
        <v>0.32840000000000003</v>
      </c>
      <c r="N164">
        <v>15</v>
      </c>
      <c r="O164">
        <v>32</v>
      </c>
      <c r="P164">
        <v>47</v>
      </c>
    </row>
    <row r="165" spans="1:16" x14ac:dyDescent="0.3">
      <c r="A165">
        <v>990</v>
      </c>
      <c r="B165" s="21">
        <v>40587</v>
      </c>
      <c r="C165" t="s">
        <v>16</v>
      </c>
      <c r="D165" t="s">
        <v>71</v>
      </c>
      <c r="E165">
        <v>21</v>
      </c>
      <c r="F165" t="s">
        <v>72</v>
      </c>
      <c r="G165" t="s">
        <v>73</v>
      </c>
      <c r="H165" t="s">
        <v>74</v>
      </c>
      <c r="I165">
        <v>16.400000000000002</v>
      </c>
      <c r="J165">
        <v>0.4</v>
      </c>
      <c r="K165">
        <v>0.40910000000000002</v>
      </c>
      <c r="L165">
        <v>0.35</v>
      </c>
      <c r="M165">
        <v>0.35820000000000002</v>
      </c>
      <c r="N165">
        <v>6</v>
      </c>
      <c r="O165">
        <v>45</v>
      </c>
      <c r="P165">
        <v>51</v>
      </c>
    </row>
    <row r="166" spans="1:16" x14ac:dyDescent="0.3">
      <c r="A166">
        <v>991</v>
      </c>
      <c r="B166" s="21">
        <v>40587</v>
      </c>
      <c r="C166" t="s">
        <v>16</v>
      </c>
      <c r="D166" t="s">
        <v>71</v>
      </c>
      <c r="E166">
        <v>22</v>
      </c>
      <c r="F166" t="s">
        <v>72</v>
      </c>
      <c r="G166" t="s">
        <v>73</v>
      </c>
      <c r="H166" t="s">
        <v>74</v>
      </c>
      <c r="I166">
        <v>16.400000000000002</v>
      </c>
      <c r="J166">
        <v>0.4</v>
      </c>
      <c r="K166">
        <v>0.40910000000000002</v>
      </c>
      <c r="L166">
        <v>0.35</v>
      </c>
      <c r="M166">
        <v>0.29849999999999999</v>
      </c>
      <c r="N166">
        <v>5</v>
      </c>
      <c r="O166">
        <v>31</v>
      </c>
      <c r="P166">
        <v>36</v>
      </c>
    </row>
    <row r="167" spans="1:16" x14ac:dyDescent="0.3">
      <c r="A167">
        <v>992</v>
      </c>
      <c r="B167" s="21">
        <v>40587</v>
      </c>
      <c r="C167" t="s">
        <v>16</v>
      </c>
      <c r="D167" t="s">
        <v>71</v>
      </c>
      <c r="E167">
        <v>23</v>
      </c>
      <c r="F167" t="s">
        <v>72</v>
      </c>
      <c r="G167" t="s">
        <v>73</v>
      </c>
      <c r="H167" t="s">
        <v>74</v>
      </c>
      <c r="I167">
        <v>16.400000000000002</v>
      </c>
      <c r="J167">
        <v>0.4</v>
      </c>
      <c r="K167">
        <v>0.40910000000000002</v>
      </c>
      <c r="L167">
        <v>0.35</v>
      </c>
      <c r="M167">
        <v>0.35820000000000002</v>
      </c>
      <c r="N167">
        <v>3</v>
      </c>
      <c r="O167">
        <v>27</v>
      </c>
      <c r="P167">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A97A-44CB-45F2-B66E-BFDFB9E02863}">
  <sheetPr codeName="Sheet7"/>
  <dimension ref="A3:B49"/>
  <sheetViews>
    <sheetView workbookViewId="0">
      <selection activeCell="N16" sqref="N16"/>
    </sheetView>
  </sheetViews>
  <sheetFormatPr defaultRowHeight="14.4" x14ac:dyDescent="0.3"/>
  <cols>
    <col min="1" max="1" width="12.5546875" bestFit="1" customWidth="1"/>
    <col min="2" max="2" width="15.88671875" bestFit="1" customWidth="1"/>
    <col min="3" max="3" width="9.21875" bestFit="1" customWidth="1"/>
  </cols>
  <sheetData>
    <row r="3" spans="1:2" x14ac:dyDescent="0.3">
      <c r="A3" s="28" t="s">
        <v>22</v>
      </c>
      <c r="B3" t="s">
        <v>24</v>
      </c>
    </row>
    <row r="4" spans="1:2" x14ac:dyDescent="0.3">
      <c r="A4" s="29" t="s">
        <v>25</v>
      </c>
      <c r="B4">
        <v>654</v>
      </c>
    </row>
    <row r="5" spans="1:2" x14ac:dyDescent="0.3">
      <c r="A5" s="29" t="s">
        <v>26</v>
      </c>
      <c r="B5">
        <v>670</v>
      </c>
    </row>
    <row r="6" spans="1:2" x14ac:dyDescent="0.3">
      <c r="A6" s="29" t="s">
        <v>27</v>
      </c>
      <c r="B6">
        <v>1229</v>
      </c>
    </row>
    <row r="7" spans="1:2" x14ac:dyDescent="0.3">
      <c r="A7" s="29" t="s">
        <v>28</v>
      </c>
      <c r="B7">
        <v>1454</v>
      </c>
    </row>
    <row r="8" spans="1:2" x14ac:dyDescent="0.3">
      <c r="A8" s="29" t="s">
        <v>29</v>
      </c>
      <c r="B8">
        <v>1518</v>
      </c>
    </row>
    <row r="9" spans="1:2" x14ac:dyDescent="0.3">
      <c r="A9" s="29" t="s">
        <v>30</v>
      </c>
      <c r="B9">
        <v>1518</v>
      </c>
    </row>
    <row r="10" spans="1:2" x14ac:dyDescent="0.3">
      <c r="A10" s="29" t="s">
        <v>31</v>
      </c>
      <c r="B10">
        <v>1362</v>
      </c>
    </row>
    <row r="11" spans="1:2" x14ac:dyDescent="0.3">
      <c r="A11" s="29" t="s">
        <v>32</v>
      </c>
      <c r="B11">
        <v>891</v>
      </c>
    </row>
    <row r="12" spans="1:2" x14ac:dyDescent="0.3">
      <c r="A12" s="29" t="s">
        <v>33</v>
      </c>
      <c r="B12">
        <v>768</v>
      </c>
    </row>
    <row r="13" spans="1:2" x14ac:dyDescent="0.3">
      <c r="A13" s="29" t="s">
        <v>34</v>
      </c>
      <c r="B13">
        <v>1280</v>
      </c>
    </row>
    <row r="14" spans="1:2" x14ac:dyDescent="0.3">
      <c r="A14" s="29" t="s">
        <v>35</v>
      </c>
      <c r="B14">
        <v>1220</v>
      </c>
    </row>
    <row r="15" spans="1:2" x14ac:dyDescent="0.3">
      <c r="A15" s="29" t="s">
        <v>36</v>
      </c>
      <c r="B15">
        <v>1137</v>
      </c>
    </row>
    <row r="16" spans="1:2" x14ac:dyDescent="0.3">
      <c r="A16" s="29" t="s">
        <v>37</v>
      </c>
      <c r="B16">
        <v>1368</v>
      </c>
    </row>
    <row r="17" spans="1:2" x14ac:dyDescent="0.3">
      <c r="A17" s="29" t="s">
        <v>38</v>
      </c>
      <c r="B17">
        <v>1367</v>
      </c>
    </row>
    <row r="18" spans="1:2" x14ac:dyDescent="0.3">
      <c r="A18" s="29" t="s">
        <v>39</v>
      </c>
      <c r="B18">
        <v>1026</v>
      </c>
    </row>
    <row r="19" spans="1:2" x14ac:dyDescent="0.3">
      <c r="A19" s="29" t="s">
        <v>40</v>
      </c>
      <c r="B19">
        <v>953</v>
      </c>
    </row>
    <row r="20" spans="1:2" x14ac:dyDescent="0.3">
      <c r="A20" s="29" t="s">
        <v>41</v>
      </c>
      <c r="B20">
        <v>883</v>
      </c>
    </row>
    <row r="21" spans="1:2" x14ac:dyDescent="0.3">
      <c r="A21" s="29" t="s">
        <v>42</v>
      </c>
      <c r="B21">
        <v>674</v>
      </c>
    </row>
    <row r="22" spans="1:2" x14ac:dyDescent="0.3">
      <c r="A22" s="29" t="s">
        <v>43</v>
      </c>
      <c r="B22">
        <v>1572</v>
      </c>
    </row>
    <row r="23" spans="1:2" x14ac:dyDescent="0.3">
      <c r="A23" s="29" t="s">
        <v>44</v>
      </c>
      <c r="B23">
        <v>1844</v>
      </c>
    </row>
    <row r="24" spans="1:2" x14ac:dyDescent="0.3">
      <c r="A24" s="29" t="s">
        <v>45</v>
      </c>
      <c r="B24">
        <v>1468</v>
      </c>
    </row>
    <row r="25" spans="1:2" x14ac:dyDescent="0.3">
      <c r="A25" s="29" t="s">
        <v>46</v>
      </c>
      <c r="B25">
        <v>888</v>
      </c>
    </row>
    <row r="26" spans="1:2" x14ac:dyDescent="0.3">
      <c r="A26" s="29" t="s">
        <v>47</v>
      </c>
      <c r="B26">
        <v>836</v>
      </c>
    </row>
    <row r="27" spans="1:2" x14ac:dyDescent="0.3">
      <c r="A27" s="29" t="s">
        <v>48</v>
      </c>
      <c r="B27">
        <v>1330</v>
      </c>
    </row>
    <row r="28" spans="1:2" x14ac:dyDescent="0.3">
      <c r="A28" s="29" t="s">
        <v>49</v>
      </c>
      <c r="B28">
        <v>1799</v>
      </c>
    </row>
    <row r="29" spans="1:2" x14ac:dyDescent="0.3">
      <c r="A29" s="29" t="s">
        <v>50</v>
      </c>
      <c r="B29">
        <v>472</v>
      </c>
    </row>
    <row r="30" spans="1:2" x14ac:dyDescent="0.3">
      <c r="A30" s="29" t="s">
        <v>51</v>
      </c>
      <c r="B30">
        <v>416</v>
      </c>
    </row>
    <row r="31" spans="1:2" x14ac:dyDescent="0.3">
      <c r="A31" s="29" t="s">
        <v>52</v>
      </c>
      <c r="B31">
        <v>1129</v>
      </c>
    </row>
    <row r="32" spans="1:2" x14ac:dyDescent="0.3">
      <c r="A32" s="29" t="s">
        <v>53</v>
      </c>
      <c r="B32">
        <v>975</v>
      </c>
    </row>
    <row r="33" spans="1:2" x14ac:dyDescent="0.3">
      <c r="A33" s="29" t="s">
        <v>54</v>
      </c>
      <c r="B33">
        <v>956</v>
      </c>
    </row>
    <row r="34" spans="1:2" x14ac:dyDescent="0.3">
      <c r="A34" s="29" t="s">
        <v>55</v>
      </c>
      <c r="B34">
        <v>1459</v>
      </c>
    </row>
    <row r="35" spans="1:2" x14ac:dyDescent="0.3">
      <c r="A35" s="29" t="s">
        <v>56</v>
      </c>
      <c r="B35">
        <v>1313</v>
      </c>
    </row>
    <row r="36" spans="1:2" x14ac:dyDescent="0.3">
      <c r="A36" s="29" t="s">
        <v>57</v>
      </c>
      <c r="B36">
        <v>1454</v>
      </c>
    </row>
    <row r="37" spans="1:2" x14ac:dyDescent="0.3">
      <c r="A37" s="29" t="s">
        <v>58</v>
      </c>
      <c r="B37">
        <v>1489</v>
      </c>
    </row>
    <row r="38" spans="1:2" x14ac:dyDescent="0.3">
      <c r="A38" s="29" t="s">
        <v>59</v>
      </c>
      <c r="B38">
        <v>1620</v>
      </c>
    </row>
    <row r="39" spans="1:2" x14ac:dyDescent="0.3">
      <c r="A39" s="29" t="s">
        <v>60</v>
      </c>
      <c r="B39">
        <v>905</v>
      </c>
    </row>
    <row r="40" spans="1:2" x14ac:dyDescent="0.3">
      <c r="A40" s="29" t="s">
        <v>61</v>
      </c>
      <c r="B40">
        <v>1269</v>
      </c>
    </row>
    <row r="41" spans="1:2" x14ac:dyDescent="0.3">
      <c r="A41" s="29" t="s">
        <v>62</v>
      </c>
      <c r="B41">
        <v>1592</v>
      </c>
    </row>
    <row r="42" spans="1:2" x14ac:dyDescent="0.3">
      <c r="A42" s="29" t="s">
        <v>63</v>
      </c>
      <c r="B42">
        <v>1466</v>
      </c>
    </row>
    <row r="43" spans="1:2" x14ac:dyDescent="0.3">
      <c r="A43" s="29" t="s">
        <v>64</v>
      </c>
      <c r="B43">
        <v>1552</v>
      </c>
    </row>
    <row r="44" spans="1:2" x14ac:dyDescent="0.3">
      <c r="A44" s="29" t="s">
        <v>65</v>
      </c>
      <c r="B44">
        <v>1491</v>
      </c>
    </row>
    <row r="45" spans="1:2" x14ac:dyDescent="0.3">
      <c r="A45" s="29" t="s">
        <v>66</v>
      </c>
      <c r="B45">
        <v>1597</v>
      </c>
    </row>
    <row r="46" spans="1:2" x14ac:dyDescent="0.3">
      <c r="A46" s="29" t="s">
        <v>67</v>
      </c>
      <c r="B46">
        <v>1184</v>
      </c>
    </row>
    <row r="47" spans="1:2" x14ac:dyDescent="0.3">
      <c r="A47" s="29" t="s">
        <v>68</v>
      </c>
      <c r="B47">
        <v>1192</v>
      </c>
    </row>
    <row r="48" spans="1:2" x14ac:dyDescent="0.3">
      <c r="A48" s="29" t="s">
        <v>69</v>
      </c>
      <c r="B48">
        <v>143</v>
      </c>
    </row>
    <row r="49" spans="1:2" x14ac:dyDescent="0.3">
      <c r="A49" s="29" t="s">
        <v>23</v>
      </c>
      <c r="B49">
        <v>53383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8613-C36E-4451-848F-E4FD713741F1}">
  <dimension ref="A1"/>
  <sheetViews>
    <sheetView workbookViewId="0">
      <selection activeCell="A3" sqref="A3"/>
    </sheetView>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F391-3C59-470F-AF1E-27728DD6A65D}">
  <dimension ref="A3:I63"/>
  <sheetViews>
    <sheetView topLeftCell="B6" workbookViewId="0">
      <selection activeCell="F29" sqref="F29"/>
    </sheetView>
  </sheetViews>
  <sheetFormatPr defaultRowHeight="14.4" x14ac:dyDescent="0.3"/>
  <cols>
    <col min="1" max="1" width="12.5546875" bestFit="1" customWidth="1"/>
    <col min="2" max="2" width="14.5546875" bestFit="1" customWidth="1"/>
    <col min="3" max="3" width="15.109375" bestFit="1" customWidth="1"/>
    <col min="4" max="4" width="15.88671875" bestFit="1" customWidth="1"/>
    <col min="5" max="5" width="12.5546875" bestFit="1" customWidth="1"/>
    <col min="7" max="7" width="12.5546875" bestFit="1" customWidth="1"/>
  </cols>
  <sheetData>
    <row r="3" spans="1:9" x14ac:dyDescent="0.3">
      <c r="A3" s="28" t="s">
        <v>22</v>
      </c>
      <c r="B3" t="s">
        <v>90</v>
      </c>
      <c r="C3" t="s">
        <v>91</v>
      </c>
      <c r="D3" t="s">
        <v>24</v>
      </c>
    </row>
    <row r="4" spans="1:9" x14ac:dyDescent="0.3">
      <c r="A4" s="29" t="s">
        <v>73</v>
      </c>
      <c r="B4" s="41">
        <v>0.54176829268292603</v>
      </c>
      <c r="C4">
        <v>0.21769817073170741</v>
      </c>
      <c r="D4">
        <v>6644</v>
      </c>
    </row>
    <row r="5" spans="1:9" x14ac:dyDescent="0.3">
      <c r="A5" s="29" t="s">
        <v>80</v>
      </c>
      <c r="B5" s="41">
        <v>0.54503355704697998</v>
      </c>
      <c r="C5">
        <v>0.18191006711409402</v>
      </c>
      <c r="D5">
        <v>7916</v>
      </c>
      <c r="G5" s="31"/>
      <c r="H5" s="32"/>
      <c r="I5" s="33"/>
    </row>
    <row r="6" spans="1:9" x14ac:dyDescent="0.3">
      <c r="A6" s="29" t="s">
        <v>81</v>
      </c>
      <c r="B6" s="41">
        <v>0.67086614173228387</v>
      </c>
      <c r="C6">
        <v>0.16559842519685042</v>
      </c>
      <c r="D6">
        <v>7926</v>
      </c>
      <c r="G6" s="34"/>
      <c r="H6" s="35"/>
      <c r="I6" s="36"/>
    </row>
    <row r="7" spans="1:9" x14ac:dyDescent="0.3">
      <c r="A7" s="29" t="s">
        <v>82</v>
      </c>
      <c r="B7" s="41">
        <v>0.64190839694656499</v>
      </c>
      <c r="C7">
        <v>0.23801603053435114</v>
      </c>
      <c r="D7">
        <v>7705</v>
      </c>
      <c r="G7" s="34"/>
      <c r="H7" s="35"/>
      <c r="I7" s="36"/>
    </row>
    <row r="8" spans="1:9" x14ac:dyDescent="0.3">
      <c r="A8" s="29" t="s">
        <v>83</v>
      </c>
      <c r="B8" s="41">
        <v>0.49407999999999985</v>
      </c>
      <c r="C8">
        <v>0.21111360000000004</v>
      </c>
      <c r="D8">
        <v>8126</v>
      </c>
      <c r="G8" s="34"/>
      <c r="H8" s="35"/>
      <c r="I8" s="36"/>
    </row>
    <row r="9" spans="1:9" x14ac:dyDescent="0.3">
      <c r="A9" s="29" t="s">
        <v>84</v>
      </c>
      <c r="B9" s="41">
        <v>0.56268115942028984</v>
      </c>
      <c r="C9">
        <v>0.16980724637681169</v>
      </c>
      <c r="D9">
        <v>8543</v>
      </c>
      <c r="G9" s="34"/>
      <c r="H9" s="35"/>
      <c r="I9" s="36"/>
    </row>
    <row r="10" spans="1:9" x14ac:dyDescent="0.3">
      <c r="A10" s="29" t="s">
        <v>85</v>
      </c>
      <c r="B10" s="41">
        <v>0.6248192771084341</v>
      </c>
      <c r="C10">
        <v>0.18126807228915676</v>
      </c>
      <c r="D10">
        <v>6523</v>
      </c>
      <c r="G10" s="34"/>
      <c r="H10" s="35"/>
      <c r="I10" s="36"/>
    </row>
    <row r="11" spans="1:9" x14ac:dyDescent="0.3">
      <c r="A11" s="29" t="s">
        <v>23</v>
      </c>
      <c r="B11" s="41">
        <v>0.58248000000000089</v>
      </c>
      <c r="C11">
        <v>0.19493129999999939</v>
      </c>
      <c r="D11">
        <v>53383</v>
      </c>
      <c r="G11" s="34"/>
      <c r="H11" s="35"/>
      <c r="I11" s="36"/>
    </row>
    <row r="12" spans="1:9" x14ac:dyDescent="0.3">
      <c r="G12" s="34"/>
      <c r="H12" s="35"/>
      <c r="I12" s="36"/>
    </row>
    <row r="13" spans="1:9" x14ac:dyDescent="0.3">
      <c r="G13" s="34"/>
      <c r="H13" s="35"/>
      <c r="I13" s="36"/>
    </row>
    <row r="14" spans="1:9" x14ac:dyDescent="0.3">
      <c r="G14" s="34"/>
      <c r="H14" s="35"/>
      <c r="I14" s="36"/>
    </row>
    <row r="15" spans="1:9" x14ac:dyDescent="0.3">
      <c r="A15" s="28" t="s">
        <v>22</v>
      </c>
      <c r="B15" t="s">
        <v>90</v>
      </c>
      <c r="C15" t="s">
        <v>94</v>
      </c>
      <c r="G15" s="34"/>
      <c r="H15" s="35"/>
      <c r="I15" s="36"/>
    </row>
    <row r="16" spans="1:9" x14ac:dyDescent="0.3">
      <c r="A16" s="29" t="s">
        <v>92</v>
      </c>
      <c r="B16" s="41"/>
      <c r="G16" s="34"/>
      <c r="H16" s="35"/>
      <c r="I16" s="36"/>
    </row>
    <row r="17" spans="1:9" x14ac:dyDescent="0.3">
      <c r="A17" s="40" t="s">
        <v>25</v>
      </c>
      <c r="B17" s="41">
        <v>0.80583333333333351</v>
      </c>
      <c r="C17">
        <v>0.34416666666666673</v>
      </c>
      <c r="G17" s="34"/>
      <c r="H17" s="35"/>
      <c r="I17" s="36"/>
    </row>
    <row r="18" spans="1:9" x14ac:dyDescent="0.3">
      <c r="A18" s="40" t="s">
        <v>26</v>
      </c>
      <c r="B18" s="41">
        <v>0.69608695652173924</v>
      </c>
      <c r="C18">
        <v>0.36347826086956525</v>
      </c>
      <c r="G18" s="34"/>
      <c r="H18" s="35"/>
      <c r="I18" s="36"/>
    </row>
    <row r="19" spans="1:9" x14ac:dyDescent="0.3">
      <c r="A19" s="40" t="s">
        <v>27</v>
      </c>
      <c r="B19" s="41">
        <v>0.43727272727272726</v>
      </c>
      <c r="C19">
        <v>0.19636363636363632</v>
      </c>
      <c r="G19" s="34"/>
      <c r="H19" s="35"/>
      <c r="I19" s="36"/>
    </row>
    <row r="20" spans="1:9" x14ac:dyDescent="0.3">
      <c r="A20" s="40" t="s">
        <v>28</v>
      </c>
      <c r="B20" s="41">
        <v>0.59043478260869575</v>
      </c>
      <c r="C20">
        <v>0.19999999999999998</v>
      </c>
      <c r="G20" s="34"/>
      <c r="H20" s="35"/>
      <c r="I20" s="36"/>
    </row>
    <row r="21" spans="1:9" x14ac:dyDescent="0.3">
      <c r="A21" s="40" t="s">
        <v>29</v>
      </c>
      <c r="B21" s="41">
        <v>0.43695652173913052</v>
      </c>
      <c r="C21">
        <v>0.22695652173913042</v>
      </c>
      <c r="G21" s="34"/>
      <c r="H21" s="35"/>
      <c r="I21" s="36"/>
    </row>
    <row r="22" spans="1:9" x14ac:dyDescent="0.3">
      <c r="A22" s="40" t="s">
        <v>30</v>
      </c>
      <c r="B22" s="41">
        <v>0.51826086956521744</v>
      </c>
      <c r="C22">
        <v>0.20434782608695654</v>
      </c>
      <c r="G22" s="37"/>
      <c r="H22" s="38"/>
      <c r="I22" s="39"/>
    </row>
    <row r="23" spans="1:9" x14ac:dyDescent="0.3">
      <c r="A23" s="40" t="s">
        <v>31</v>
      </c>
      <c r="B23" s="41">
        <v>0.4986956521739131</v>
      </c>
      <c r="C23">
        <v>0.19652173913043483</v>
      </c>
    </row>
    <row r="24" spans="1:9" x14ac:dyDescent="0.3">
      <c r="A24" s="40" t="s">
        <v>32</v>
      </c>
      <c r="B24" s="41">
        <v>0.53583333333333327</v>
      </c>
      <c r="C24">
        <v>0.16500000000000006</v>
      </c>
      <c r="E24" s="28" t="s">
        <v>22</v>
      </c>
    </row>
    <row r="25" spans="1:9" x14ac:dyDescent="0.3">
      <c r="A25" s="40" t="s">
        <v>33</v>
      </c>
      <c r="B25" s="41">
        <v>0.43416666666666681</v>
      </c>
      <c r="C25">
        <v>0.13833333333333339</v>
      </c>
      <c r="E25" s="29" t="s">
        <v>86</v>
      </c>
    </row>
    <row r="26" spans="1:9" x14ac:dyDescent="0.3">
      <c r="A26" s="40" t="s">
        <v>34</v>
      </c>
      <c r="B26" s="41">
        <v>0.48291666666666672</v>
      </c>
      <c r="C26">
        <v>0.1508333333333334</v>
      </c>
      <c r="E26" s="29" t="s">
        <v>87</v>
      </c>
    </row>
    <row r="27" spans="1:9" x14ac:dyDescent="0.3">
      <c r="A27" s="40" t="s">
        <v>35</v>
      </c>
      <c r="B27" s="41">
        <v>0.68636363636363618</v>
      </c>
      <c r="C27">
        <v>0.16909090909090915</v>
      </c>
      <c r="E27" s="29" t="s">
        <v>88</v>
      </c>
    </row>
    <row r="28" spans="1:9" x14ac:dyDescent="0.3">
      <c r="A28" s="40" t="s">
        <v>36</v>
      </c>
      <c r="B28" s="41">
        <v>0.59954545454545471</v>
      </c>
      <c r="C28">
        <v>0.17272727272727278</v>
      </c>
      <c r="E28" s="29" t="s">
        <v>89</v>
      </c>
    </row>
    <row r="29" spans="1:9" x14ac:dyDescent="0.3">
      <c r="A29" s="40" t="s">
        <v>37</v>
      </c>
      <c r="B29" s="41">
        <v>0.47041666666666687</v>
      </c>
      <c r="C29">
        <v>0.16500000000000006</v>
      </c>
      <c r="E29" s="29" t="s">
        <v>23</v>
      </c>
    </row>
    <row r="30" spans="1:9" x14ac:dyDescent="0.3">
      <c r="A30" s="40" t="s">
        <v>38</v>
      </c>
      <c r="B30" s="41">
        <v>0.53782608695652179</v>
      </c>
      <c r="C30">
        <v>0.16086956521739135</v>
      </c>
    </row>
    <row r="31" spans="1:9" x14ac:dyDescent="0.3">
      <c r="A31" s="40" t="s">
        <v>39</v>
      </c>
      <c r="B31" s="41">
        <v>0.49874999999999997</v>
      </c>
      <c r="C31">
        <v>0.23333333333333331</v>
      </c>
    </row>
    <row r="32" spans="1:9" x14ac:dyDescent="0.3">
      <c r="A32" s="40" t="s">
        <v>40</v>
      </c>
      <c r="B32" s="41">
        <v>0.48375000000000012</v>
      </c>
      <c r="C32">
        <v>0.23166666666666669</v>
      </c>
    </row>
    <row r="33" spans="1:3" x14ac:dyDescent="0.3">
      <c r="A33" s="40" t="s">
        <v>41</v>
      </c>
      <c r="B33" s="41">
        <v>0.53749999999999998</v>
      </c>
      <c r="C33">
        <v>0.1758333333333334</v>
      </c>
    </row>
    <row r="34" spans="1:3" x14ac:dyDescent="0.3">
      <c r="A34" s="40" t="s">
        <v>42</v>
      </c>
      <c r="B34" s="41">
        <v>0.86166666666666669</v>
      </c>
      <c r="C34">
        <v>0.2166666666666667</v>
      </c>
    </row>
    <row r="35" spans="1:3" x14ac:dyDescent="0.3">
      <c r="A35" s="40" t="s">
        <v>43</v>
      </c>
      <c r="B35" s="41">
        <v>0.74173913043478235</v>
      </c>
      <c r="C35">
        <v>0.29217391304347828</v>
      </c>
    </row>
    <row r="36" spans="1:3" x14ac:dyDescent="0.3">
      <c r="A36" s="40" t="s">
        <v>44</v>
      </c>
      <c r="B36" s="41">
        <v>0.53833333333333344</v>
      </c>
      <c r="C36">
        <v>0.26166666666666666</v>
      </c>
    </row>
    <row r="37" spans="1:3" x14ac:dyDescent="0.3">
      <c r="A37" s="40" t="s">
        <v>45</v>
      </c>
      <c r="B37" s="41">
        <v>0.45708333333333345</v>
      </c>
      <c r="C37">
        <v>0.17750000000000002</v>
      </c>
    </row>
    <row r="38" spans="1:3" x14ac:dyDescent="0.3">
      <c r="A38" s="40" t="s">
        <v>46</v>
      </c>
      <c r="B38" s="41">
        <v>0.39999999999999997</v>
      </c>
      <c r="C38">
        <v>5.9130434782608703E-2</v>
      </c>
    </row>
    <row r="39" spans="1:3" x14ac:dyDescent="0.3">
      <c r="A39" s="40" t="s">
        <v>47</v>
      </c>
      <c r="B39" s="41">
        <v>0.43652173913043485</v>
      </c>
      <c r="C39">
        <v>9.6521739130434797E-2</v>
      </c>
    </row>
    <row r="40" spans="1:3" x14ac:dyDescent="0.3">
      <c r="A40" s="40" t="s">
        <v>48</v>
      </c>
      <c r="B40" s="41">
        <v>0.49173913043478273</v>
      </c>
      <c r="C40">
        <v>9.7391304347826113E-2</v>
      </c>
    </row>
    <row r="41" spans="1:3" x14ac:dyDescent="0.3">
      <c r="A41" s="40" t="s">
        <v>49</v>
      </c>
      <c r="B41" s="41">
        <v>0.61695652173913051</v>
      </c>
      <c r="C41">
        <v>0.22347826086956515</v>
      </c>
    </row>
    <row r="42" spans="1:3" x14ac:dyDescent="0.3">
      <c r="A42" s="40" t="s">
        <v>50</v>
      </c>
      <c r="B42" s="41">
        <v>0.86249999999999982</v>
      </c>
      <c r="C42">
        <v>0.21750000000000005</v>
      </c>
    </row>
    <row r="43" spans="1:3" x14ac:dyDescent="0.3">
      <c r="A43" s="40" t="s">
        <v>51</v>
      </c>
      <c r="B43" s="41">
        <v>0.6875</v>
      </c>
      <c r="C43">
        <v>0.19499999999999998</v>
      </c>
    </row>
    <row r="44" spans="1:3" x14ac:dyDescent="0.3">
      <c r="A44" s="40" t="s">
        <v>52</v>
      </c>
      <c r="B44" s="41">
        <v>0.79304347826086963</v>
      </c>
      <c r="C44">
        <v>0.20347826086956528</v>
      </c>
    </row>
    <row r="45" spans="1:3" x14ac:dyDescent="0.3">
      <c r="A45" s="40" t="s">
        <v>53</v>
      </c>
      <c r="B45" s="41">
        <v>0.65173913043478249</v>
      </c>
      <c r="C45">
        <v>0.1965217391304348</v>
      </c>
    </row>
    <row r="46" spans="1:3" x14ac:dyDescent="0.3">
      <c r="A46" s="40" t="s">
        <v>54</v>
      </c>
      <c r="B46" s="41">
        <v>0.72217391304347822</v>
      </c>
      <c r="C46">
        <v>0.21652173913043476</v>
      </c>
    </row>
    <row r="47" spans="1:3" x14ac:dyDescent="0.3">
      <c r="A47" s="40" t="s">
        <v>55</v>
      </c>
      <c r="B47" s="41">
        <v>0.60375000000000001</v>
      </c>
      <c r="C47">
        <v>0.18083333333333337</v>
      </c>
    </row>
    <row r="48" spans="1:3" x14ac:dyDescent="0.3">
      <c r="A48" s="29" t="s">
        <v>93</v>
      </c>
      <c r="B48" s="41"/>
    </row>
    <row r="49" spans="1:3" x14ac:dyDescent="0.3">
      <c r="A49" s="40" t="s">
        <v>56</v>
      </c>
      <c r="B49" s="41">
        <v>0.8295652173913044</v>
      </c>
      <c r="C49">
        <v>0.19217391304347831</v>
      </c>
    </row>
    <row r="50" spans="1:3" x14ac:dyDescent="0.3">
      <c r="A50" s="40" t="s">
        <v>57</v>
      </c>
      <c r="B50" s="41">
        <v>0.77541666666666664</v>
      </c>
      <c r="C50">
        <v>0.26</v>
      </c>
    </row>
    <row r="51" spans="1:3" x14ac:dyDescent="0.3">
      <c r="A51" s="40" t="s">
        <v>58</v>
      </c>
      <c r="B51" s="41">
        <v>0.43782608695652192</v>
      </c>
      <c r="C51">
        <v>0.18695652173913049</v>
      </c>
    </row>
    <row r="52" spans="1:3" x14ac:dyDescent="0.3">
      <c r="A52" s="40" t="s">
        <v>59</v>
      </c>
      <c r="B52" s="41">
        <v>0.5852173913043478</v>
      </c>
      <c r="C52">
        <v>0.21130434782608701</v>
      </c>
    </row>
    <row r="53" spans="1:3" x14ac:dyDescent="0.3">
      <c r="A53" s="40" t="s">
        <v>60</v>
      </c>
      <c r="B53" s="41">
        <v>0.9291666666666667</v>
      </c>
      <c r="C53">
        <v>0.23333333333333336</v>
      </c>
    </row>
    <row r="54" spans="1:3" x14ac:dyDescent="0.3">
      <c r="A54" s="40" t="s">
        <v>61</v>
      </c>
      <c r="B54" s="41">
        <v>0.56833333333333347</v>
      </c>
      <c r="C54">
        <v>0.28583333333333333</v>
      </c>
    </row>
    <row r="55" spans="1:3" x14ac:dyDescent="0.3">
      <c r="A55" s="40" t="s">
        <v>62</v>
      </c>
      <c r="B55" s="41">
        <v>0.73833333333333317</v>
      </c>
      <c r="C55">
        <v>0.27166666666666667</v>
      </c>
    </row>
    <row r="56" spans="1:3" x14ac:dyDescent="0.3">
      <c r="A56" s="40" t="s">
        <v>63</v>
      </c>
      <c r="B56" s="41">
        <v>0.53791666666666671</v>
      </c>
      <c r="C56">
        <v>0.22083333333333341</v>
      </c>
    </row>
    <row r="57" spans="1:3" x14ac:dyDescent="0.3">
      <c r="A57" s="40" t="s">
        <v>64</v>
      </c>
      <c r="B57" s="41">
        <v>0.49478260869565222</v>
      </c>
      <c r="C57">
        <v>0.1347826086956522</v>
      </c>
    </row>
    <row r="58" spans="1:3" x14ac:dyDescent="0.3">
      <c r="A58" s="40" t="s">
        <v>65</v>
      </c>
      <c r="B58" s="41">
        <v>0.43739130434782603</v>
      </c>
      <c r="C58">
        <v>0.14434782608695657</v>
      </c>
    </row>
    <row r="59" spans="1:3" x14ac:dyDescent="0.3">
      <c r="A59" s="40" t="s">
        <v>66</v>
      </c>
      <c r="B59" s="41">
        <v>0.50636363636363635</v>
      </c>
      <c r="C59">
        <v>0.18909090909090909</v>
      </c>
    </row>
    <row r="60" spans="1:3" x14ac:dyDescent="0.3">
      <c r="A60" s="40" t="s">
        <v>67</v>
      </c>
      <c r="B60" s="41">
        <v>0.54416666666666669</v>
      </c>
      <c r="C60">
        <v>0.22249999999999995</v>
      </c>
    </row>
    <row r="61" spans="1:3" x14ac:dyDescent="0.3">
      <c r="A61" s="40" t="s">
        <v>68</v>
      </c>
      <c r="B61" s="41">
        <v>0.45739130434782593</v>
      </c>
      <c r="C61">
        <v>0.31652173913043485</v>
      </c>
    </row>
    <row r="62" spans="1:3" x14ac:dyDescent="0.3">
      <c r="A62" s="40" t="s">
        <v>69</v>
      </c>
      <c r="B62" s="41">
        <v>0.44750000000000001</v>
      </c>
      <c r="C62">
        <v>0.34749999999999998</v>
      </c>
    </row>
    <row r="63" spans="1:3" x14ac:dyDescent="0.3">
      <c r="A63" s="29" t="s">
        <v>23</v>
      </c>
      <c r="B63" s="41">
        <v>0.58248000000000033</v>
      </c>
      <c r="C63">
        <v>0.20589999999999961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7F025-59B7-462A-970E-990CDBF0609B}">
  <dimension ref="A3:C51"/>
  <sheetViews>
    <sheetView zoomScale="70" zoomScaleNormal="70" workbookViewId="0">
      <selection activeCell="O29" sqref="O29"/>
    </sheetView>
  </sheetViews>
  <sheetFormatPr defaultRowHeight="14.4" x14ac:dyDescent="0.3"/>
  <cols>
    <col min="1" max="1" width="16.6640625" bestFit="1" customWidth="1"/>
    <col min="2" max="2" width="9.21875" bestFit="1" customWidth="1"/>
    <col min="3" max="4" width="13.33203125" bestFit="1" customWidth="1"/>
  </cols>
  <sheetData>
    <row r="3" spans="1:2" x14ac:dyDescent="0.3">
      <c r="A3" s="28" t="s">
        <v>22</v>
      </c>
      <c r="B3" t="s">
        <v>96</v>
      </c>
    </row>
    <row r="4" spans="1:2" x14ac:dyDescent="0.3">
      <c r="A4" s="29" t="s">
        <v>72</v>
      </c>
      <c r="B4" s="42">
        <v>57304</v>
      </c>
    </row>
    <row r="5" spans="1:2" x14ac:dyDescent="0.3">
      <c r="A5" s="40" t="s">
        <v>73</v>
      </c>
      <c r="B5" s="42">
        <v>8121</v>
      </c>
    </row>
    <row r="6" spans="1:2" x14ac:dyDescent="0.3">
      <c r="A6" s="40" t="s">
        <v>80</v>
      </c>
      <c r="B6" s="42">
        <v>7450</v>
      </c>
    </row>
    <row r="7" spans="1:2" x14ac:dyDescent="0.3">
      <c r="A7" s="40" t="s">
        <v>81</v>
      </c>
      <c r="B7" s="42">
        <v>8383</v>
      </c>
    </row>
    <row r="8" spans="1:2" x14ac:dyDescent="0.3">
      <c r="A8" s="40" t="s">
        <v>82</v>
      </c>
      <c r="B8" s="42">
        <v>8049</v>
      </c>
    </row>
    <row r="9" spans="1:2" x14ac:dyDescent="0.3">
      <c r="A9" s="40" t="s">
        <v>83</v>
      </c>
      <c r="B9" s="42">
        <v>8458</v>
      </c>
    </row>
    <row r="10" spans="1:2" x14ac:dyDescent="0.3">
      <c r="A10" s="40" t="s">
        <v>84</v>
      </c>
      <c r="B10" s="42">
        <v>9095</v>
      </c>
    </row>
    <row r="11" spans="1:2" x14ac:dyDescent="0.3">
      <c r="A11" s="40" t="s">
        <v>85</v>
      </c>
      <c r="B11" s="42">
        <v>7748</v>
      </c>
    </row>
    <row r="12" spans="1:2" x14ac:dyDescent="0.3">
      <c r="A12" s="29" t="s">
        <v>95</v>
      </c>
      <c r="B12" s="42">
        <v>1000</v>
      </c>
    </row>
    <row r="13" spans="1:2" x14ac:dyDescent="0.3">
      <c r="A13" s="40" t="s">
        <v>80</v>
      </c>
      <c r="B13" s="42">
        <v>1000</v>
      </c>
    </row>
    <row r="14" spans="1:2" x14ac:dyDescent="0.3">
      <c r="A14" s="29" t="s">
        <v>23</v>
      </c>
      <c r="B14" s="42">
        <v>58304</v>
      </c>
    </row>
    <row r="19" spans="2:3" x14ac:dyDescent="0.3">
      <c r="B19" s="28" t="s">
        <v>22</v>
      </c>
      <c r="C19" t="s">
        <v>97</v>
      </c>
    </row>
    <row r="20" spans="2:3" x14ac:dyDescent="0.3">
      <c r="B20" s="29" t="s">
        <v>92</v>
      </c>
      <c r="C20" s="43"/>
    </row>
    <row r="21" spans="2:3" x14ac:dyDescent="0.3">
      <c r="B21" s="40" t="s">
        <v>25</v>
      </c>
      <c r="C21" s="43"/>
    </row>
    <row r="22" spans="2:3" x14ac:dyDescent="0.3">
      <c r="B22" s="44">
        <v>40544</v>
      </c>
      <c r="C22" s="43">
        <v>41.041666666666664</v>
      </c>
    </row>
    <row r="23" spans="2:3" x14ac:dyDescent="0.3">
      <c r="B23" s="45" t="s">
        <v>75</v>
      </c>
      <c r="C23" s="43">
        <v>60.8</v>
      </c>
    </row>
    <row r="24" spans="2:3" x14ac:dyDescent="0.3">
      <c r="B24" s="45" t="s">
        <v>76</v>
      </c>
      <c r="C24" s="43">
        <v>36</v>
      </c>
    </row>
    <row r="25" spans="2:3" x14ac:dyDescent="0.3">
      <c r="B25" s="45" t="s">
        <v>74</v>
      </c>
      <c r="C25" s="43">
        <v>25.416666666666668</v>
      </c>
    </row>
    <row r="26" spans="2:3" x14ac:dyDescent="0.3">
      <c r="B26" s="40" t="s">
        <v>26</v>
      </c>
      <c r="C26" s="43"/>
    </row>
    <row r="27" spans="2:3" x14ac:dyDescent="0.3">
      <c r="B27" s="44">
        <v>40545</v>
      </c>
      <c r="C27" s="43">
        <v>34.826086956521742</v>
      </c>
    </row>
    <row r="28" spans="2:3" x14ac:dyDescent="0.3">
      <c r="B28" s="45" t="s">
        <v>75</v>
      </c>
      <c r="C28" s="43">
        <v>34.75</v>
      </c>
    </row>
    <row r="29" spans="2:3" x14ac:dyDescent="0.3">
      <c r="B29" s="45" t="s">
        <v>76</v>
      </c>
      <c r="C29" s="43">
        <v>43.8</v>
      </c>
    </row>
    <row r="30" spans="2:3" x14ac:dyDescent="0.3">
      <c r="B30" s="45" t="s">
        <v>74</v>
      </c>
      <c r="C30" s="43">
        <v>27.5</v>
      </c>
    </row>
    <row r="31" spans="2:3" x14ac:dyDescent="0.3">
      <c r="B31" s="29" t="s">
        <v>23</v>
      </c>
      <c r="C31" s="43">
        <v>38</v>
      </c>
    </row>
    <row r="34" spans="1:3" x14ac:dyDescent="0.3">
      <c r="A34" s="31"/>
      <c r="B34" s="32"/>
      <c r="C34" s="33"/>
    </row>
    <row r="35" spans="1:3" x14ac:dyDescent="0.3">
      <c r="A35" s="34"/>
      <c r="B35" s="35"/>
      <c r="C35" s="36"/>
    </row>
    <row r="36" spans="1:3" x14ac:dyDescent="0.3">
      <c r="A36" s="34"/>
      <c r="B36" s="35"/>
      <c r="C36" s="36"/>
    </row>
    <row r="37" spans="1:3" x14ac:dyDescent="0.3">
      <c r="A37" s="34"/>
      <c r="B37" s="35"/>
      <c r="C37" s="36"/>
    </row>
    <row r="38" spans="1:3" x14ac:dyDescent="0.3">
      <c r="A38" s="34"/>
      <c r="B38" s="35"/>
      <c r="C38" s="36"/>
    </row>
    <row r="39" spans="1:3" x14ac:dyDescent="0.3">
      <c r="A39" s="34"/>
      <c r="B39" s="35"/>
      <c r="C39" s="36"/>
    </row>
    <row r="40" spans="1:3" x14ac:dyDescent="0.3">
      <c r="A40" s="34"/>
      <c r="B40" s="35"/>
      <c r="C40" s="36"/>
    </row>
    <row r="41" spans="1:3" x14ac:dyDescent="0.3">
      <c r="A41" s="34"/>
      <c r="B41" s="35"/>
      <c r="C41" s="36"/>
    </row>
    <row r="42" spans="1:3" x14ac:dyDescent="0.3">
      <c r="A42" s="34"/>
      <c r="B42" s="35"/>
      <c r="C42" s="36"/>
    </row>
    <row r="43" spans="1:3" x14ac:dyDescent="0.3">
      <c r="A43" s="34"/>
      <c r="B43" s="35"/>
      <c r="C43" s="36"/>
    </row>
    <row r="44" spans="1:3" x14ac:dyDescent="0.3">
      <c r="A44" s="34"/>
      <c r="B44" s="35"/>
      <c r="C44" s="36"/>
    </row>
    <row r="45" spans="1:3" x14ac:dyDescent="0.3">
      <c r="A45" s="34"/>
      <c r="B45" s="35"/>
      <c r="C45" s="36"/>
    </row>
    <row r="46" spans="1:3" x14ac:dyDescent="0.3">
      <c r="A46" s="34"/>
      <c r="B46" s="35"/>
      <c r="C46" s="36"/>
    </row>
    <row r="47" spans="1:3" x14ac:dyDescent="0.3">
      <c r="A47" s="34"/>
      <c r="B47" s="35"/>
      <c r="C47" s="36"/>
    </row>
    <row r="48" spans="1:3" x14ac:dyDescent="0.3">
      <c r="A48" s="34"/>
      <c r="B48" s="35"/>
      <c r="C48" s="36"/>
    </row>
    <row r="49" spans="1:3" x14ac:dyDescent="0.3">
      <c r="A49" s="34"/>
      <c r="B49" s="35"/>
      <c r="C49" s="36"/>
    </row>
    <row r="50" spans="1:3" x14ac:dyDescent="0.3">
      <c r="A50" s="34"/>
      <c r="B50" s="35"/>
      <c r="C50" s="36"/>
    </row>
    <row r="51" spans="1:3" x14ac:dyDescent="0.3">
      <c r="A51" s="37"/>
      <c r="B51" s="38"/>
      <c r="C51" s="39"/>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3BAE-1301-4659-ADB5-2A48EDC61317}">
  <sheetPr codeName="Sheet8"/>
  <dimension ref="A1:N1002"/>
  <sheetViews>
    <sheetView topLeftCell="A7" workbookViewId="0">
      <selection activeCell="M1" activeCellId="1" sqref="H1:H1048576 M1:M1048576"/>
    </sheetView>
  </sheetViews>
  <sheetFormatPr defaultRowHeight="14.4" x14ac:dyDescent="0.3"/>
  <cols>
    <col min="1" max="1" width="9" bestFit="1" customWidth="1"/>
    <col min="2" max="2" width="10.33203125" bestFit="1" customWidth="1"/>
    <col min="3" max="3" width="9" bestFit="1" customWidth="1"/>
    <col min="4" max="4" width="9" customWidth="1"/>
    <col min="5" max="5" width="5" bestFit="1" customWidth="1"/>
    <col min="6" max="6" width="5" customWidth="1"/>
    <col min="7" max="9" width="9.44140625" customWidth="1"/>
    <col min="10" max="10" width="7.109375" bestFit="1" customWidth="1"/>
    <col min="11" max="11" width="12.33203125" bestFit="1" customWidth="1"/>
    <col min="12" max="12" width="8.44140625" bestFit="1" customWidth="1"/>
    <col min="13" max="13" width="11.5546875" bestFit="1" customWidth="1"/>
    <col min="14" max="14" width="5.88671875" bestFit="1" customWidth="1"/>
  </cols>
  <sheetData>
    <row r="1" spans="1:14" x14ac:dyDescent="0.3">
      <c r="A1" t="s">
        <v>0</v>
      </c>
      <c r="B1" t="s">
        <v>1</v>
      </c>
      <c r="C1" t="s">
        <v>2</v>
      </c>
      <c r="D1" t="s">
        <v>4</v>
      </c>
      <c r="E1" t="s">
        <v>5</v>
      </c>
      <c r="F1" t="s">
        <v>6</v>
      </c>
      <c r="G1" t="s">
        <v>7</v>
      </c>
      <c r="H1" t="s">
        <v>78</v>
      </c>
      <c r="I1" t="s">
        <v>21</v>
      </c>
      <c r="J1" t="s">
        <v>11</v>
      </c>
      <c r="K1" t="s">
        <v>12</v>
      </c>
      <c r="L1" t="s">
        <v>13</v>
      </c>
      <c r="M1" t="s">
        <v>14</v>
      </c>
      <c r="N1" t="s">
        <v>15</v>
      </c>
    </row>
    <row r="2" spans="1:14" x14ac:dyDescent="0.3">
      <c r="A2">
        <v>1</v>
      </c>
      <c r="B2" s="21">
        <v>40544</v>
      </c>
      <c r="C2" s="25" t="s">
        <v>16</v>
      </c>
      <c r="D2" s="25" t="str" cm="1">
        <f t="array" ref="D2">_xlfn.SWITCH(Sheet5!A2,1,"JANUARY",2,"FEBRUARY")</f>
        <v>JANUARY</v>
      </c>
      <c r="E2">
        <v>0</v>
      </c>
      <c r="F2" t="str" cm="1">
        <f t="array" ref="F2">_xlfn.SWITCH(Sheet5!C2,FALSE,"NO",TRUE,"YES")</f>
        <v>NO</v>
      </c>
      <c r="G2" t="str" cm="1">
        <f t="array" ref="G2">_xlfn.SWITCH(Sheet5!B2,0,"Sunday",1,"Monday",2,"Tuesday",3,"Wednesday",4,"Thursday",5,"Friday",6,"Saturday")</f>
        <v>Saturday</v>
      </c>
      <c r="H2" t="str" cm="1">
        <f t="array" ref="H2">_xlfn.SWITCH(Sheet5!D2, 1, "Clear Sky", 2, "Mist", 3, "Dark Cloud",4,"Heavy Rainfall")</f>
        <v>Clear Sky</v>
      </c>
      <c r="I2" s="26">
        <f>Sheet5!E2*41</f>
        <v>9.84</v>
      </c>
      <c r="J2" s="27">
        <v>0.81</v>
      </c>
      <c r="K2">
        <v>0</v>
      </c>
      <c r="L2">
        <v>3</v>
      </c>
      <c r="M2">
        <v>13</v>
      </c>
      <c r="N2">
        <v>16</v>
      </c>
    </row>
    <row r="3" spans="1:14" x14ac:dyDescent="0.3">
      <c r="A3">
        <v>2</v>
      </c>
      <c r="B3" s="21">
        <v>40544</v>
      </c>
      <c r="C3" s="25" t="s">
        <v>16</v>
      </c>
      <c r="D3" s="25" t="str" cm="1">
        <f t="array" ref="D3">_xlfn.SWITCH(Sheet5!A3,1,"JANUARY",2,"FEBRUARY")</f>
        <v>JANUARY</v>
      </c>
      <c r="E3">
        <v>1</v>
      </c>
      <c r="F3" t="str" cm="1">
        <f t="array" ref="F3">_xlfn.SWITCH(Sheet5!C3,FALSE,"NO",TRUE,"YES")</f>
        <v>NO</v>
      </c>
      <c r="G3" t="str" cm="1">
        <f t="array" ref="G3">_xlfn.SWITCH(Sheet5!B3,0,"Sunday",1,"Monday",2,"Tuesday",3,"Wednesday",4,"Thursday",5,"Friday",6,"Saturday")</f>
        <v>Saturday</v>
      </c>
      <c r="H3" t="str" cm="1">
        <f t="array" ref="H3">_xlfn.SWITCH(Sheet5!D3, 1, "Clear Sky", 2, "Mist", 3, "Dark Cloud",4,"Heavy Rainfall")</f>
        <v>Clear Sky</v>
      </c>
      <c r="I3" s="26">
        <f>Sheet5!E3*41</f>
        <v>9.02</v>
      </c>
      <c r="J3" s="27">
        <v>0.8</v>
      </c>
      <c r="K3">
        <v>0</v>
      </c>
      <c r="L3">
        <v>8</v>
      </c>
      <c r="M3">
        <v>32</v>
      </c>
      <c r="N3">
        <v>40</v>
      </c>
    </row>
    <row r="4" spans="1:14" x14ac:dyDescent="0.3">
      <c r="A4">
        <v>3</v>
      </c>
      <c r="B4" s="21">
        <v>40544</v>
      </c>
      <c r="C4" s="25" t="s">
        <v>16</v>
      </c>
      <c r="D4" s="25" t="str" cm="1">
        <f t="array" ref="D4">_xlfn.SWITCH(Sheet5!A4,1,"JANUARY",2,"FEBRUARY")</f>
        <v>JANUARY</v>
      </c>
      <c r="E4">
        <v>2</v>
      </c>
      <c r="F4" t="str" cm="1">
        <f t="array" ref="F4">_xlfn.SWITCH(Sheet5!C4,FALSE,"NO",TRUE,"YES")</f>
        <v>NO</v>
      </c>
      <c r="G4" t="str" cm="1">
        <f t="array" ref="G4">_xlfn.SWITCH(Sheet5!B4,0,"Sunday",1,"Monday",2,"Tuesday",3,"Wednesday",4,"Thursday",5,"Friday",6,"Saturday")</f>
        <v>Saturday</v>
      </c>
      <c r="H4" t="str" cm="1">
        <f t="array" ref="H4">_xlfn.SWITCH(Sheet5!D4, 1, "Clear Sky", 2, "Mist", 3, "Dark Cloud",4,"Heavy Rainfall")</f>
        <v>Clear Sky</v>
      </c>
      <c r="I4" s="26">
        <f>Sheet5!E4*41</f>
        <v>9.02</v>
      </c>
      <c r="J4" s="27">
        <v>0.8</v>
      </c>
      <c r="K4">
        <v>0</v>
      </c>
      <c r="L4">
        <v>5</v>
      </c>
      <c r="M4">
        <v>27</v>
      </c>
      <c r="N4">
        <v>32</v>
      </c>
    </row>
    <row r="5" spans="1:14" x14ac:dyDescent="0.3">
      <c r="A5">
        <v>4</v>
      </c>
      <c r="B5" s="21">
        <v>40544</v>
      </c>
      <c r="C5" s="25" t="s">
        <v>16</v>
      </c>
      <c r="D5" s="25" t="str" cm="1">
        <f t="array" ref="D5">_xlfn.SWITCH(Sheet5!A5,1,"JANUARY",2,"FEBRUARY")</f>
        <v>JANUARY</v>
      </c>
      <c r="E5">
        <v>3</v>
      </c>
      <c r="F5" t="str" cm="1">
        <f t="array" ref="F5">_xlfn.SWITCH(Sheet5!C5,FALSE,"NO",TRUE,"YES")</f>
        <v>NO</v>
      </c>
      <c r="G5" t="str" cm="1">
        <f t="array" ref="G5">_xlfn.SWITCH(Sheet5!B5,0,"Sunday",1,"Monday",2,"Tuesday",3,"Wednesday",4,"Thursday",5,"Friday",6,"Saturday")</f>
        <v>Saturday</v>
      </c>
      <c r="H5" t="str" cm="1">
        <f t="array" ref="H5">_xlfn.SWITCH(Sheet5!D5, 1, "Clear Sky", 2, "Mist", 3, "Dark Cloud",4,"Heavy Rainfall")</f>
        <v>Clear Sky</v>
      </c>
      <c r="I5" s="26">
        <f>Sheet5!E5*41</f>
        <v>9.84</v>
      </c>
      <c r="J5" s="27">
        <v>0.75</v>
      </c>
      <c r="K5">
        <v>0</v>
      </c>
      <c r="L5">
        <v>3</v>
      </c>
      <c r="M5">
        <v>10</v>
      </c>
      <c r="N5">
        <v>13</v>
      </c>
    </row>
    <row r="6" spans="1:14" x14ac:dyDescent="0.3">
      <c r="A6">
        <v>5</v>
      </c>
      <c r="B6" s="21">
        <v>40544</v>
      </c>
      <c r="C6" s="25" t="s">
        <v>16</v>
      </c>
      <c r="D6" s="25" t="str" cm="1">
        <f t="array" ref="D6">_xlfn.SWITCH(Sheet5!A6,1,"JANUARY",2,"FEBRUARY")</f>
        <v>JANUARY</v>
      </c>
      <c r="E6">
        <v>4</v>
      </c>
      <c r="F6" t="str" cm="1">
        <f t="array" ref="F6">_xlfn.SWITCH(Sheet5!C6,FALSE,"NO",TRUE,"YES")</f>
        <v>NO</v>
      </c>
      <c r="G6" t="str" cm="1">
        <f t="array" ref="G6">_xlfn.SWITCH(Sheet5!B6,0,"Sunday",1,"Monday",2,"Tuesday",3,"Wednesday",4,"Thursday",5,"Friday",6,"Saturday")</f>
        <v>Saturday</v>
      </c>
      <c r="H6" t="str" cm="1">
        <f t="array" ref="H6">_xlfn.SWITCH(Sheet5!D6, 1, "Clear Sky", 2, "Mist", 3, "Dark Cloud",4,"Heavy Rainfall")</f>
        <v>Clear Sky</v>
      </c>
      <c r="I6" s="26">
        <f>Sheet5!E6*41</f>
        <v>9.84</v>
      </c>
      <c r="J6" s="27">
        <v>0.75</v>
      </c>
      <c r="K6">
        <v>0</v>
      </c>
      <c r="L6">
        <v>0</v>
      </c>
      <c r="M6">
        <v>1</v>
      </c>
      <c r="N6">
        <v>1</v>
      </c>
    </row>
    <row r="7" spans="1:14" x14ac:dyDescent="0.3">
      <c r="A7">
        <v>6</v>
      </c>
      <c r="B7" s="21">
        <v>40544</v>
      </c>
      <c r="C7" s="25" t="s">
        <v>16</v>
      </c>
      <c r="D7" s="25" t="str" cm="1">
        <f t="array" ref="D7">_xlfn.SWITCH(Sheet5!A7,1,"JANUARY",2,"FEBRUARY")</f>
        <v>JANUARY</v>
      </c>
      <c r="E7">
        <v>5</v>
      </c>
      <c r="F7" t="str" cm="1">
        <f t="array" ref="F7">_xlfn.SWITCH(Sheet5!C7,FALSE,"NO",TRUE,"YES")</f>
        <v>NO</v>
      </c>
      <c r="G7" t="str" cm="1">
        <f t="array" ref="G7">_xlfn.SWITCH(Sheet5!B7,0,"Sunday",1,"Monday",2,"Tuesday",3,"Wednesday",4,"Thursday",5,"Friday",6,"Saturday")</f>
        <v>Saturday</v>
      </c>
      <c r="H7" t="str" cm="1">
        <f t="array" ref="H7">_xlfn.SWITCH(Sheet5!D7, 1, "Clear Sky", 2, "Mist", 3, "Dark Cloud",4,"Heavy Rainfall")</f>
        <v>Mist</v>
      </c>
      <c r="I7" s="26">
        <f>Sheet5!E7*41</f>
        <v>9.84</v>
      </c>
      <c r="J7" s="27">
        <v>0.75</v>
      </c>
      <c r="K7">
        <v>8.9599999999999999E-2</v>
      </c>
      <c r="L7">
        <v>0</v>
      </c>
      <c r="M7">
        <v>1</v>
      </c>
      <c r="N7">
        <v>1</v>
      </c>
    </row>
    <row r="8" spans="1:14" x14ac:dyDescent="0.3">
      <c r="A8">
        <v>7</v>
      </c>
      <c r="B8" s="21">
        <v>40544</v>
      </c>
      <c r="C8" s="25" t="s">
        <v>16</v>
      </c>
      <c r="D8" s="25" t="str" cm="1">
        <f t="array" ref="D8">_xlfn.SWITCH(Sheet5!A8,1,"JANUARY",2,"FEBRUARY")</f>
        <v>JANUARY</v>
      </c>
      <c r="E8">
        <v>6</v>
      </c>
      <c r="F8" t="str" cm="1">
        <f t="array" ref="F8">_xlfn.SWITCH(Sheet5!C8,FALSE,"NO",TRUE,"YES")</f>
        <v>NO</v>
      </c>
      <c r="G8" t="str" cm="1">
        <f t="array" ref="G8">_xlfn.SWITCH(Sheet5!B8,0,"Sunday",1,"Monday",2,"Tuesday",3,"Wednesday",4,"Thursday",5,"Friday",6,"Saturday")</f>
        <v>Saturday</v>
      </c>
      <c r="H8" t="str" cm="1">
        <f t="array" ref="H8">_xlfn.SWITCH(Sheet5!D8, 1, "Clear Sky", 2, "Mist", 3, "Dark Cloud",4,"Heavy Rainfall")</f>
        <v>Clear Sky</v>
      </c>
      <c r="I8" s="26">
        <f>Sheet5!E8*41</f>
        <v>9.02</v>
      </c>
      <c r="J8" s="27">
        <v>0.8</v>
      </c>
      <c r="K8">
        <v>0</v>
      </c>
      <c r="L8">
        <v>2</v>
      </c>
      <c r="M8">
        <v>0</v>
      </c>
      <c r="N8">
        <v>2</v>
      </c>
    </row>
    <row r="9" spans="1:14" x14ac:dyDescent="0.3">
      <c r="A9">
        <v>8</v>
      </c>
      <c r="B9" s="21">
        <v>40544</v>
      </c>
      <c r="C9" s="25" t="s">
        <v>16</v>
      </c>
      <c r="D9" s="25" t="str" cm="1">
        <f t="array" ref="D9">_xlfn.SWITCH(Sheet5!A9,1,"JANUARY",2,"FEBRUARY")</f>
        <v>JANUARY</v>
      </c>
      <c r="E9">
        <v>7</v>
      </c>
      <c r="F9" t="str" cm="1">
        <f t="array" ref="F9">_xlfn.SWITCH(Sheet5!C9,FALSE,"NO",TRUE,"YES")</f>
        <v>NO</v>
      </c>
      <c r="G9" t="str" cm="1">
        <f t="array" ref="G9">_xlfn.SWITCH(Sheet5!B9,0,"Sunday",1,"Monday",2,"Tuesday",3,"Wednesday",4,"Thursday",5,"Friday",6,"Saturday")</f>
        <v>Saturday</v>
      </c>
      <c r="H9" t="str" cm="1">
        <f t="array" ref="H9">_xlfn.SWITCH(Sheet5!D9, 1, "Clear Sky", 2, "Mist", 3, "Dark Cloud",4,"Heavy Rainfall")</f>
        <v>Clear Sky</v>
      </c>
      <c r="I9" s="26">
        <f>Sheet5!E9*41</f>
        <v>8.2000000000000011</v>
      </c>
      <c r="J9" s="27">
        <v>0.86</v>
      </c>
      <c r="K9">
        <v>0</v>
      </c>
      <c r="L9">
        <v>1</v>
      </c>
      <c r="M9">
        <v>2</v>
      </c>
      <c r="N9">
        <v>3</v>
      </c>
    </row>
    <row r="10" spans="1:14" x14ac:dyDescent="0.3">
      <c r="A10">
        <v>9</v>
      </c>
      <c r="B10" s="21">
        <v>40544</v>
      </c>
      <c r="C10" s="25" t="s">
        <v>16</v>
      </c>
      <c r="D10" s="25" t="str" cm="1">
        <f t="array" ref="D10">_xlfn.SWITCH(Sheet5!A10,1,"JANUARY",2,"FEBRUARY")</f>
        <v>JANUARY</v>
      </c>
      <c r="E10">
        <v>8</v>
      </c>
      <c r="F10" t="str" cm="1">
        <f t="array" ref="F10">_xlfn.SWITCH(Sheet5!C10,FALSE,"NO",TRUE,"YES")</f>
        <v>NO</v>
      </c>
      <c r="G10" t="str" cm="1">
        <f t="array" ref="G10">_xlfn.SWITCH(Sheet5!B10,0,"Sunday",1,"Monday",2,"Tuesday",3,"Wednesday",4,"Thursday",5,"Friday",6,"Saturday")</f>
        <v>Saturday</v>
      </c>
      <c r="H10" t="str" cm="1">
        <f t="array" ref="H10">_xlfn.SWITCH(Sheet5!D10, 1, "Clear Sky", 2, "Mist", 3, "Dark Cloud",4,"Heavy Rainfall")</f>
        <v>Clear Sky</v>
      </c>
      <c r="I10" s="26">
        <f>Sheet5!E10*41</f>
        <v>9.84</v>
      </c>
      <c r="J10" s="27">
        <v>0.75</v>
      </c>
      <c r="K10">
        <v>0</v>
      </c>
      <c r="L10">
        <v>1</v>
      </c>
      <c r="M10">
        <v>7</v>
      </c>
      <c r="N10">
        <v>8</v>
      </c>
    </row>
    <row r="11" spans="1:14" x14ac:dyDescent="0.3">
      <c r="A11">
        <v>10</v>
      </c>
      <c r="B11" s="21">
        <v>40544</v>
      </c>
      <c r="C11" s="25" t="s">
        <v>16</v>
      </c>
      <c r="D11" s="25" t="str" cm="1">
        <f t="array" ref="D11">_xlfn.SWITCH(Sheet5!A11,1,"JANUARY",2,"FEBRUARY")</f>
        <v>JANUARY</v>
      </c>
      <c r="E11">
        <v>9</v>
      </c>
      <c r="F11" t="str" cm="1">
        <f t="array" ref="F11">_xlfn.SWITCH(Sheet5!C11,FALSE,"NO",TRUE,"YES")</f>
        <v>NO</v>
      </c>
      <c r="G11" t="str" cm="1">
        <f t="array" ref="G11">_xlfn.SWITCH(Sheet5!B11,0,"Sunday",1,"Monday",2,"Tuesday",3,"Wednesday",4,"Thursday",5,"Friday",6,"Saturday")</f>
        <v>Saturday</v>
      </c>
      <c r="H11" t="str" cm="1">
        <f t="array" ref="H11">_xlfn.SWITCH(Sheet5!D11, 1, "Clear Sky", 2, "Mist", 3, "Dark Cloud",4,"Heavy Rainfall")</f>
        <v>Clear Sky</v>
      </c>
      <c r="I11" s="26">
        <f>Sheet5!E11*41</f>
        <v>13.120000000000001</v>
      </c>
      <c r="J11" s="27">
        <v>0.76</v>
      </c>
      <c r="K11">
        <v>0</v>
      </c>
      <c r="L11">
        <v>8</v>
      </c>
      <c r="M11">
        <v>6</v>
      </c>
      <c r="N11">
        <v>14</v>
      </c>
    </row>
    <row r="12" spans="1:14" x14ac:dyDescent="0.3">
      <c r="A12">
        <v>11</v>
      </c>
      <c r="B12" s="21">
        <v>40544</v>
      </c>
      <c r="C12" s="25" t="s">
        <v>16</v>
      </c>
      <c r="D12" s="25" t="str" cm="1">
        <f t="array" ref="D12">_xlfn.SWITCH(Sheet5!A12,1,"JANUARY",2,"FEBRUARY")</f>
        <v>JANUARY</v>
      </c>
      <c r="E12">
        <v>10</v>
      </c>
      <c r="F12" t="str" cm="1">
        <f t="array" ref="F12">_xlfn.SWITCH(Sheet5!C12,FALSE,"NO",TRUE,"YES")</f>
        <v>NO</v>
      </c>
      <c r="G12" t="str" cm="1">
        <f t="array" ref="G12">_xlfn.SWITCH(Sheet5!B12,0,"Sunday",1,"Monday",2,"Tuesday",3,"Wednesday",4,"Thursday",5,"Friday",6,"Saturday")</f>
        <v>Saturday</v>
      </c>
      <c r="H12" t="str" cm="1">
        <f t="array" ref="H12">_xlfn.SWITCH(Sheet5!D12, 1, "Clear Sky", 2, "Mist", 3, "Dark Cloud",4,"Heavy Rainfall")</f>
        <v>Clear Sky</v>
      </c>
      <c r="I12" s="26">
        <f>Sheet5!E12*41</f>
        <v>15.58</v>
      </c>
      <c r="J12" s="27">
        <v>0.76</v>
      </c>
      <c r="K12">
        <v>0.25369999999999998</v>
      </c>
      <c r="L12">
        <v>12</v>
      </c>
      <c r="M12">
        <v>24</v>
      </c>
      <c r="N12">
        <v>36</v>
      </c>
    </row>
    <row r="13" spans="1:14" x14ac:dyDescent="0.3">
      <c r="A13">
        <v>12</v>
      </c>
      <c r="B13" s="21">
        <v>40544</v>
      </c>
      <c r="C13" s="25" t="s">
        <v>16</v>
      </c>
      <c r="D13" s="25" t="str" cm="1">
        <f t="array" ref="D13">_xlfn.SWITCH(Sheet5!A13,1,"JANUARY",2,"FEBRUARY")</f>
        <v>JANUARY</v>
      </c>
      <c r="E13">
        <v>11</v>
      </c>
      <c r="F13" t="str" cm="1">
        <f t="array" ref="F13">_xlfn.SWITCH(Sheet5!C13,FALSE,"NO",TRUE,"YES")</f>
        <v>NO</v>
      </c>
      <c r="G13" t="str" cm="1">
        <f t="array" ref="G13">_xlfn.SWITCH(Sheet5!B13,0,"Sunday",1,"Monday",2,"Tuesday",3,"Wednesday",4,"Thursday",5,"Friday",6,"Saturday")</f>
        <v>Saturday</v>
      </c>
      <c r="H13" t="str" cm="1">
        <f t="array" ref="H13">_xlfn.SWITCH(Sheet5!D13, 1, "Clear Sky", 2, "Mist", 3, "Dark Cloud",4,"Heavy Rainfall")</f>
        <v>Clear Sky</v>
      </c>
      <c r="I13" s="26">
        <f>Sheet5!E13*41</f>
        <v>14.76</v>
      </c>
      <c r="J13" s="27">
        <v>0.81</v>
      </c>
      <c r="K13">
        <v>0.28360000000000002</v>
      </c>
      <c r="L13">
        <v>26</v>
      </c>
      <c r="M13">
        <v>30</v>
      </c>
      <c r="N13">
        <v>56</v>
      </c>
    </row>
    <row r="14" spans="1:14" x14ac:dyDescent="0.3">
      <c r="A14">
        <v>13</v>
      </c>
      <c r="B14" s="21">
        <v>40544</v>
      </c>
      <c r="C14" s="25" t="s">
        <v>16</v>
      </c>
      <c r="D14" s="25" t="str" cm="1">
        <f t="array" ref="D14">_xlfn.SWITCH(Sheet5!A14,1,"JANUARY",2,"FEBRUARY")</f>
        <v>JANUARY</v>
      </c>
      <c r="E14">
        <v>12</v>
      </c>
      <c r="F14" t="str" cm="1">
        <f t="array" ref="F14">_xlfn.SWITCH(Sheet5!C14,FALSE,"NO",TRUE,"YES")</f>
        <v>NO</v>
      </c>
      <c r="G14" t="str" cm="1">
        <f t="array" ref="G14">_xlfn.SWITCH(Sheet5!B14,0,"Sunday",1,"Monday",2,"Tuesday",3,"Wednesday",4,"Thursday",5,"Friday",6,"Saturday")</f>
        <v>Saturday</v>
      </c>
      <c r="H14" t="str" cm="1">
        <f t="array" ref="H14">_xlfn.SWITCH(Sheet5!D14, 1, "Clear Sky", 2, "Mist", 3, "Dark Cloud",4,"Heavy Rainfall")</f>
        <v>Clear Sky</v>
      </c>
      <c r="I14" s="26">
        <f>Sheet5!E14*41</f>
        <v>17.22</v>
      </c>
      <c r="J14" s="27">
        <v>0.77</v>
      </c>
      <c r="K14">
        <v>0.28360000000000002</v>
      </c>
      <c r="L14">
        <v>29</v>
      </c>
      <c r="M14">
        <v>55</v>
      </c>
      <c r="N14">
        <v>84</v>
      </c>
    </row>
    <row r="15" spans="1:14" x14ac:dyDescent="0.3">
      <c r="A15">
        <v>14</v>
      </c>
      <c r="B15" s="21">
        <v>40544</v>
      </c>
      <c r="C15" s="25" t="s">
        <v>16</v>
      </c>
      <c r="D15" s="25" t="str" cm="1">
        <f t="array" ref="D15">_xlfn.SWITCH(Sheet5!A15,1,"JANUARY",2,"FEBRUARY")</f>
        <v>JANUARY</v>
      </c>
      <c r="E15">
        <v>13</v>
      </c>
      <c r="F15" t="str" cm="1">
        <f t="array" ref="F15">_xlfn.SWITCH(Sheet5!C15,FALSE,"NO",TRUE,"YES")</f>
        <v>NO</v>
      </c>
      <c r="G15" t="str" cm="1">
        <f t="array" ref="G15">_xlfn.SWITCH(Sheet5!B15,0,"Sunday",1,"Monday",2,"Tuesday",3,"Wednesday",4,"Thursday",5,"Friday",6,"Saturday")</f>
        <v>Saturday</v>
      </c>
      <c r="H15" t="str" cm="1">
        <f t="array" ref="H15">_xlfn.SWITCH(Sheet5!D15, 1, "Clear Sky", 2, "Mist", 3, "Dark Cloud",4,"Heavy Rainfall")</f>
        <v>Mist</v>
      </c>
      <c r="I15" s="26">
        <f>Sheet5!E15*41</f>
        <v>18.86</v>
      </c>
      <c r="J15" s="27">
        <v>0.72</v>
      </c>
      <c r="K15">
        <v>0.29849999999999999</v>
      </c>
      <c r="L15">
        <v>47</v>
      </c>
      <c r="M15">
        <v>47</v>
      </c>
      <c r="N15">
        <v>94</v>
      </c>
    </row>
    <row r="16" spans="1:14" x14ac:dyDescent="0.3">
      <c r="A16">
        <v>15</v>
      </c>
      <c r="B16" s="21">
        <v>40544</v>
      </c>
      <c r="C16" s="25" t="s">
        <v>16</v>
      </c>
      <c r="D16" s="25" t="str" cm="1">
        <f t="array" ref="D16">_xlfn.SWITCH(Sheet5!A16,1,"JANUARY",2,"FEBRUARY")</f>
        <v>JANUARY</v>
      </c>
      <c r="E16">
        <v>14</v>
      </c>
      <c r="F16" t="str" cm="1">
        <f t="array" ref="F16">_xlfn.SWITCH(Sheet5!C16,FALSE,"NO",TRUE,"YES")</f>
        <v>NO</v>
      </c>
      <c r="G16" t="str" cm="1">
        <f t="array" ref="G16">_xlfn.SWITCH(Sheet5!B16,0,"Sunday",1,"Monday",2,"Tuesday",3,"Wednesday",4,"Thursday",5,"Friday",6,"Saturday")</f>
        <v>Saturday</v>
      </c>
      <c r="H16" t="str" cm="1">
        <f t="array" ref="H16">_xlfn.SWITCH(Sheet5!D16, 1, "Clear Sky", 2, "Mist", 3, "Dark Cloud",4,"Heavy Rainfall")</f>
        <v>Mist</v>
      </c>
      <c r="I16" s="26">
        <f>Sheet5!E16*41</f>
        <v>18.86</v>
      </c>
      <c r="J16" s="27">
        <v>0.72</v>
      </c>
      <c r="K16">
        <v>0.28360000000000002</v>
      </c>
      <c r="L16">
        <v>35</v>
      </c>
      <c r="M16">
        <v>71</v>
      </c>
      <c r="N16">
        <v>106</v>
      </c>
    </row>
    <row r="17" spans="1:14" x14ac:dyDescent="0.3">
      <c r="A17">
        <v>16</v>
      </c>
      <c r="B17" s="21">
        <v>40544</v>
      </c>
      <c r="C17" s="25" t="s">
        <v>16</v>
      </c>
      <c r="D17" s="25" t="str" cm="1">
        <f t="array" ref="D17">_xlfn.SWITCH(Sheet5!A17,1,"JANUARY",2,"FEBRUARY")</f>
        <v>JANUARY</v>
      </c>
      <c r="E17">
        <v>15</v>
      </c>
      <c r="F17" t="str" cm="1">
        <f t="array" ref="F17">_xlfn.SWITCH(Sheet5!C17,FALSE,"NO",TRUE,"YES")</f>
        <v>NO</v>
      </c>
      <c r="G17" t="str" cm="1">
        <f t="array" ref="G17">_xlfn.SWITCH(Sheet5!B17,0,"Sunday",1,"Monday",2,"Tuesday",3,"Wednesday",4,"Thursday",5,"Friday",6,"Saturday")</f>
        <v>Saturday</v>
      </c>
      <c r="H17" t="str" cm="1">
        <f t="array" ref="H17">_xlfn.SWITCH(Sheet5!D17, 1, "Clear Sky", 2, "Mist", 3, "Dark Cloud",4,"Heavy Rainfall")</f>
        <v>Mist</v>
      </c>
      <c r="I17" s="26">
        <f>Sheet5!E17*41</f>
        <v>18.04</v>
      </c>
      <c r="J17" s="27">
        <v>0.77</v>
      </c>
      <c r="K17">
        <v>0.29849999999999999</v>
      </c>
      <c r="L17">
        <v>40</v>
      </c>
      <c r="M17">
        <v>70</v>
      </c>
      <c r="N17">
        <v>110</v>
      </c>
    </row>
    <row r="18" spans="1:14" x14ac:dyDescent="0.3">
      <c r="A18">
        <v>17</v>
      </c>
      <c r="B18" s="21">
        <v>40544</v>
      </c>
      <c r="C18" s="25" t="s">
        <v>16</v>
      </c>
      <c r="D18" s="25" t="str" cm="1">
        <f t="array" ref="D18">_xlfn.SWITCH(Sheet5!A18,1,"JANUARY",2,"FEBRUARY")</f>
        <v>JANUARY</v>
      </c>
      <c r="E18">
        <v>16</v>
      </c>
      <c r="F18" t="str" cm="1">
        <f t="array" ref="F18">_xlfn.SWITCH(Sheet5!C18,FALSE,"NO",TRUE,"YES")</f>
        <v>NO</v>
      </c>
      <c r="G18" t="str" cm="1">
        <f t="array" ref="G18">_xlfn.SWITCH(Sheet5!B18,0,"Sunday",1,"Monday",2,"Tuesday",3,"Wednesday",4,"Thursday",5,"Friday",6,"Saturday")</f>
        <v>Saturday</v>
      </c>
      <c r="H18" t="str" cm="1">
        <f t="array" ref="H18">_xlfn.SWITCH(Sheet5!D18, 1, "Clear Sky", 2, "Mist", 3, "Dark Cloud",4,"Heavy Rainfall")</f>
        <v>Mist</v>
      </c>
      <c r="I18" s="26">
        <f>Sheet5!E18*41</f>
        <v>17.22</v>
      </c>
      <c r="J18" s="27">
        <v>0.82</v>
      </c>
      <c r="K18">
        <v>0.29849999999999999</v>
      </c>
      <c r="L18">
        <v>41</v>
      </c>
      <c r="M18">
        <v>52</v>
      </c>
      <c r="N18">
        <v>93</v>
      </c>
    </row>
    <row r="19" spans="1:14" x14ac:dyDescent="0.3">
      <c r="A19">
        <v>18</v>
      </c>
      <c r="B19" s="21">
        <v>40544</v>
      </c>
      <c r="C19" s="25" t="s">
        <v>16</v>
      </c>
      <c r="D19" s="25" t="str" cm="1">
        <f t="array" ref="D19">_xlfn.SWITCH(Sheet5!A19,1,"JANUARY",2,"FEBRUARY")</f>
        <v>JANUARY</v>
      </c>
      <c r="E19">
        <v>17</v>
      </c>
      <c r="F19" t="str" cm="1">
        <f t="array" ref="F19">_xlfn.SWITCH(Sheet5!C19,FALSE,"NO",TRUE,"YES")</f>
        <v>NO</v>
      </c>
      <c r="G19" t="str" cm="1">
        <f t="array" ref="G19">_xlfn.SWITCH(Sheet5!B19,0,"Sunday",1,"Monday",2,"Tuesday",3,"Wednesday",4,"Thursday",5,"Friday",6,"Saturday")</f>
        <v>Saturday</v>
      </c>
      <c r="H19" t="str" cm="1">
        <f t="array" ref="H19">_xlfn.SWITCH(Sheet5!D19, 1, "Clear Sky", 2, "Mist", 3, "Dark Cloud",4,"Heavy Rainfall")</f>
        <v>Mist</v>
      </c>
      <c r="I19" s="26">
        <f>Sheet5!E19*41</f>
        <v>18.04</v>
      </c>
      <c r="J19" s="27">
        <v>0.82</v>
      </c>
      <c r="K19">
        <v>0.28360000000000002</v>
      </c>
      <c r="L19">
        <v>15</v>
      </c>
      <c r="M19">
        <v>52</v>
      </c>
      <c r="N19">
        <v>67</v>
      </c>
    </row>
    <row r="20" spans="1:14" x14ac:dyDescent="0.3">
      <c r="A20">
        <v>19</v>
      </c>
      <c r="B20" s="21">
        <v>40544</v>
      </c>
      <c r="C20" s="25" t="s">
        <v>16</v>
      </c>
      <c r="D20" s="25" t="str" cm="1">
        <f t="array" ref="D20">_xlfn.SWITCH(Sheet5!A20,1,"JANUARY",2,"FEBRUARY")</f>
        <v>JANUARY</v>
      </c>
      <c r="E20">
        <v>18</v>
      </c>
      <c r="F20" t="str" cm="1">
        <f t="array" ref="F20">_xlfn.SWITCH(Sheet5!C20,FALSE,"NO",TRUE,"YES")</f>
        <v>NO</v>
      </c>
      <c r="G20" t="str" cm="1">
        <f t="array" ref="G20">_xlfn.SWITCH(Sheet5!B20,0,"Sunday",1,"Monday",2,"Tuesday",3,"Wednesday",4,"Thursday",5,"Friday",6,"Saturday")</f>
        <v>Saturday</v>
      </c>
      <c r="H20" t="str" cm="1">
        <f t="array" ref="H20">_xlfn.SWITCH(Sheet5!D20, 1, "Clear Sky", 2, "Mist", 3, "Dark Cloud",4,"Heavy Rainfall")</f>
        <v>Dark Cloud</v>
      </c>
      <c r="I20" s="26">
        <f>Sheet5!E20*41</f>
        <v>17.22</v>
      </c>
      <c r="J20" s="27">
        <v>0.88</v>
      </c>
      <c r="K20">
        <v>0.25369999999999998</v>
      </c>
      <c r="L20">
        <v>9</v>
      </c>
      <c r="M20">
        <v>26</v>
      </c>
      <c r="N20">
        <v>35</v>
      </c>
    </row>
    <row r="21" spans="1:14" x14ac:dyDescent="0.3">
      <c r="A21">
        <v>20</v>
      </c>
      <c r="B21" s="21">
        <v>40544</v>
      </c>
      <c r="C21" s="25" t="s">
        <v>16</v>
      </c>
      <c r="D21" s="25" t="str" cm="1">
        <f t="array" ref="D21">_xlfn.SWITCH(Sheet5!A21,1,"JANUARY",2,"FEBRUARY")</f>
        <v>JANUARY</v>
      </c>
      <c r="E21">
        <v>19</v>
      </c>
      <c r="F21" t="str" cm="1">
        <f t="array" ref="F21">_xlfn.SWITCH(Sheet5!C21,FALSE,"NO",TRUE,"YES")</f>
        <v>NO</v>
      </c>
      <c r="G21" t="str" cm="1">
        <f t="array" ref="G21">_xlfn.SWITCH(Sheet5!B21,0,"Sunday",1,"Monday",2,"Tuesday",3,"Wednesday",4,"Thursday",5,"Friday",6,"Saturday")</f>
        <v>Saturday</v>
      </c>
      <c r="H21" t="str" cm="1">
        <f t="array" ref="H21">_xlfn.SWITCH(Sheet5!D21, 1, "Clear Sky", 2, "Mist", 3, "Dark Cloud",4,"Heavy Rainfall")</f>
        <v>Dark Cloud</v>
      </c>
      <c r="I21" s="26">
        <f>Sheet5!E21*41</f>
        <v>17.22</v>
      </c>
      <c r="J21" s="27">
        <v>0.88</v>
      </c>
      <c r="K21">
        <v>0.25369999999999998</v>
      </c>
      <c r="L21">
        <v>6</v>
      </c>
      <c r="M21">
        <v>31</v>
      </c>
      <c r="N21">
        <v>37</v>
      </c>
    </row>
    <row r="22" spans="1:14" x14ac:dyDescent="0.3">
      <c r="A22">
        <v>21</v>
      </c>
      <c r="B22" s="21">
        <v>40544</v>
      </c>
      <c r="C22" s="25" t="s">
        <v>16</v>
      </c>
      <c r="D22" s="25" t="str" cm="1">
        <f t="array" ref="D22">_xlfn.SWITCH(Sheet5!A22,1,"JANUARY",2,"FEBRUARY")</f>
        <v>JANUARY</v>
      </c>
      <c r="E22">
        <v>20</v>
      </c>
      <c r="F22" t="str" cm="1">
        <f t="array" ref="F22">_xlfn.SWITCH(Sheet5!C22,FALSE,"NO",TRUE,"YES")</f>
        <v>NO</v>
      </c>
      <c r="G22" t="str" cm="1">
        <f t="array" ref="G22">_xlfn.SWITCH(Sheet5!B22,0,"Sunday",1,"Monday",2,"Tuesday",3,"Wednesday",4,"Thursday",5,"Friday",6,"Saturday")</f>
        <v>Saturday</v>
      </c>
      <c r="H22" t="str" cm="1">
        <f t="array" ref="H22">_xlfn.SWITCH(Sheet5!D22, 1, "Clear Sky", 2, "Mist", 3, "Dark Cloud",4,"Heavy Rainfall")</f>
        <v>Mist</v>
      </c>
      <c r="I22" s="26">
        <f>Sheet5!E22*41</f>
        <v>16.400000000000002</v>
      </c>
      <c r="J22" s="27">
        <v>0.87</v>
      </c>
      <c r="K22">
        <v>0.25369999999999998</v>
      </c>
      <c r="L22">
        <v>11</v>
      </c>
      <c r="M22">
        <v>25</v>
      </c>
      <c r="N22">
        <v>36</v>
      </c>
    </row>
    <row r="23" spans="1:14" x14ac:dyDescent="0.3">
      <c r="A23">
        <v>22</v>
      </c>
      <c r="B23" s="21">
        <v>40544</v>
      </c>
      <c r="C23" s="25" t="s">
        <v>16</v>
      </c>
      <c r="D23" s="25" t="str" cm="1">
        <f t="array" ref="D23">_xlfn.SWITCH(Sheet5!A23,1,"JANUARY",2,"FEBRUARY")</f>
        <v>JANUARY</v>
      </c>
      <c r="E23">
        <v>21</v>
      </c>
      <c r="F23" t="str" cm="1">
        <f t="array" ref="F23">_xlfn.SWITCH(Sheet5!C23,FALSE,"NO",TRUE,"YES")</f>
        <v>NO</v>
      </c>
      <c r="G23" t="str" cm="1">
        <f t="array" ref="G23">_xlfn.SWITCH(Sheet5!B23,0,"Sunday",1,"Monday",2,"Tuesday",3,"Wednesday",4,"Thursday",5,"Friday",6,"Saturday")</f>
        <v>Saturday</v>
      </c>
      <c r="H23" t="str" cm="1">
        <f t="array" ref="H23">_xlfn.SWITCH(Sheet5!D23, 1, "Clear Sky", 2, "Mist", 3, "Dark Cloud",4,"Heavy Rainfall")</f>
        <v>Mist</v>
      </c>
      <c r="I23" s="26">
        <f>Sheet5!E23*41</f>
        <v>16.400000000000002</v>
      </c>
      <c r="J23" s="27">
        <v>0.87</v>
      </c>
      <c r="K23">
        <v>0.19400000000000001</v>
      </c>
      <c r="L23">
        <v>3</v>
      </c>
      <c r="M23">
        <v>31</v>
      </c>
      <c r="N23">
        <v>34</v>
      </c>
    </row>
    <row r="24" spans="1:14" x14ac:dyDescent="0.3">
      <c r="A24">
        <v>23</v>
      </c>
      <c r="B24" s="21">
        <v>40544</v>
      </c>
      <c r="C24" s="25" t="s">
        <v>16</v>
      </c>
      <c r="D24" s="25" t="str" cm="1">
        <f t="array" ref="D24">_xlfn.SWITCH(Sheet5!A24,1,"JANUARY",2,"FEBRUARY")</f>
        <v>JANUARY</v>
      </c>
      <c r="E24">
        <v>22</v>
      </c>
      <c r="F24" t="str" cm="1">
        <f t="array" ref="F24">_xlfn.SWITCH(Sheet5!C24,FALSE,"NO",TRUE,"YES")</f>
        <v>NO</v>
      </c>
      <c r="G24" t="str" cm="1">
        <f t="array" ref="G24">_xlfn.SWITCH(Sheet5!B24,0,"Sunday",1,"Monday",2,"Tuesday",3,"Wednesday",4,"Thursday",5,"Friday",6,"Saturday")</f>
        <v>Saturday</v>
      </c>
      <c r="H24" t="str" cm="1">
        <f t="array" ref="H24">_xlfn.SWITCH(Sheet5!D24, 1, "Clear Sky", 2, "Mist", 3, "Dark Cloud",4,"Heavy Rainfall")</f>
        <v>Mist</v>
      </c>
      <c r="I24" s="26">
        <f>Sheet5!E24*41</f>
        <v>16.400000000000002</v>
      </c>
      <c r="J24" s="27">
        <v>0.94</v>
      </c>
      <c r="K24">
        <v>0.22389999999999999</v>
      </c>
      <c r="L24">
        <v>11</v>
      </c>
      <c r="M24">
        <v>17</v>
      </c>
      <c r="N24">
        <v>28</v>
      </c>
    </row>
    <row r="25" spans="1:14" x14ac:dyDescent="0.3">
      <c r="A25">
        <v>24</v>
      </c>
      <c r="B25" s="21">
        <v>40544</v>
      </c>
      <c r="C25" s="25" t="s">
        <v>16</v>
      </c>
      <c r="D25" s="25" t="str" cm="1">
        <f t="array" ref="D25">_xlfn.SWITCH(Sheet5!A25,1,"JANUARY",2,"FEBRUARY")</f>
        <v>JANUARY</v>
      </c>
      <c r="E25">
        <v>23</v>
      </c>
      <c r="F25" t="str" cm="1">
        <f t="array" ref="F25">_xlfn.SWITCH(Sheet5!C25,FALSE,"NO",TRUE,"YES")</f>
        <v>NO</v>
      </c>
      <c r="G25" t="str" cm="1">
        <f t="array" ref="G25">_xlfn.SWITCH(Sheet5!B25,0,"Sunday",1,"Monday",2,"Tuesday",3,"Wednesday",4,"Thursday",5,"Friday",6,"Saturday")</f>
        <v>Saturday</v>
      </c>
      <c r="H25" t="str" cm="1">
        <f t="array" ref="H25">_xlfn.SWITCH(Sheet5!D25, 1, "Clear Sky", 2, "Mist", 3, "Dark Cloud",4,"Heavy Rainfall")</f>
        <v>Mist</v>
      </c>
      <c r="I25" s="26">
        <f>Sheet5!E25*41</f>
        <v>18.86</v>
      </c>
      <c r="J25" s="27">
        <v>0.88</v>
      </c>
      <c r="K25">
        <v>0.29849999999999999</v>
      </c>
      <c r="L25">
        <v>15</v>
      </c>
      <c r="M25">
        <v>24</v>
      </c>
      <c r="N25">
        <v>39</v>
      </c>
    </row>
    <row r="26" spans="1:14" x14ac:dyDescent="0.3">
      <c r="A26">
        <v>25</v>
      </c>
      <c r="B26" s="21">
        <v>40545</v>
      </c>
      <c r="C26" s="25" t="s">
        <v>16</v>
      </c>
      <c r="D26" s="25" t="str" cm="1">
        <f t="array" ref="D26">_xlfn.SWITCH(Sheet5!A26,1,"JANUARY",2,"FEBRUARY")</f>
        <v>JANUARY</v>
      </c>
      <c r="E26">
        <v>0</v>
      </c>
      <c r="F26" t="str" cm="1">
        <f t="array" ref="F26">_xlfn.SWITCH(Sheet5!C26,FALSE,"NO",TRUE,"YES")</f>
        <v>NO</v>
      </c>
      <c r="G26" t="str" cm="1">
        <f t="array" ref="G26">_xlfn.SWITCH(Sheet5!B26,0,"Sunday",1,"Monday",2,"Tuesday",3,"Wednesday",4,"Thursday",5,"Friday",6,"Saturday")</f>
        <v>Sunday</v>
      </c>
      <c r="H26" t="str" cm="1">
        <f t="array" ref="H26">_xlfn.SWITCH(Sheet5!D26, 1, "Clear Sky", 2, "Mist", 3, "Dark Cloud",4,"Heavy Rainfall")</f>
        <v>Mist</v>
      </c>
      <c r="I26" s="26">
        <f>Sheet5!E26*41</f>
        <v>18.86</v>
      </c>
      <c r="J26" s="27">
        <v>0.88</v>
      </c>
      <c r="K26">
        <v>0.29849999999999999</v>
      </c>
      <c r="L26">
        <v>4</v>
      </c>
      <c r="M26">
        <v>13</v>
      </c>
      <c r="N26">
        <v>17</v>
      </c>
    </row>
    <row r="27" spans="1:14" x14ac:dyDescent="0.3">
      <c r="A27">
        <v>26</v>
      </c>
      <c r="B27" s="21">
        <v>40545</v>
      </c>
      <c r="C27" s="25" t="s">
        <v>16</v>
      </c>
      <c r="D27" s="25" t="str" cm="1">
        <f t="array" ref="D27">_xlfn.SWITCH(Sheet5!A27,1,"JANUARY",2,"FEBRUARY")</f>
        <v>JANUARY</v>
      </c>
      <c r="E27">
        <v>1</v>
      </c>
      <c r="F27" t="str" cm="1">
        <f t="array" ref="F27">_xlfn.SWITCH(Sheet5!C27,FALSE,"NO",TRUE,"YES")</f>
        <v>NO</v>
      </c>
      <c r="G27" t="str" cm="1">
        <f t="array" ref="G27">_xlfn.SWITCH(Sheet5!B27,0,"Sunday",1,"Monday",2,"Tuesday",3,"Wednesday",4,"Thursday",5,"Friday",6,"Saturday")</f>
        <v>Sunday</v>
      </c>
      <c r="H27" t="str" cm="1">
        <f t="array" ref="H27">_xlfn.SWITCH(Sheet5!D27, 1, "Clear Sky", 2, "Mist", 3, "Dark Cloud",4,"Heavy Rainfall")</f>
        <v>Mist</v>
      </c>
      <c r="I27" s="26">
        <f>Sheet5!E27*41</f>
        <v>18.04</v>
      </c>
      <c r="J27" s="27">
        <v>0.94</v>
      </c>
      <c r="K27">
        <v>0.25369999999999998</v>
      </c>
      <c r="L27">
        <v>1</v>
      </c>
      <c r="M27">
        <v>16</v>
      </c>
      <c r="N27">
        <v>17</v>
      </c>
    </row>
    <row r="28" spans="1:14" x14ac:dyDescent="0.3">
      <c r="A28">
        <v>27</v>
      </c>
      <c r="B28" s="21">
        <v>40545</v>
      </c>
      <c r="C28" s="25" t="s">
        <v>16</v>
      </c>
      <c r="D28" s="25" t="str" cm="1">
        <f t="array" ref="D28">_xlfn.SWITCH(Sheet5!A28,1,"JANUARY",2,"FEBRUARY")</f>
        <v>JANUARY</v>
      </c>
      <c r="E28">
        <v>2</v>
      </c>
      <c r="F28" t="str" cm="1">
        <f t="array" ref="F28">_xlfn.SWITCH(Sheet5!C28,FALSE,"NO",TRUE,"YES")</f>
        <v>NO</v>
      </c>
      <c r="G28" t="str" cm="1">
        <f t="array" ref="G28">_xlfn.SWITCH(Sheet5!B28,0,"Sunday",1,"Monday",2,"Tuesday",3,"Wednesday",4,"Thursday",5,"Friday",6,"Saturday")</f>
        <v>Sunday</v>
      </c>
      <c r="H28" t="str" cm="1">
        <f t="array" ref="H28">_xlfn.SWITCH(Sheet5!D28, 1, "Clear Sky", 2, "Mist", 3, "Dark Cloud",4,"Heavy Rainfall")</f>
        <v>Mist</v>
      </c>
      <c r="I28" s="26">
        <f>Sheet5!E28*41</f>
        <v>17.22</v>
      </c>
      <c r="J28" s="27">
        <v>1</v>
      </c>
      <c r="K28">
        <v>0.28360000000000002</v>
      </c>
      <c r="L28">
        <v>1</v>
      </c>
      <c r="M28">
        <v>8</v>
      </c>
      <c r="N28">
        <v>9</v>
      </c>
    </row>
    <row r="29" spans="1:14" x14ac:dyDescent="0.3">
      <c r="A29">
        <v>28</v>
      </c>
      <c r="B29" s="21">
        <v>40545</v>
      </c>
      <c r="C29" s="25" t="s">
        <v>16</v>
      </c>
      <c r="D29" s="25" t="str" cm="1">
        <f t="array" ref="D29">_xlfn.SWITCH(Sheet5!A29,1,"JANUARY",2,"FEBRUARY")</f>
        <v>JANUARY</v>
      </c>
      <c r="E29">
        <v>3</v>
      </c>
      <c r="F29" t="str" cm="1">
        <f t="array" ref="F29">_xlfn.SWITCH(Sheet5!C29,FALSE,"NO",TRUE,"YES")</f>
        <v>NO</v>
      </c>
      <c r="G29" t="str" cm="1">
        <f t="array" ref="G29">_xlfn.SWITCH(Sheet5!B29,0,"Sunday",1,"Monday",2,"Tuesday",3,"Wednesday",4,"Thursday",5,"Friday",6,"Saturday")</f>
        <v>Sunday</v>
      </c>
      <c r="H29" t="str" cm="1">
        <f t="array" ref="H29">_xlfn.SWITCH(Sheet5!D29, 1, "Clear Sky", 2, "Mist", 3, "Dark Cloud",4,"Heavy Rainfall")</f>
        <v>Mist</v>
      </c>
      <c r="I29" s="26">
        <f>Sheet5!E29*41</f>
        <v>18.86</v>
      </c>
      <c r="J29" s="27">
        <v>0.94</v>
      </c>
      <c r="K29">
        <v>0.19400000000000001</v>
      </c>
      <c r="L29">
        <v>2</v>
      </c>
      <c r="M29">
        <v>4</v>
      </c>
      <c r="N29">
        <v>6</v>
      </c>
    </row>
    <row r="30" spans="1:14" x14ac:dyDescent="0.3">
      <c r="A30">
        <v>29</v>
      </c>
      <c r="B30" s="21">
        <v>40545</v>
      </c>
      <c r="C30" s="25" t="s">
        <v>16</v>
      </c>
      <c r="D30" s="25" t="str" cm="1">
        <f t="array" ref="D30">_xlfn.SWITCH(Sheet5!A30,1,"JANUARY",2,"FEBRUARY")</f>
        <v>JANUARY</v>
      </c>
      <c r="E30">
        <v>4</v>
      </c>
      <c r="F30" t="str" cm="1">
        <f t="array" ref="F30">_xlfn.SWITCH(Sheet5!C30,FALSE,"NO",TRUE,"YES")</f>
        <v>NO</v>
      </c>
      <c r="G30" t="str" cm="1">
        <f t="array" ref="G30">_xlfn.SWITCH(Sheet5!B30,0,"Sunday",1,"Monday",2,"Tuesday",3,"Wednesday",4,"Thursday",5,"Friday",6,"Saturday")</f>
        <v>Sunday</v>
      </c>
      <c r="H30" t="str" cm="1">
        <f t="array" ref="H30">_xlfn.SWITCH(Sheet5!D30, 1, "Clear Sky", 2, "Mist", 3, "Dark Cloud",4,"Heavy Rainfall")</f>
        <v>Mist</v>
      </c>
      <c r="I30" s="26">
        <f>Sheet5!E30*41</f>
        <v>18.86</v>
      </c>
      <c r="J30" s="27">
        <v>0.94</v>
      </c>
      <c r="K30">
        <v>0.19400000000000001</v>
      </c>
      <c r="L30">
        <v>2</v>
      </c>
      <c r="M30">
        <v>1</v>
      </c>
      <c r="N30">
        <v>3</v>
      </c>
    </row>
    <row r="31" spans="1:14" x14ac:dyDescent="0.3">
      <c r="A31">
        <v>30</v>
      </c>
      <c r="B31" s="21">
        <v>40545</v>
      </c>
      <c r="C31" s="25" t="s">
        <v>16</v>
      </c>
      <c r="D31" s="25" t="str" cm="1">
        <f t="array" ref="D31">_xlfn.SWITCH(Sheet5!A31,1,"JANUARY",2,"FEBRUARY")</f>
        <v>JANUARY</v>
      </c>
      <c r="E31">
        <v>6</v>
      </c>
      <c r="F31" t="str" cm="1">
        <f t="array" ref="F31">_xlfn.SWITCH(Sheet5!C31,FALSE,"NO",TRUE,"YES")</f>
        <v>NO</v>
      </c>
      <c r="G31" t="str" cm="1">
        <f t="array" ref="G31">_xlfn.SWITCH(Sheet5!B31,0,"Sunday",1,"Monday",2,"Tuesday",3,"Wednesday",4,"Thursday",5,"Friday",6,"Saturday")</f>
        <v>Sunday</v>
      </c>
      <c r="H31" t="str" cm="1">
        <f t="array" ref="H31">_xlfn.SWITCH(Sheet5!D31, 1, "Clear Sky", 2, "Mist", 3, "Dark Cloud",4,"Heavy Rainfall")</f>
        <v>Dark Cloud</v>
      </c>
      <c r="I31" s="26">
        <f>Sheet5!E31*41</f>
        <v>17.22</v>
      </c>
      <c r="J31" s="27">
        <v>0.77</v>
      </c>
      <c r="K31">
        <v>0.29849999999999999</v>
      </c>
      <c r="L31">
        <v>0</v>
      </c>
      <c r="M31">
        <v>2</v>
      </c>
      <c r="N31">
        <v>2</v>
      </c>
    </row>
    <row r="32" spans="1:14" x14ac:dyDescent="0.3">
      <c r="A32">
        <v>31</v>
      </c>
      <c r="B32" s="21">
        <v>40545</v>
      </c>
      <c r="C32" s="25" t="s">
        <v>16</v>
      </c>
      <c r="D32" s="25" t="str" cm="1">
        <f t="array" ref="D32">_xlfn.SWITCH(Sheet5!A32,1,"JANUARY",2,"FEBRUARY")</f>
        <v>JANUARY</v>
      </c>
      <c r="E32">
        <v>7</v>
      </c>
      <c r="F32" t="str" cm="1">
        <f t="array" ref="F32">_xlfn.SWITCH(Sheet5!C32,FALSE,"NO",TRUE,"YES")</f>
        <v>NO</v>
      </c>
      <c r="G32" t="str" cm="1">
        <f t="array" ref="G32">_xlfn.SWITCH(Sheet5!B32,0,"Sunday",1,"Monday",2,"Tuesday",3,"Wednesday",4,"Thursday",5,"Friday",6,"Saturday")</f>
        <v>Sunday</v>
      </c>
      <c r="H32" t="str" cm="1">
        <f t="array" ref="H32">_xlfn.SWITCH(Sheet5!D32, 1, "Clear Sky", 2, "Mist", 3, "Dark Cloud",4,"Heavy Rainfall")</f>
        <v>Mist</v>
      </c>
      <c r="I32" s="26">
        <f>Sheet5!E32*41</f>
        <v>16.400000000000002</v>
      </c>
      <c r="J32" s="27">
        <v>0.76</v>
      </c>
      <c r="K32">
        <v>0.19400000000000001</v>
      </c>
      <c r="L32">
        <v>0</v>
      </c>
      <c r="M32">
        <v>1</v>
      </c>
      <c r="N32">
        <v>1</v>
      </c>
    </row>
    <row r="33" spans="1:14" x14ac:dyDescent="0.3">
      <c r="A33">
        <v>32</v>
      </c>
      <c r="B33" s="21">
        <v>40545</v>
      </c>
      <c r="C33" s="25" t="s">
        <v>16</v>
      </c>
      <c r="D33" s="25" t="str" cm="1">
        <f t="array" ref="D33">_xlfn.SWITCH(Sheet5!A33,1,"JANUARY",2,"FEBRUARY")</f>
        <v>JANUARY</v>
      </c>
      <c r="E33">
        <v>8</v>
      </c>
      <c r="F33" t="str" cm="1">
        <f t="array" ref="F33">_xlfn.SWITCH(Sheet5!C33,FALSE,"NO",TRUE,"YES")</f>
        <v>NO</v>
      </c>
      <c r="G33" t="str" cm="1">
        <f t="array" ref="G33">_xlfn.SWITCH(Sheet5!B33,0,"Sunday",1,"Monday",2,"Tuesday",3,"Wednesday",4,"Thursday",5,"Friday",6,"Saturday")</f>
        <v>Sunday</v>
      </c>
      <c r="H33" t="str" cm="1">
        <f t="array" ref="H33">_xlfn.SWITCH(Sheet5!D33, 1, "Clear Sky", 2, "Mist", 3, "Dark Cloud",4,"Heavy Rainfall")</f>
        <v>Dark Cloud</v>
      </c>
      <c r="I33" s="26">
        <f>Sheet5!E33*41</f>
        <v>16.400000000000002</v>
      </c>
      <c r="J33" s="27">
        <v>0.71</v>
      </c>
      <c r="K33">
        <v>0.22389999999999999</v>
      </c>
      <c r="L33">
        <v>0</v>
      </c>
      <c r="M33">
        <v>8</v>
      </c>
      <c r="N33">
        <v>8</v>
      </c>
    </row>
    <row r="34" spans="1:14" x14ac:dyDescent="0.3">
      <c r="A34">
        <v>33</v>
      </c>
      <c r="B34" s="21">
        <v>40545</v>
      </c>
      <c r="C34" s="25" t="s">
        <v>16</v>
      </c>
      <c r="D34" s="25" t="str" cm="1">
        <f t="array" ref="D34">_xlfn.SWITCH(Sheet5!A34,1,"JANUARY",2,"FEBRUARY")</f>
        <v>JANUARY</v>
      </c>
      <c r="E34">
        <v>9</v>
      </c>
      <c r="F34" t="str" cm="1">
        <f t="array" ref="F34">_xlfn.SWITCH(Sheet5!C34,FALSE,"NO",TRUE,"YES")</f>
        <v>NO</v>
      </c>
      <c r="G34" t="str" cm="1">
        <f t="array" ref="G34">_xlfn.SWITCH(Sheet5!B34,0,"Sunday",1,"Monday",2,"Tuesday",3,"Wednesday",4,"Thursday",5,"Friday",6,"Saturday")</f>
        <v>Sunday</v>
      </c>
      <c r="H34" t="str" cm="1">
        <f t="array" ref="H34">_xlfn.SWITCH(Sheet5!D34, 1, "Clear Sky", 2, "Mist", 3, "Dark Cloud",4,"Heavy Rainfall")</f>
        <v>Mist</v>
      </c>
      <c r="I34" s="26">
        <f>Sheet5!E34*41</f>
        <v>15.58</v>
      </c>
      <c r="J34" s="27">
        <v>0.76</v>
      </c>
      <c r="K34">
        <v>0.22389999999999999</v>
      </c>
      <c r="L34">
        <v>1</v>
      </c>
      <c r="M34">
        <v>19</v>
      </c>
      <c r="N34">
        <v>20</v>
      </c>
    </row>
    <row r="35" spans="1:14" x14ac:dyDescent="0.3">
      <c r="A35">
        <v>34</v>
      </c>
      <c r="B35" s="21">
        <v>40545</v>
      </c>
      <c r="C35" s="25" t="s">
        <v>16</v>
      </c>
      <c r="D35" s="25" t="str" cm="1">
        <f t="array" ref="D35">_xlfn.SWITCH(Sheet5!A35,1,"JANUARY",2,"FEBRUARY")</f>
        <v>JANUARY</v>
      </c>
      <c r="E35">
        <v>10</v>
      </c>
      <c r="F35" t="str" cm="1">
        <f t="array" ref="F35">_xlfn.SWITCH(Sheet5!C35,FALSE,"NO",TRUE,"YES")</f>
        <v>NO</v>
      </c>
      <c r="G35" t="str" cm="1">
        <f t="array" ref="G35">_xlfn.SWITCH(Sheet5!B35,0,"Sunday",1,"Monday",2,"Tuesday",3,"Wednesday",4,"Thursday",5,"Friday",6,"Saturday")</f>
        <v>Sunday</v>
      </c>
      <c r="H35" t="str" cm="1">
        <f t="array" ref="H35">_xlfn.SWITCH(Sheet5!D35, 1, "Clear Sky", 2, "Mist", 3, "Dark Cloud",4,"Heavy Rainfall")</f>
        <v>Mist</v>
      </c>
      <c r="I35" s="26">
        <f>Sheet5!E35*41</f>
        <v>14.76</v>
      </c>
      <c r="J35" s="27">
        <v>0.81</v>
      </c>
      <c r="K35">
        <v>0.22389999999999999</v>
      </c>
      <c r="L35">
        <v>7</v>
      </c>
      <c r="M35">
        <v>46</v>
      </c>
      <c r="N35">
        <v>53</v>
      </c>
    </row>
    <row r="36" spans="1:14" x14ac:dyDescent="0.3">
      <c r="A36">
        <v>35</v>
      </c>
      <c r="B36" s="21">
        <v>40545</v>
      </c>
      <c r="C36" s="25" t="s">
        <v>16</v>
      </c>
      <c r="D36" s="25" t="str" cm="1">
        <f t="array" ref="D36">_xlfn.SWITCH(Sheet5!A36,1,"JANUARY",2,"FEBRUARY")</f>
        <v>JANUARY</v>
      </c>
      <c r="E36">
        <v>11</v>
      </c>
      <c r="F36" t="str" cm="1">
        <f t="array" ref="F36">_xlfn.SWITCH(Sheet5!C36,FALSE,"NO",TRUE,"YES")</f>
        <v>NO</v>
      </c>
      <c r="G36" t="str" cm="1">
        <f t="array" ref="G36">_xlfn.SWITCH(Sheet5!B36,0,"Sunday",1,"Monday",2,"Tuesday",3,"Wednesday",4,"Thursday",5,"Friday",6,"Saturday")</f>
        <v>Sunday</v>
      </c>
      <c r="H36" t="str" cm="1">
        <f t="array" ref="H36">_xlfn.SWITCH(Sheet5!D36, 1, "Clear Sky", 2, "Mist", 3, "Dark Cloud",4,"Heavy Rainfall")</f>
        <v>Mist</v>
      </c>
      <c r="I36" s="26">
        <f>Sheet5!E36*41</f>
        <v>14.76</v>
      </c>
      <c r="J36" s="27">
        <v>0.71</v>
      </c>
      <c r="K36">
        <v>0.25369999999999998</v>
      </c>
      <c r="L36">
        <v>16</v>
      </c>
      <c r="M36">
        <v>54</v>
      </c>
      <c r="N36">
        <v>70</v>
      </c>
    </row>
    <row r="37" spans="1:14" x14ac:dyDescent="0.3">
      <c r="A37">
        <v>36</v>
      </c>
      <c r="B37" s="21">
        <v>40545</v>
      </c>
      <c r="C37" s="25" t="s">
        <v>16</v>
      </c>
      <c r="D37" s="25" t="str" cm="1">
        <f t="array" ref="D37">_xlfn.SWITCH(Sheet5!A37,1,"JANUARY",2,"FEBRUARY")</f>
        <v>JANUARY</v>
      </c>
      <c r="E37">
        <v>12</v>
      </c>
      <c r="F37" t="str" cm="1">
        <f t="array" ref="F37">_xlfn.SWITCH(Sheet5!C37,FALSE,"NO",TRUE,"YES")</f>
        <v>NO</v>
      </c>
      <c r="G37" t="str" cm="1">
        <f t="array" ref="G37">_xlfn.SWITCH(Sheet5!B37,0,"Sunday",1,"Monday",2,"Tuesday",3,"Wednesday",4,"Thursday",5,"Friday",6,"Saturday")</f>
        <v>Sunday</v>
      </c>
      <c r="H37" t="str" cm="1">
        <f t="array" ref="H37">_xlfn.SWITCH(Sheet5!D37, 1, "Clear Sky", 2, "Mist", 3, "Dark Cloud",4,"Heavy Rainfall")</f>
        <v>Mist</v>
      </c>
      <c r="I37" s="26">
        <f>Sheet5!E37*41</f>
        <v>14.76</v>
      </c>
      <c r="J37" s="27">
        <v>0.66</v>
      </c>
      <c r="K37">
        <v>0.29849999999999999</v>
      </c>
      <c r="L37">
        <v>20</v>
      </c>
      <c r="M37">
        <v>73</v>
      </c>
      <c r="N37">
        <v>93</v>
      </c>
    </row>
    <row r="38" spans="1:14" x14ac:dyDescent="0.3">
      <c r="A38">
        <v>37</v>
      </c>
      <c r="B38" s="21">
        <v>40545</v>
      </c>
      <c r="C38" s="25" t="s">
        <v>16</v>
      </c>
      <c r="D38" s="25" t="str" cm="1">
        <f t="array" ref="D38">_xlfn.SWITCH(Sheet5!A38,1,"JANUARY",2,"FEBRUARY")</f>
        <v>JANUARY</v>
      </c>
      <c r="E38">
        <v>13</v>
      </c>
      <c r="F38" t="str" cm="1">
        <f t="array" ref="F38">_xlfn.SWITCH(Sheet5!C38,FALSE,"NO",TRUE,"YES")</f>
        <v>NO</v>
      </c>
      <c r="G38" t="str" cm="1">
        <f t="array" ref="G38">_xlfn.SWITCH(Sheet5!B38,0,"Sunday",1,"Monday",2,"Tuesday",3,"Wednesday",4,"Thursday",5,"Friday",6,"Saturday")</f>
        <v>Sunday</v>
      </c>
      <c r="H38" t="str" cm="1">
        <f t="array" ref="H38">_xlfn.SWITCH(Sheet5!D38, 1, "Clear Sky", 2, "Mist", 3, "Dark Cloud",4,"Heavy Rainfall")</f>
        <v>Mist</v>
      </c>
      <c r="I38" s="26">
        <f>Sheet5!E38*41</f>
        <v>14.76</v>
      </c>
      <c r="J38" s="27">
        <v>0.66</v>
      </c>
      <c r="K38">
        <v>0.1343</v>
      </c>
      <c r="L38">
        <v>11</v>
      </c>
      <c r="M38">
        <v>64</v>
      </c>
      <c r="N38">
        <v>75</v>
      </c>
    </row>
    <row r="39" spans="1:14" x14ac:dyDescent="0.3">
      <c r="A39">
        <v>38</v>
      </c>
      <c r="B39" s="21">
        <v>40545</v>
      </c>
      <c r="C39" s="25" t="s">
        <v>16</v>
      </c>
      <c r="D39" s="25" t="str" cm="1">
        <f t="array" ref="D39">_xlfn.SWITCH(Sheet5!A39,1,"JANUARY",2,"FEBRUARY")</f>
        <v>JANUARY</v>
      </c>
      <c r="E39">
        <v>14</v>
      </c>
      <c r="F39" t="str" cm="1">
        <f t="array" ref="F39">_xlfn.SWITCH(Sheet5!C39,FALSE,"NO",TRUE,"YES")</f>
        <v>NO</v>
      </c>
      <c r="G39" t="str" cm="1">
        <f t="array" ref="G39">_xlfn.SWITCH(Sheet5!B39,0,"Sunday",1,"Monday",2,"Tuesday",3,"Wednesday",4,"Thursday",5,"Friday",6,"Saturday")</f>
        <v>Sunday</v>
      </c>
      <c r="H39" t="str" cm="1">
        <f t="array" ref="H39">_xlfn.SWITCH(Sheet5!D39, 1, "Clear Sky", 2, "Mist", 3, "Dark Cloud",4,"Heavy Rainfall")</f>
        <v>Dark Cloud</v>
      </c>
      <c r="I39" s="26">
        <f>Sheet5!E39*41</f>
        <v>14.76</v>
      </c>
      <c r="J39" s="27">
        <v>0.76</v>
      </c>
      <c r="K39">
        <v>0.19400000000000001</v>
      </c>
      <c r="L39">
        <v>4</v>
      </c>
      <c r="M39">
        <v>55</v>
      </c>
      <c r="N39">
        <v>59</v>
      </c>
    </row>
    <row r="40" spans="1:14" x14ac:dyDescent="0.3">
      <c r="A40">
        <v>39</v>
      </c>
      <c r="B40" s="21">
        <v>40545</v>
      </c>
      <c r="C40" s="25" t="s">
        <v>16</v>
      </c>
      <c r="D40" s="25" t="str" cm="1">
        <f t="array" ref="D40">_xlfn.SWITCH(Sheet5!A40,1,"JANUARY",2,"FEBRUARY")</f>
        <v>JANUARY</v>
      </c>
      <c r="E40">
        <v>15</v>
      </c>
      <c r="F40" t="str" cm="1">
        <f t="array" ref="F40">_xlfn.SWITCH(Sheet5!C40,FALSE,"NO",TRUE,"YES")</f>
        <v>NO</v>
      </c>
      <c r="G40" t="str" cm="1">
        <f t="array" ref="G40">_xlfn.SWITCH(Sheet5!B40,0,"Sunday",1,"Monday",2,"Tuesday",3,"Wednesday",4,"Thursday",5,"Friday",6,"Saturday")</f>
        <v>Sunday</v>
      </c>
      <c r="H40" t="str" cm="1">
        <f t="array" ref="H40">_xlfn.SWITCH(Sheet5!D40, 1, "Clear Sky", 2, "Mist", 3, "Dark Cloud",4,"Heavy Rainfall")</f>
        <v>Dark Cloud</v>
      </c>
      <c r="I40" s="26">
        <f>Sheet5!E40*41</f>
        <v>13.940000000000001</v>
      </c>
      <c r="J40" s="27">
        <v>0.81</v>
      </c>
      <c r="K40">
        <v>0.16420000000000001</v>
      </c>
      <c r="L40">
        <v>19</v>
      </c>
      <c r="M40">
        <v>55</v>
      </c>
      <c r="N40">
        <v>74</v>
      </c>
    </row>
    <row r="41" spans="1:14" x14ac:dyDescent="0.3">
      <c r="A41">
        <v>40</v>
      </c>
      <c r="B41" s="21">
        <v>40545</v>
      </c>
      <c r="C41" s="25" t="s">
        <v>16</v>
      </c>
      <c r="D41" s="25" t="str" cm="1">
        <f t="array" ref="D41">_xlfn.SWITCH(Sheet5!A41,1,"JANUARY",2,"FEBRUARY")</f>
        <v>JANUARY</v>
      </c>
      <c r="E41">
        <v>16</v>
      </c>
      <c r="F41" t="str" cm="1">
        <f t="array" ref="F41">_xlfn.SWITCH(Sheet5!C41,FALSE,"NO",TRUE,"YES")</f>
        <v>NO</v>
      </c>
      <c r="G41" t="str" cm="1">
        <f t="array" ref="G41">_xlfn.SWITCH(Sheet5!B41,0,"Sunday",1,"Monday",2,"Tuesday",3,"Wednesday",4,"Thursday",5,"Friday",6,"Saturday")</f>
        <v>Sunday</v>
      </c>
      <c r="H41" t="str" cm="1">
        <f t="array" ref="H41">_xlfn.SWITCH(Sheet5!D41, 1, "Clear Sky", 2, "Mist", 3, "Dark Cloud",4,"Heavy Rainfall")</f>
        <v>Dark Cloud</v>
      </c>
      <c r="I41" s="26">
        <f>Sheet5!E41*41</f>
        <v>13.940000000000001</v>
      </c>
      <c r="J41" s="27">
        <v>0.71</v>
      </c>
      <c r="K41">
        <v>0.16420000000000001</v>
      </c>
      <c r="L41">
        <v>9</v>
      </c>
      <c r="M41">
        <v>67</v>
      </c>
      <c r="N41">
        <v>76</v>
      </c>
    </row>
    <row r="42" spans="1:14" x14ac:dyDescent="0.3">
      <c r="A42">
        <v>41</v>
      </c>
      <c r="B42" s="21">
        <v>40545</v>
      </c>
      <c r="C42" s="25" t="s">
        <v>16</v>
      </c>
      <c r="D42" s="25" t="str" cm="1">
        <f t="array" ref="D42">_xlfn.SWITCH(Sheet5!A42,1,"JANUARY",2,"FEBRUARY")</f>
        <v>JANUARY</v>
      </c>
      <c r="E42">
        <v>17</v>
      </c>
      <c r="F42" t="str" cm="1">
        <f t="array" ref="F42">_xlfn.SWITCH(Sheet5!C42,FALSE,"NO",TRUE,"YES")</f>
        <v>NO</v>
      </c>
      <c r="G42" t="str" cm="1">
        <f t="array" ref="G42">_xlfn.SWITCH(Sheet5!B42,0,"Sunday",1,"Monday",2,"Tuesday",3,"Wednesday",4,"Thursday",5,"Friday",6,"Saturday")</f>
        <v>Sunday</v>
      </c>
      <c r="H42" t="str" cm="1">
        <f t="array" ref="H42">_xlfn.SWITCH(Sheet5!D42, 1, "Clear Sky", 2, "Mist", 3, "Dark Cloud",4,"Heavy Rainfall")</f>
        <v>Clear Sky</v>
      </c>
      <c r="I42" s="26">
        <f>Sheet5!E42*41</f>
        <v>13.940000000000001</v>
      </c>
      <c r="J42" s="27">
        <v>0.56999999999999995</v>
      </c>
      <c r="K42">
        <v>0.19400000000000001</v>
      </c>
      <c r="L42">
        <v>7</v>
      </c>
      <c r="M42">
        <v>58</v>
      </c>
      <c r="N42">
        <v>65</v>
      </c>
    </row>
    <row r="43" spans="1:14" x14ac:dyDescent="0.3">
      <c r="A43">
        <v>42</v>
      </c>
      <c r="B43" s="21">
        <v>40545</v>
      </c>
      <c r="C43" s="25" t="s">
        <v>16</v>
      </c>
      <c r="D43" s="25" t="str" cm="1">
        <f t="array" ref="D43">_xlfn.SWITCH(Sheet5!A43,1,"JANUARY",2,"FEBRUARY")</f>
        <v>JANUARY</v>
      </c>
      <c r="E43">
        <v>18</v>
      </c>
      <c r="F43" t="str" cm="1">
        <f t="array" ref="F43">_xlfn.SWITCH(Sheet5!C43,FALSE,"NO",TRUE,"YES")</f>
        <v>NO</v>
      </c>
      <c r="G43" t="str" cm="1">
        <f t="array" ref="G43">_xlfn.SWITCH(Sheet5!B43,0,"Sunday",1,"Monday",2,"Tuesday",3,"Wednesday",4,"Thursday",5,"Friday",6,"Saturday")</f>
        <v>Sunday</v>
      </c>
      <c r="H43" t="str" cm="1">
        <f t="array" ref="H43">_xlfn.SWITCH(Sheet5!D43, 1, "Clear Sky", 2, "Mist", 3, "Dark Cloud",4,"Heavy Rainfall")</f>
        <v>Mist</v>
      </c>
      <c r="I43" s="26">
        <f>Sheet5!E43*41</f>
        <v>14.76</v>
      </c>
      <c r="J43" s="27">
        <v>0.46</v>
      </c>
      <c r="K43">
        <v>0.32840000000000003</v>
      </c>
      <c r="L43">
        <v>10</v>
      </c>
      <c r="M43">
        <v>43</v>
      </c>
      <c r="N43">
        <v>53</v>
      </c>
    </row>
    <row r="44" spans="1:14" x14ac:dyDescent="0.3">
      <c r="A44">
        <v>43</v>
      </c>
      <c r="B44" s="21">
        <v>40545</v>
      </c>
      <c r="C44" s="25" t="s">
        <v>16</v>
      </c>
      <c r="D44" s="25" t="str" cm="1">
        <f t="array" ref="D44">_xlfn.SWITCH(Sheet5!A44,1,"JANUARY",2,"FEBRUARY")</f>
        <v>JANUARY</v>
      </c>
      <c r="E44">
        <v>19</v>
      </c>
      <c r="F44" t="str" cm="1">
        <f t="array" ref="F44">_xlfn.SWITCH(Sheet5!C44,FALSE,"NO",TRUE,"YES")</f>
        <v>NO</v>
      </c>
      <c r="G44" t="str" cm="1">
        <f t="array" ref="G44">_xlfn.SWITCH(Sheet5!B44,0,"Sunday",1,"Monday",2,"Tuesday",3,"Wednesday",4,"Thursday",5,"Friday",6,"Saturday")</f>
        <v>Sunday</v>
      </c>
      <c r="H44" t="str" cm="1">
        <f t="array" ref="H44">_xlfn.SWITCH(Sheet5!D44, 1, "Clear Sky", 2, "Mist", 3, "Dark Cloud",4,"Heavy Rainfall")</f>
        <v>Clear Sky</v>
      </c>
      <c r="I44" s="26">
        <f>Sheet5!E44*41</f>
        <v>13.120000000000001</v>
      </c>
      <c r="J44" s="27">
        <v>0.42</v>
      </c>
      <c r="K44">
        <v>0.44779999999999998</v>
      </c>
      <c r="L44">
        <v>1</v>
      </c>
      <c r="M44">
        <v>29</v>
      </c>
      <c r="N44">
        <v>30</v>
      </c>
    </row>
    <row r="45" spans="1:14" x14ac:dyDescent="0.3">
      <c r="A45">
        <v>44</v>
      </c>
      <c r="B45" s="21">
        <v>40545</v>
      </c>
      <c r="C45" s="25" t="s">
        <v>16</v>
      </c>
      <c r="D45" s="25" t="str" cm="1">
        <f t="array" ref="D45">_xlfn.SWITCH(Sheet5!A45,1,"JANUARY",2,"FEBRUARY")</f>
        <v>JANUARY</v>
      </c>
      <c r="E45">
        <v>20</v>
      </c>
      <c r="F45" t="str" cm="1">
        <f t="array" ref="F45">_xlfn.SWITCH(Sheet5!C45,FALSE,"NO",TRUE,"YES")</f>
        <v>NO</v>
      </c>
      <c r="G45" t="str" cm="1">
        <f t="array" ref="G45">_xlfn.SWITCH(Sheet5!B45,0,"Sunday",1,"Monday",2,"Tuesday",3,"Wednesday",4,"Thursday",5,"Friday",6,"Saturday")</f>
        <v>Sunday</v>
      </c>
      <c r="H45" t="str" cm="1">
        <f t="array" ref="H45">_xlfn.SWITCH(Sheet5!D45, 1, "Clear Sky", 2, "Mist", 3, "Dark Cloud",4,"Heavy Rainfall")</f>
        <v>Clear Sky</v>
      </c>
      <c r="I45" s="26">
        <f>Sheet5!E45*41</f>
        <v>12.299999999999999</v>
      </c>
      <c r="J45" s="27">
        <v>0.39</v>
      </c>
      <c r="K45">
        <v>0.35820000000000002</v>
      </c>
      <c r="L45">
        <v>5</v>
      </c>
      <c r="M45">
        <v>17</v>
      </c>
      <c r="N45">
        <v>22</v>
      </c>
    </row>
    <row r="46" spans="1:14" x14ac:dyDescent="0.3">
      <c r="A46">
        <v>45</v>
      </c>
      <c r="B46" s="21">
        <v>40545</v>
      </c>
      <c r="C46" s="25" t="s">
        <v>16</v>
      </c>
      <c r="D46" s="25" t="str" cm="1">
        <f t="array" ref="D46">_xlfn.SWITCH(Sheet5!A46,1,"JANUARY",2,"FEBRUARY")</f>
        <v>JANUARY</v>
      </c>
      <c r="E46">
        <v>21</v>
      </c>
      <c r="F46" t="str" cm="1">
        <f t="array" ref="F46">_xlfn.SWITCH(Sheet5!C46,FALSE,"NO",TRUE,"YES")</f>
        <v>NO</v>
      </c>
      <c r="G46" t="str" cm="1">
        <f t="array" ref="G46">_xlfn.SWITCH(Sheet5!B46,0,"Sunday",1,"Monday",2,"Tuesday",3,"Wednesday",4,"Thursday",5,"Friday",6,"Saturday")</f>
        <v>Sunday</v>
      </c>
      <c r="H46" t="str" cm="1">
        <f t="array" ref="H46">_xlfn.SWITCH(Sheet5!D46, 1, "Clear Sky", 2, "Mist", 3, "Dark Cloud",4,"Heavy Rainfall")</f>
        <v>Clear Sky</v>
      </c>
      <c r="I46" s="26">
        <f>Sheet5!E46*41</f>
        <v>10.66</v>
      </c>
      <c r="J46" s="27">
        <v>0.44</v>
      </c>
      <c r="K46">
        <v>0.32840000000000003</v>
      </c>
      <c r="L46">
        <v>11</v>
      </c>
      <c r="M46">
        <v>20</v>
      </c>
      <c r="N46">
        <v>31</v>
      </c>
    </row>
    <row r="47" spans="1:14" x14ac:dyDescent="0.3">
      <c r="A47">
        <v>46</v>
      </c>
      <c r="B47" s="21">
        <v>40545</v>
      </c>
      <c r="C47" s="25" t="s">
        <v>16</v>
      </c>
      <c r="D47" s="25" t="str" cm="1">
        <f t="array" ref="D47">_xlfn.SWITCH(Sheet5!A47,1,"JANUARY",2,"FEBRUARY")</f>
        <v>JANUARY</v>
      </c>
      <c r="E47">
        <v>22</v>
      </c>
      <c r="F47" t="str" cm="1">
        <f t="array" ref="F47">_xlfn.SWITCH(Sheet5!C47,FALSE,"NO",TRUE,"YES")</f>
        <v>NO</v>
      </c>
      <c r="G47" t="str" cm="1">
        <f t="array" ref="G47">_xlfn.SWITCH(Sheet5!B47,0,"Sunday",1,"Monday",2,"Tuesday",3,"Wednesday",4,"Thursday",5,"Friday",6,"Saturday")</f>
        <v>Sunday</v>
      </c>
      <c r="H47" t="str" cm="1">
        <f t="array" ref="H47">_xlfn.SWITCH(Sheet5!D47, 1, "Clear Sky", 2, "Mist", 3, "Dark Cloud",4,"Heavy Rainfall")</f>
        <v>Clear Sky</v>
      </c>
      <c r="I47" s="26">
        <f>Sheet5!E47*41</f>
        <v>9.84</v>
      </c>
      <c r="J47" s="27">
        <v>0.44</v>
      </c>
      <c r="K47">
        <v>0.29849999999999999</v>
      </c>
      <c r="L47">
        <v>0</v>
      </c>
      <c r="M47">
        <v>9</v>
      </c>
      <c r="N47">
        <v>9</v>
      </c>
    </row>
    <row r="48" spans="1:14" x14ac:dyDescent="0.3">
      <c r="A48">
        <v>47</v>
      </c>
      <c r="B48" s="21">
        <v>40545</v>
      </c>
      <c r="C48" s="25" t="s">
        <v>16</v>
      </c>
      <c r="D48" s="25" t="str" cm="1">
        <f t="array" ref="D48">_xlfn.SWITCH(Sheet5!A48,1,"JANUARY",2,"FEBRUARY")</f>
        <v>JANUARY</v>
      </c>
      <c r="E48">
        <v>23</v>
      </c>
      <c r="F48" t="str" cm="1">
        <f t="array" ref="F48">_xlfn.SWITCH(Sheet5!C48,FALSE,"NO",TRUE,"YES")</f>
        <v>NO</v>
      </c>
      <c r="G48" t="str" cm="1">
        <f t="array" ref="G48">_xlfn.SWITCH(Sheet5!B48,0,"Sunday",1,"Monday",2,"Tuesday",3,"Wednesday",4,"Thursday",5,"Friday",6,"Saturday")</f>
        <v>Sunday</v>
      </c>
      <c r="H48" t="str" cm="1">
        <f t="array" ref="H48">_xlfn.SWITCH(Sheet5!D48, 1, "Clear Sky", 2, "Mist", 3, "Dark Cloud",4,"Heavy Rainfall")</f>
        <v>Clear Sky</v>
      </c>
      <c r="I48" s="26">
        <f>Sheet5!E48*41</f>
        <v>9.02</v>
      </c>
      <c r="J48" s="27">
        <v>0.47</v>
      </c>
      <c r="K48">
        <v>0.16420000000000001</v>
      </c>
      <c r="L48">
        <v>0</v>
      </c>
      <c r="M48">
        <v>8</v>
      </c>
      <c r="N48">
        <v>8</v>
      </c>
    </row>
    <row r="49" spans="1:14" x14ac:dyDescent="0.3">
      <c r="A49">
        <v>48</v>
      </c>
      <c r="B49" s="21">
        <v>40546</v>
      </c>
      <c r="C49" s="25" t="s">
        <v>16</v>
      </c>
      <c r="D49" s="25" t="str" cm="1">
        <f t="array" ref="D49">_xlfn.SWITCH(Sheet5!A49,1,"JANUARY",2,"FEBRUARY")</f>
        <v>JANUARY</v>
      </c>
      <c r="E49">
        <v>0</v>
      </c>
      <c r="F49" t="str" cm="1">
        <f t="array" ref="F49">_xlfn.SWITCH(Sheet5!C49,FALSE,"NO",TRUE,"YES")</f>
        <v>NO</v>
      </c>
      <c r="G49" t="str" cm="1">
        <f t="array" ref="G49">_xlfn.SWITCH(Sheet5!B49,0,"Sunday",1,"Monday",2,"Tuesday",3,"Wednesday",4,"Thursday",5,"Friday",6,"Saturday")</f>
        <v>Monday</v>
      </c>
      <c r="H49" t="str" cm="1">
        <f t="array" ref="H49">_xlfn.SWITCH(Sheet5!D49, 1, "Clear Sky", 2, "Mist", 3, "Dark Cloud",4,"Heavy Rainfall")</f>
        <v>Clear Sky</v>
      </c>
      <c r="I49" s="26">
        <f>Sheet5!E49*41</f>
        <v>9.02</v>
      </c>
      <c r="J49" s="27">
        <v>0.44</v>
      </c>
      <c r="K49">
        <v>0.35820000000000002</v>
      </c>
      <c r="L49">
        <v>0</v>
      </c>
      <c r="M49">
        <v>5</v>
      </c>
      <c r="N49">
        <v>5</v>
      </c>
    </row>
    <row r="50" spans="1:14" x14ac:dyDescent="0.3">
      <c r="A50">
        <v>49</v>
      </c>
      <c r="B50" s="21">
        <v>40546</v>
      </c>
      <c r="C50" s="25" t="s">
        <v>16</v>
      </c>
      <c r="D50" s="25" t="str" cm="1">
        <f t="array" ref="D50">_xlfn.SWITCH(Sheet5!A50,1,"JANUARY",2,"FEBRUARY")</f>
        <v>JANUARY</v>
      </c>
      <c r="E50">
        <v>1</v>
      </c>
      <c r="F50" t="str" cm="1">
        <f t="array" ref="F50">_xlfn.SWITCH(Sheet5!C50,FALSE,"NO",TRUE,"YES")</f>
        <v>NO</v>
      </c>
      <c r="G50" t="str" cm="1">
        <f t="array" ref="G50">_xlfn.SWITCH(Sheet5!B50,0,"Sunday",1,"Monday",2,"Tuesday",3,"Wednesday",4,"Thursday",5,"Friday",6,"Saturday")</f>
        <v>Monday</v>
      </c>
      <c r="H50" t="str" cm="1">
        <f t="array" ref="H50">_xlfn.SWITCH(Sheet5!D50, 1, "Clear Sky", 2, "Mist", 3, "Dark Cloud",4,"Heavy Rainfall")</f>
        <v>Clear Sky</v>
      </c>
      <c r="I50" s="26">
        <f>Sheet5!E50*41</f>
        <v>8.2000000000000011</v>
      </c>
      <c r="J50" s="27">
        <v>0.44</v>
      </c>
      <c r="K50">
        <v>0.41789999999999999</v>
      </c>
      <c r="L50">
        <v>0</v>
      </c>
      <c r="M50">
        <v>2</v>
      </c>
      <c r="N50">
        <v>2</v>
      </c>
    </row>
    <row r="51" spans="1:14" x14ac:dyDescent="0.3">
      <c r="A51">
        <v>50</v>
      </c>
      <c r="B51" s="21">
        <v>40546</v>
      </c>
      <c r="C51" s="25" t="s">
        <v>16</v>
      </c>
      <c r="D51" s="25" t="str" cm="1">
        <f t="array" ref="D51">_xlfn.SWITCH(Sheet5!A51,1,"JANUARY",2,"FEBRUARY")</f>
        <v>JANUARY</v>
      </c>
      <c r="E51">
        <v>4</v>
      </c>
      <c r="F51" t="str" cm="1">
        <f t="array" ref="F51">_xlfn.SWITCH(Sheet5!C51,FALSE,"NO",TRUE,"YES")</f>
        <v>NO</v>
      </c>
      <c r="G51" t="str" cm="1">
        <f t="array" ref="G51">_xlfn.SWITCH(Sheet5!B51,0,"Sunday",1,"Monday",2,"Tuesday",3,"Wednesday",4,"Thursday",5,"Friday",6,"Saturday")</f>
        <v>Monday</v>
      </c>
      <c r="H51" t="str" cm="1">
        <f t="array" ref="H51">_xlfn.SWITCH(Sheet5!D51, 1, "Clear Sky", 2, "Mist", 3, "Dark Cloud",4,"Heavy Rainfall")</f>
        <v>Clear Sky</v>
      </c>
      <c r="I51" s="26">
        <f>Sheet5!E51*41</f>
        <v>6.5600000000000005</v>
      </c>
      <c r="J51" s="27">
        <v>0.47</v>
      </c>
      <c r="K51">
        <v>0.3881</v>
      </c>
      <c r="L51">
        <v>0</v>
      </c>
      <c r="M51">
        <v>1</v>
      </c>
      <c r="N51">
        <v>1</v>
      </c>
    </row>
    <row r="52" spans="1:14" x14ac:dyDescent="0.3">
      <c r="A52">
        <v>51</v>
      </c>
      <c r="B52" s="21">
        <v>40546</v>
      </c>
      <c r="C52" s="25" t="s">
        <v>16</v>
      </c>
      <c r="D52" s="25" t="str" cm="1">
        <f t="array" ref="D52">_xlfn.SWITCH(Sheet5!A52,1,"JANUARY",2,"FEBRUARY")</f>
        <v>JANUARY</v>
      </c>
      <c r="E52">
        <v>5</v>
      </c>
      <c r="F52" t="str" cm="1">
        <f t="array" ref="F52">_xlfn.SWITCH(Sheet5!C52,FALSE,"NO",TRUE,"YES")</f>
        <v>NO</v>
      </c>
      <c r="G52" t="str" cm="1">
        <f t="array" ref="G52">_xlfn.SWITCH(Sheet5!B52,0,"Sunday",1,"Monday",2,"Tuesday",3,"Wednesday",4,"Thursday",5,"Friday",6,"Saturday")</f>
        <v>Monday</v>
      </c>
      <c r="H52" t="str" cm="1">
        <f t="array" ref="H52">_xlfn.SWITCH(Sheet5!D52, 1, "Clear Sky", 2, "Mist", 3, "Dark Cloud",4,"Heavy Rainfall")</f>
        <v>Clear Sky</v>
      </c>
      <c r="I52" s="26">
        <f>Sheet5!E52*41</f>
        <v>6.5600000000000005</v>
      </c>
      <c r="J52" s="27">
        <v>0.47</v>
      </c>
      <c r="K52">
        <v>0.28360000000000002</v>
      </c>
      <c r="L52">
        <v>0</v>
      </c>
      <c r="M52">
        <v>3</v>
      </c>
      <c r="N52">
        <v>3</v>
      </c>
    </row>
    <row r="53" spans="1:14" x14ac:dyDescent="0.3">
      <c r="A53">
        <v>52</v>
      </c>
      <c r="B53" s="21">
        <v>40546</v>
      </c>
      <c r="C53" s="25" t="s">
        <v>16</v>
      </c>
      <c r="D53" s="25" t="str" cm="1">
        <f t="array" ref="D53">_xlfn.SWITCH(Sheet5!A53,1,"JANUARY",2,"FEBRUARY")</f>
        <v>JANUARY</v>
      </c>
      <c r="E53">
        <v>6</v>
      </c>
      <c r="F53" t="str" cm="1">
        <f t="array" ref="F53">_xlfn.SWITCH(Sheet5!C53,FALSE,"NO",TRUE,"YES")</f>
        <v>NO</v>
      </c>
      <c r="G53" t="str" cm="1">
        <f t="array" ref="G53">_xlfn.SWITCH(Sheet5!B53,0,"Sunday",1,"Monday",2,"Tuesday",3,"Wednesday",4,"Thursday",5,"Friday",6,"Saturday")</f>
        <v>Monday</v>
      </c>
      <c r="H53" t="str" cm="1">
        <f t="array" ref="H53">_xlfn.SWITCH(Sheet5!D53, 1, "Clear Sky", 2, "Mist", 3, "Dark Cloud",4,"Heavy Rainfall")</f>
        <v>Clear Sky</v>
      </c>
      <c r="I53" s="26">
        <f>Sheet5!E53*41</f>
        <v>5.74</v>
      </c>
      <c r="J53" s="27">
        <v>0.5</v>
      </c>
      <c r="K53">
        <v>0.3881</v>
      </c>
      <c r="L53">
        <v>0</v>
      </c>
      <c r="M53">
        <v>30</v>
      </c>
      <c r="N53">
        <v>30</v>
      </c>
    </row>
    <row r="54" spans="1:14" x14ac:dyDescent="0.3">
      <c r="A54">
        <v>53</v>
      </c>
      <c r="B54" s="21">
        <v>40546</v>
      </c>
      <c r="C54" s="25" t="s">
        <v>16</v>
      </c>
      <c r="D54" s="25" t="str" cm="1">
        <f t="array" ref="D54">_xlfn.SWITCH(Sheet5!A54,1,"JANUARY",2,"FEBRUARY")</f>
        <v>JANUARY</v>
      </c>
      <c r="E54">
        <v>7</v>
      </c>
      <c r="F54" t="str" cm="1">
        <f t="array" ref="F54">_xlfn.SWITCH(Sheet5!C54,FALSE,"NO",TRUE,"YES")</f>
        <v>NO</v>
      </c>
      <c r="G54" t="str" cm="1">
        <f t="array" ref="G54">_xlfn.SWITCH(Sheet5!B54,0,"Sunday",1,"Monday",2,"Tuesday",3,"Wednesday",4,"Thursday",5,"Friday",6,"Saturday")</f>
        <v>Monday</v>
      </c>
      <c r="H54" t="str" cm="1">
        <f t="array" ref="H54">_xlfn.SWITCH(Sheet5!D54, 1, "Clear Sky", 2, "Mist", 3, "Dark Cloud",4,"Heavy Rainfall")</f>
        <v>Clear Sky</v>
      </c>
      <c r="I54" s="26">
        <f>Sheet5!E54*41</f>
        <v>5.74</v>
      </c>
      <c r="J54" s="27">
        <v>0.5</v>
      </c>
      <c r="K54">
        <v>0.19400000000000001</v>
      </c>
      <c r="L54">
        <v>1</v>
      </c>
      <c r="M54">
        <v>63</v>
      </c>
      <c r="N54">
        <v>64</v>
      </c>
    </row>
    <row r="55" spans="1:14" x14ac:dyDescent="0.3">
      <c r="A55">
        <v>54</v>
      </c>
      <c r="B55" s="21">
        <v>40546</v>
      </c>
      <c r="C55" s="25" t="s">
        <v>16</v>
      </c>
      <c r="D55" s="25" t="str" cm="1">
        <f t="array" ref="D55">_xlfn.SWITCH(Sheet5!A55,1,"JANUARY",2,"FEBRUARY")</f>
        <v>JANUARY</v>
      </c>
      <c r="E55">
        <v>8</v>
      </c>
      <c r="F55" t="str" cm="1">
        <f t="array" ref="F55">_xlfn.SWITCH(Sheet5!C55,FALSE,"NO",TRUE,"YES")</f>
        <v>NO</v>
      </c>
      <c r="G55" t="str" cm="1">
        <f t="array" ref="G55">_xlfn.SWITCH(Sheet5!B55,0,"Sunday",1,"Monday",2,"Tuesday",3,"Wednesday",4,"Thursday",5,"Friday",6,"Saturday")</f>
        <v>Monday</v>
      </c>
      <c r="H55" t="str" cm="1">
        <f t="array" ref="H55">_xlfn.SWITCH(Sheet5!D55, 1, "Clear Sky", 2, "Mist", 3, "Dark Cloud",4,"Heavy Rainfall")</f>
        <v>Clear Sky</v>
      </c>
      <c r="I55" s="26">
        <f>Sheet5!E55*41</f>
        <v>5.74</v>
      </c>
      <c r="J55" s="27">
        <v>0.5</v>
      </c>
      <c r="K55">
        <v>0.28360000000000002</v>
      </c>
      <c r="L55">
        <v>1</v>
      </c>
      <c r="M55">
        <v>153</v>
      </c>
      <c r="N55">
        <v>154</v>
      </c>
    </row>
    <row r="56" spans="1:14" x14ac:dyDescent="0.3">
      <c r="A56">
        <v>55</v>
      </c>
      <c r="B56" s="21">
        <v>40546</v>
      </c>
      <c r="C56" s="25" t="s">
        <v>16</v>
      </c>
      <c r="D56" s="25" t="str" cm="1">
        <f t="array" ref="D56">_xlfn.SWITCH(Sheet5!A56,1,"JANUARY",2,"FEBRUARY")</f>
        <v>JANUARY</v>
      </c>
      <c r="E56">
        <v>9</v>
      </c>
      <c r="F56" t="str" cm="1">
        <f t="array" ref="F56">_xlfn.SWITCH(Sheet5!C56,FALSE,"NO",TRUE,"YES")</f>
        <v>NO</v>
      </c>
      <c r="G56" t="str" cm="1">
        <f t="array" ref="G56">_xlfn.SWITCH(Sheet5!B56,0,"Sunday",1,"Monday",2,"Tuesday",3,"Wednesday",4,"Thursday",5,"Friday",6,"Saturday")</f>
        <v>Monday</v>
      </c>
      <c r="H56" t="str" cm="1">
        <f t="array" ref="H56">_xlfn.SWITCH(Sheet5!D56, 1, "Clear Sky", 2, "Mist", 3, "Dark Cloud",4,"Heavy Rainfall")</f>
        <v>Clear Sky</v>
      </c>
      <c r="I56" s="26">
        <f>Sheet5!E56*41</f>
        <v>6.5600000000000005</v>
      </c>
      <c r="J56" s="27">
        <v>0.43</v>
      </c>
      <c r="K56">
        <v>0.3881</v>
      </c>
      <c r="L56">
        <v>7</v>
      </c>
      <c r="M56">
        <v>81</v>
      </c>
      <c r="N56">
        <v>88</v>
      </c>
    </row>
    <row r="57" spans="1:14" x14ac:dyDescent="0.3">
      <c r="A57">
        <v>56</v>
      </c>
      <c r="B57" s="21">
        <v>40546</v>
      </c>
      <c r="C57" s="25" t="s">
        <v>16</v>
      </c>
      <c r="D57" s="25" t="str" cm="1">
        <f t="array" ref="D57">_xlfn.SWITCH(Sheet5!A57,1,"JANUARY",2,"FEBRUARY")</f>
        <v>JANUARY</v>
      </c>
      <c r="E57">
        <v>10</v>
      </c>
      <c r="F57" t="str" cm="1">
        <f t="array" ref="F57">_xlfn.SWITCH(Sheet5!C57,FALSE,"NO",TRUE,"YES")</f>
        <v>NO</v>
      </c>
      <c r="G57" t="str" cm="1">
        <f t="array" ref="G57">_xlfn.SWITCH(Sheet5!B57,0,"Sunday",1,"Monday",2,"Tuesday",3,"Wednesday",4,"Thursday",5,"Friday",6,"Saturday")</f>
        <v>Monday</v>
      </c>
      <c r="H57" t="str" cm="1">
        <f t="array" ref="H57">_xlfn.SWITCH(Sheet5!D57, 1, "Clear Sky", 2, "Mist", 3, "Dark Cloud",4,"Heavy Rainfall")</f>
        <v>Clear Sky</v>
      </c>
      <c r="I57" s="26">
        <f>Sheet5!E57*41</f>
        <v>7.38</v>
      </c>
      <c r="J57" s="27">
        <v>0.43</v>
      </c>
      <c r="K57">
        <v>0.25369999999999998</v>
      </c>
      <c r="L57">
        <v>11</v>
      </c>
      <c r="M57">
        <v>33</v>
      </c>
      <c r="N57">
        <v>44</v>
      </c>
    </row>
    <row r="58" spans="1:14" x14ac:dyDescent="0.3">
      <c r="A58">
        <v>57</v>
      </c>
      <c r="B58" s="21">
        <v>40546</v>
      </c>
      <c r="C58" s="25" t="s">
        <v>16</v>
      </c>
      <c r="D58" s="25" t="str" cm="1">
        <f t="array" ref="D58">_xlfn.SWITCH(Sheet5!A58,1,"JANUARY",2,"FEBRUARY")</f>
        <v>JANUARY</v>
      </c>
      <c r="E58">
        <v>11</v>
      </c>
      <c r="F58" t="str" cm="1">
        <f t="array" ref="F58">_xlfn.SWITCH(Sheet5!C58,FALSE,"NO",TRUE,"YES")</f>
        <v>NO</v>
      </c>
      <c r="G58" t="str" cm="1">
        <f t="array" ref="G58">_xlfn.SWITCH(Sheet5!B58,0,"Sunday",1,"Monday",2,"Tuesday",3,"Wednesday",4,"Thursday",5,"Friday",6,"Saturday")</f>
        <v>Monday</v>
      </c>
      <c r="H58" t="str" cm="1">
        <f t="array" ref="H58">_xlfn.SWITCH(Sheet5!D58, 1, "Clear Sky", 2, "Mist", 3, "Dark Cloud",4,"Heavy Rainfall")</f>
        <v>Clear Sky</v>
      </c>
      <c r="I58" s="26">
        <f>Sheet5!E58*41</f>
        <v>8.2000000000000011</v>
      </c>
      <c r="J58" s="27">
        <v>0.4</v>
      </c>
      <c r="K58">
        <v>0.32840000000000003</v>
      </c>
      <c r="L58">
        <v>10</v>
      </c>
      <c r="M58">
        <v>41</v>
      </c>
      <c r="N58">
        <v>51</v>
      </c>
    </row>
    <row r="59" spans="1:14" x14ac:dyDescent="0.3">
      <c r="A59">
        <v>58</v>
      </c>
      <c r="B59" s="21">
        <v>40546</v>
      </c>
      <c r="C59" s="25" t="s">
        <v>16</v>
      </c>
      <c r="D59" s="25" t="str" cm="1">
        <f t="array" ref="D59">_xlfn.SWITCH(Sheet5!A59,1,"JANUARY",2,"FEBRUARY")</f>
        <v>JANUARY</v>
      </c>
      <c r="E59">
        <v>12</v>
      </c>
      <c r="F59" t="str" cm="1">
        <f t="array" ref="F59">_xlfn.SWITCH(Sheet5!C59,FALSE,"NO",TRUE,"YES")</f>
        <v>NO</v>
      </c>
      <c r="G59" t="str" cm="1">
        <f t="array" ref="G59">_xlfn.SWITCH(Sheet5!B59,0,"Sunday",1,"Monday",2,"Tuesday",3,"Wednesday",4,"Thursday",5,"Friday",6,"Saturday")</f>
        <v>Monday</v>
      </c>
      <c r="H59" t="str" cm="1">
        <f t="array" ref="H59">_xlfn.SWITCH(Sheet5!D59, 1, "Clear Sky", 2, "Mist", 3, "Dark Cloud",4,"Heavy Rainfall")</f>
        <v>Clear Sky</v>
      </c>
      <c r="I59" s="26">
        <f>Sheet5!E59*41</f>
        <v>9.02</v>
      </c>
      <c r="J59" s="27">
        <v>0.35</v>
      </c>
      <c r="K59">
        <v>0.29849999999999999</v>
      </c>
      <c r="L59">
        <v>13</v>
      </c>
      <c r="M59">
        <v>48</v>
      </c>
      <c r="N59">
        <v>61</v>
      </c>
    </row>
    <row r="60" spans="1:14" x14ac:dyDescent="0.3">
      <c r="A60">
        <v>59</v>
      </c>
      <c r="B60" s="21">
        <v>40546</v>
      </c>
      <c r="C60" s="25" t="s">
        <v>16</v>
      </c>
      <c r="D60" s="25" t="str" cm="1">
        <f t="array" ref="D60">_xlfn.SWITCH(Sheet5!A60,1,"JANUARY",2,"FEBRUARY")</f>
        <v>JANUARY</v>
      </c>
      <c r="E60">
        <v>13</v>
      </c>
      <c r="F60" t="str" cm="1">
        <f t="array" ref="F60">_xlfn.SWITCH(Sheet5!C60,FALSE,"NO",TRUE,"YES")</f>
        <v>NO</v>
      </c>
      <c r="G60" t="str" cm="1">
        <f t="array" ref="G60">_xlfn.SWITCH(Sheet5!B60,0,"Sunday",1,"Monday",2,"Tuesday",3,"Wednesday",4,"Thursday",5,"Friday",6,"Saturday")</f>
        <v>Monday</v>
      </c>
      <c r="H60" t="str" cm="1">
        <f t="array" ref="H60">_xlfn.SWITCH(Sheet5!D60, 1, "Clear Sky", 2, "Mist", 3, "Dark Cloud",4,"Heavy Rainfall")</f>
        <v>Clear Sky</v>
      </c>
      <c r="I60" s="26">
        <f>Sheet5!E60*41</f>
        <v>9.84</v>
      </c>
      <c r="J60" s="27">
        <v>0.35</v>
      </c>
      <c r="K60">
        <v>0.28360000000000002</v>
      </c>
      <c r="L60">
        <v>8</v>
      </c>
      <c r="M60">
        <v>53</v>
      </c>
      <c r="N60">
        <v>61</v>
      </c>
    </row>
    <row r="61" spans="1:14" x14ac:dyDescent="0.3">
      <c r="A61">
        <v>60</v>
      </c>
      <c r="B61" s="21">
        <v>40546</v>
      </c>
      <c r="C61" s="25" t="s">
        <v>16</v>
      </c>
      <c r="D61" s="25" t="str" cm="1">
        <f t="array" ref="D61">_xlfn.SWITCH(Sheet5!A61,1,"JANUARY",2,"FEBRUARY")</f>
        <v>JANUARY</v>
      </c>
      <c r="E61">
        <v>14</v>
      </c>
      <c r="F61" t="str" cm="1">
        <f t="array" ref="F61">_xlfn.SWITCH(Sheet5!C61,FALSE,"NO",TRUE,"YES")</f>
        <v>NO</v>
      </c>
      <c r="G61" t="str" cm="1">
        <f t="array" ref="G61">_xlfn.SWITCH(Sheet5!B61,0,"Sunday",1,"Monday",2,"Tuesday",3,"Wednesday",4,"Thursday",5,"Friday",6,"Saturday")</f>
        <v>Monday</v>
      </c>
      <c r="H61" t="str" cm="1">
        <f t="array" ref="H61">_xlfn.SWITCH(Sheet5!D61, 1, "Clear Sky", 2, "Mist", 3, "Dark Cloud",4,"Heavy Rainfall")</f>
        <v>Clear Sky</v>
      </c>
      <c r="I61" s="26">
        <f>Sheet5!E61*41</f>
        <v>10.66</v>
      </c>
      <c r="J61" s="27">
        <v>0.3</v>
      </c>
      <c r="K61">
        <v>0.28360000000000002</v>
      </c>
      <c r="L61">
        <v>11</v>
      </c>
      <c r="M61">
        <v>66</v>
      </c>
      <c r="N61">
        <v>77</v>
      </c>
    </row>
    <row r="62" spans="1:14" x14ac:dyDescent="0.3">
      <c r="A62">
        <v>61</v>
      </c>
      <c r="B62" s="21">
        <v>40546</v>
      </c>
      <c r="C62" s="25" t="s">
        <v>16</v>
      </c>
      <c r="D62" s="25" t="str" cm="1">
        <f t="array" ref="D62">_xlfn.SWITCH(Sheet5!A62,1,"JANUARY",2,"FEBRUARY")</f>
        <v>JANUARY</v>
      </c>
      <c r="E62">
        <v>15</v>
      </c>
      <c r="F62" t="str" cm="1">
        <f t="array" ref="F62">_xlfn.SWITCH(Sheet5!C62,FALSE,"NO",TRUE,"YES")</f>
        <v>NO</v>
      </c>
      <c r="G62" t="str" cm="1">
        <f t="array" ref="G62">_xlfn.SWITCH(Sheet5!B62,0,"Sunday",1,"Monday",2,"Tuesday",3,"Wednesday",4,"Thursday",5,"Friday",6,"Saturday")</f>
        <v>Monday</v>
      </c>
      <c r="H62" t="str" cm="1">
        <f t="array" ref="H62">_xlfn.SWITCH(Sheet5!D62, 1, "Clear Sky", 2, "Mist", 3, "Dark Cloud",4,"Heavy Rainfall")</f>
        <v>Clear Sky</v>
      </c>
      <c r="I62" s="26">
        <f>Sheet5!E62*41</f>
        <v>10.66</v>
      </c>
      <c r="J62" s="27">
        <v>0.3</v>
      </c>
      <c r="K62">
        <v>0.25369999999999998</v>
      </c>
      <c r="L62">
        <v>14</v>
      </c>
      <c r="M62">
        <v>58</v>
      </c>
      <c r="N62">
        <v>72</v>
      </c>
    </row>
    <row r="63" spans="1:14" x14ac:dyDescent="0.3">
      <c r="A63">
        <v>62</v>
      </c>
      <c r="B63" s="21">
        <v>40546</v>
      </c>
      <c r="C63" s="25" t="s">
        <v>16</v>
      </c>
      <c r="D63" s="25" t="str" cm="1">
        <f t="array" ref="D63">_xlfn.SWITCH(Sheet5!A63,1,"JANUARY",2,"FEBRUARY")</f>
        <v>JANUARY</v>
      </c>
      <c r="E63">
        <v>16</v>
      </c>
      <c r="F63" t="str" cm="1">
        <f t="array" ref="F63">_xlfn.SWITCH(Sheet5!C63,FALSE,"NO",TRUE,"YES")</f>
        <v>NO</v>
      </c>
      <c r="G63" t="str" cm="1">
        <f t="array" ref="G63">_xlfn.SWITCH(Sheet5!B63,0,"Sunday",1,"Monday",2,"Tuesday",3,"Wednesday",4,"Thursday",5,"Friday",6,"Saturday")</f>
        <v>Monday</v>
      </c>
      <c r="H63" t="str" cm="1">
        <f t="array" ref="H63">_xlfn.SWITCH(Sheet5!D63, 1, "Clear Sky", 2, "Mist", 3, "Dark Cloud",4,"Heavy Rainfall")</f>
        <v>Clear Sky</v>
      </c>
      <c r="I63" s="26">
        <f>Sheet5!E63*41</f>
        <v>10.66</v>
      </c>
      <c r="J63" s="27">
        <v>0.3</v>
      </c>
      <c r="K63">
        <v>0.25369999999999998</v>
      </c>
      <c r="L63">
        <v>9</v>
      </c>
      <c r="M63">
        <v>67</v>
      </c>
      <c r="N63">
        <v>76</v>
      </c>
    </row>
    <row r="64" spans="1:14" x14ac:dyDescent="0.3">
      <c r="A64">
        <v>63</v>
      </c>
      <c r="B64" s="21">
        <v>40546</v>
      </c>
      <c r="C64" s="25" t="s">
        <v>16</v>
      </c>
      <c r="D64" s="25" t="str" cm="1">
        <f t="array" ref="D64">_xlfn.SWITCH(Sheet5!A64,1,"JANUARY",2,"FEBRUARY")</f>
        <v>JANUARY</v>
      </c>
      <c r="E64">
        <v>17</v>
      </c>
      <c r="F64" t="str" cm="1">
        <f t="array" ref="F64">_xlfn.SWITCH(Sheet5!C64,FALSE,"NO",TRUE,"YES")</f>
        <v>NO</v>
      </c>
      <c r="G64" t="str" cm="1">
        <f t="array" ref="G64">_xlfn.SWITCH(Sheet5!B64,0,"Sunday",1,"Monday",2,"Tuesday",3,"Wednesday",4,"Thursday",5,"Friday",6,"Saturday")</f>
        <v>Monday</v>
      </c>
      <c r="H64" t="str" cm="1">
        <f t="array" ref="H64">_xlfn.SWITCH(Sheet5!D64, 1, "Clear Sky", 2, "Mist", 3, "Dark Cloud",4,"Heavy Rainfall")</f>
        <v>Clear Sky</v>
      </c>
      <c r="I64" s="26">
        <f>Sheet5!E64*41</f>
        <v>9.84</v>
      </c>
      <c r="J64" s="27">
        <v>0.3</v>
      </c>
      <c r="K64">
        <v>0.22389999999999999</v>
      </c>
      <c r="L64">
        <v>11</v>
      </c>
      <c r="M64">
        <v>146</v>
      </c>
      <c r="N64">
        <v>157</v>
      </c>
    </row>
    <row r="65" spans="1:14" x14ac:dyDescent="0.3">
      <c r="A65">
        <v>64</v>
      </c>
      <c r="B65" s="21">
        <v>40546</v>
      </c>
      <c r="C65" s="25" t="s">
        <v>16</v>
      </c>
      <c r="D65" s="25" t="str" cm="1">
        <f t="array" ref="D65">_xlfn.SWITCH(Sheet5!A65,1,"JANUARY",2,"FEBRUARY")</f>
        <v>JANUARY</v>
      </c>
      <c r="E65">
        <v>18</v>
      </c>
      <c r="F65" t="str" cm="1">
        <f t="array" ref="F65">_xlfn.SWITCH(Sheet5!C65,FALSE,"NO",TRUE,"YES")</f>
        <v>NO</v>
      </c>
      <c r="G65" t="str" cm="1">
        <f t="array" ref="G65">_xlfn.SWITCH(Sheet5!B65,0,"Sunday",1,"Monday",2,"Tuesday",3,"Wednesday",4,"Thursday",5,"Friday",6,"Saturday")</f>
        <v>Monday</v>
      </c>
      <c r="H65" t="str" cm="1">
        <f t="array" ref="H65">_xlfn.SWITCH(Sheet5!D65, 1, "Clear Sky", 2, "Mist", 3, "Dark Cloud",4,"Heavy Rainfall")</f>
        <v>Clear Sky</v>
      </c>
      <c r="I65" s="26">
        <f>Sheet5!E65*41</f>
        <v>9.84</v>
      </c>
      <c r="J65" s="27">
        <v>0.32</v>
      </c>
      <c r="K65">
        <v>0.1045</v>
      </c>
      <c r="L65">
        <v>9</v>
      </c>
      <c r="M65">
        <v>148</v>
      </c>
      <c r="N65">
        <v>157</v>
      </c>
    </row>
    <row r="66" spans="1:14" x14ac:dyDescent="0.3">
      <c r="A66">
        <v>65</v>
      </c>
      <c r="B66" s="21">
        <v>40546</v>
      </c>
      <c r="C66" s="25" t="s">
        <v>16</v>
      </c>
      <c r="D66" s="25" t="str" cm="1">
        <f t="array" ref="D66">_xlfn.SWITCH(Sheet5!A66,1,"JANUARY",2,"FEBRUARY")</f>
        <v>JANUARY</v>
      </c>
      <c r="E66">
        <v>19</v>
      </c>
      <c r="F66" t="str" cm="1">
        <f t="array" ref="F66">_xlfn.SWITCH(Sheet5!C66,FALSE,"NO",TRUE,"YES")</f>
        <v>NO</v>
      </c>
      <c r="G66" t="str" cm="1">
        <f t="array" ref="G66">_xlfn.SWITCH(Sheet5!B66,0,"Sunday",1,"Monday",2,"Tuesday",3,"Wednesday",4,"Thursday",5,"Friday",6,"Saturday")</f>
        <v>Monday</v>
      </c>
      <c r="H66" t="str" cm="1">
        <f t="array" ref="H66">_xlfn.SWITCH(Sheet5!D66, 1, "Clear Sky", 2, "Mist", 3, "Dark Cloud",4,"Heavy Rainfall")</f>
        <v>Clear Sky</v>
      </c>
      <c r="I66" s="26">
        <f>Sheet5!E66*41</f>
        <v>8.2000000000000011</v>
      </c>
      <c r="J66" s="27">
        <v>0.47</v>
      </c>
      <c r="K66">
        <v>0</v>
      </c>
      <c r="L66">
        <v>8</v>
      </c>
      <c r="M66">
        <v>102</v>
      </c>
      <c r="N66">
        <v>110</v>
      </c>
    </row>
    <row r="67" spans="1:14" x14ac:dyDescent="0.3">
      <c r="A67">
        <v>66</v>
      </c>
      <c r="B67" s="21">
        <v>40546</v>
      </c>
      <c r="C67" s="25" t="s">
        <v>16</v>
      </c>
      <c r="D67" s="25" t="str" cm="1">
        <f t="array" ref="D67">_xlfn.SWITCH(Sheet5!A67,1,"JANUARY",2,"FEBRUARY")</f>
        <v>JANUARY</v>
      </c>
      <c r="E67">
        <v>20</v>
      </c>
      <c r="F67" t="str" cm="1">
        <f t="array" ref="F67">_xlfn.SWITCH(Sheet5!C67,FALSE,"NO",TRUE,"YES")</f>
        <v>NO</v>
      </c>
      <c r="G67" t="str" cm="1">
        <f t="array" ref="G67">_xlfn.SWITCH(Sheet5!B67,0,"Sunday",1,"Monday",2,"Tuesday",3,"Wednesday",4,"Thursday",5,"Friday",6,"Saturday")</f>
        <v>Monday</v>
      </c>
      <c r="H67" t="str" cm="1">
        <f t="array" ref="H67">_xlfn.SWITCH(Sheet5!D67, 1, "Clear Sky", 2, "Mist", 3, "Dark Cloud",4,"Heavy Rainfall")</f>
        <v>Clear Sky</v>
      </c>
      <c r="I67" s="26">
        <f>Sheet5!E67*41</f>
        <v>8.2000000000000011</v>
      </c>
      <c r="J67" s="27">
        <v>0.47</v>
      </c>
      <c r="K67">
        <v>0.1045</v>
      </c>
      <c r="L67">
        <v>3</v>
      </c>
      <c r="M67">
        <v>49</v>
      </c>
      <c r="N67">
        <v>52</v>
      </c>
    </row>
    <row r="68" spans="1:14" x14ac:dyDescent="0.3">
      <c r="A68">
        <v>67</v>
      </c>
      <c r="B68" s="21">
        <v>40546</v>
      </c>
      <c r="C68" s="25" t="s">
        <v>16</v>
      </c>
      <c r="D68" s="25" t="str" cm="1">
        <f t="array" ref="D68">_xlfn.SWITCH(Sheet5!A68,1,"JANUARY",2,"FEBRUARY")</f>
        <v>JANUARY</v>
      </c>
      <c r="E68">
        <v>21</v>
      </c>
      <c r="F68" t="str" cm="1">
        <f t="array" ref="F68">_xlfn.SWITCH(Sheet5!C68,FALSE,"NO",TRUE,"YES")</f>
        <v>NO</v>
      </c>
      <c r="G68" t="str" cm="1">
        <f t="array" ref="G68">_xlfn.SWITCH(Sheet5!B68,0,"Sunday",1,"Monday",2,"Tuesday",3,"Wednesday",4,"Thursday",5,"Friday",6,"Saturday")</f>
        <v>Monday</v>
      </c>
      <c r="H68" t="str" cm="1">
        <f t="array" ref="H68">_xlfn.SWITCH(Sheet5!D68, 1, "Clear Sky", 2, "Mist", 3, "Dark Cloud",4,"Heavy Rainfall")</f>
        <v>Clear Sky</v>
      </c>
      <c r="I68" s="26">
        <f>Sheet5!E68*41</f>
        <v>7.38</v>
      </c>
      <c r="J68" s="27">
        <v>0.64</v>
      </c>
      <c r="K68">
        <v>0.1343</v>
      </c>
      <c r="L68">
        <v>3</v>
      </c>
      <c r="M68">
        <v>49</v>
      </c>
      <c r="N68">
        <v>52</v>
      </c>
    </row>
    <row r="69" spans="1:14" x14ac:dyDescent="0.3">
      <c r="A69">
        <v>68</v>
      </c>
      <c r="B69" s="21">
        <v>40546</v>
      </c>
      <c r="C69" s="25" t="s">
        <v>16</v>
      </c>
      <c r="D69" s="25" t="str" cm="1">
        <f t="array" ref="D69">_xlfn.SWITCH(Sheet5!A69,1,"JANUARY",2,"FEBRUARY")</f>
        <v>JANUARY</v>
      </c>
      <c r="E69">
        <v>22</v>
      </c>
      <c r="F69" t="str" cm="1">
        <f t="array" ref="F69">_xlfn.SWITCH(Sheet5!C69,FALSE,"NO",TRUE,"YES")</f>
        <v>NO</v>
      </c>
      <c r="G69" t="str" cm="1">
        <f t="array" ref="G69">_xlfn.SWITCH(Sheet5!B69,0,"Sunday",1,"Monday",2,"Tuesday",3,"Wednesday",4,"Thursday",5,"Friday",6,"Saturday")</f>
        <v>Monday</v>
      </c>
      <c r="H69" t="str" cm="1">
        <f t="array" ref="H69">_xlfn.SWITCH(Sheet5!D69, 1, "Clear Sky", 2, "Mist", 3, "Dark Cloud",4,"Heavy Rainfall")</f>
        <v>Clear Sky</v>
      </c>
      <c r="I69" s="26">
        <f>Sheet5!E69*41</f>
        <v>5.74</v>
      </c>
      <c r="J69" s="27">
        <v>0.69</v>
      </c>
      <c r="K69">
        <v>0.1343</v>
      </c>
      <c r="L69">
        <v>0</v>
      </c>
      <c r="M69">
        <v>20</v>
      </c>
      <c r="N69">
        <v>20</v>
      </c>
    </row>
    <row r="70" spans="1:14" x14ac:dyDescent="0.3">
      <c r="A70">
        <v>69</v>
      </c>
      <c r="B70" s="21">
        <v>40546</v>
      </c>
      <c r="C70" s="25" t="s">
        <v>16</v>
      </c>
      <c r="D70" s="25" t="str" cm="1">
        <f t="array" ref="D70">_xlfn.SWITCH(Sheet5!A70,1,"JANUARY",2,"FEBRUARY")</f>
        <v>JANUARY</v>
      </c>
      <c r="E70">
        <v>23</v>
      </c>
      <c r="F70" t="str" cm="1">
        <f t="array" ref="F70">_xlfn.SWITCH(Sheet5!C70,FALSE,"NO",TRUE,"YES")</f>
        <v>NO</v>
      </c>
      <c r="G70" t="str" cm="1">
        <f t="array" ref="G70">_xlfn.SWITCH(Sheet5!B70,0,"Sunday",1,"Monday",2,"Tuesday",3,"Wednesday",4,"Thursday",5,"Friday",6,"Saturday")</f>
        <v>Monday</v>
      </c>
      <c r="H70" t="str" cm="1">
        <f t="array" ref="H70">_xlfn.SWITCH(Sheet5!D70, 1, "Clear Sky", 2, "Mist", 3, "Dark Cloud",4,"Heavy Rainfall")</f>
        <v>Clear Sky</v>
      </c>
      <c r="I70" s="26">
        <f>Sheet5!E70*41</f>
        <v>7.38</v>
      </c>
      <c r="J70" s="27">
        <v>0.55000000000000004</v>
      </c>
      <c r="K70">
        <v>0.1045</v>
      </c>
      <c r="L70">
        <v>1</v>
      </c>
      <c r="M70">
        <v>11</v>
      </c>
      <c r="N70">
        <v>12</v>
      </c>
    </row>
    <row r="71" spans="1:14" x14ac:dyDescent="0.3">
      <c r="A71">
        <v>70</v>
      </c>
      <c r="B71" s="21">
        <v>40547</v>
      </c>
      <c r="C71" s="25" t="s">
        <v>16</v>
      </c>
      <c r="D71" s="25" t="str" cm="1">
        <f t="array" ref="D71">_xlfn.SWITCH(Sheet5!A71,1,"JANUARY",2,"FEBRUARY")</f>
        <v>JANUARY</v>
      </c>
      <c r="E71">
        <v>0</v>
      </c>
      <c r="F71" t="str" cm="1">
        <f t="array" ref="F71">_xlfn.SWITCH(Sheet5!C71,FALSE,"NO",TRUE,"YES")</f>
        <v>NO</v>
      </c>
      <c r="G71" t="str" cm="1">
        <f t="array" ref="G71">_xlfn.SWITCH(Sheet5!B71,0,"Sunday",1,"Monday",2,"Tuesday",3,"Wednesday",4,"Thursday",5,"Friday",6,"Saturday")</f>
        <v>Tuesday</v>
      </c>
      <c r="H71" t="str" cm="1">
        <f t="array" ref="H71">_xlfn.SWITCH(Sheet5!D71, 1, "Clear Sky", 2, "Mist", 3, "Dark Cloud",4,"Heavy Rainfall")</f>
        <v>Clear Sky</v>
      </c>
      <c r="I71" s="26">
        <f>Sheet5!E71*41</f>
        <v>6.5600000000000005</v>
      </c>
      <c r="J71" s="27">
        <v>0.55000000000000004</v>
      </c>
      <c r="K71">
        <v>0.1045</v>
      </c>
      <c r="L71">
        <v>0</v>
      </c>
      <c r="M71">
        <v>5</v>
      </c>
      <c r="N71">
        <v>5</v>
      </c>
    </row>
    <row r="72" spans="1:14" x14ac:dyDescent="0.3">
      <c r="A72">
        <v>71</v>
      </c>
      <c r="B72" s="21">
        <v>40547</v>
      </c>
      <c r="C72" s="25" t="s">
        <v>16</v>
      </c>
      <c r="D72" s="25" t="str" cm="1">
        <f t="array" ref="D72">_xlfn.SWITCH(Sheet5!A72,1,"JANUARY",2,"FEBRUARY")</f>
        <v>JANUARY</v>
      </c>
      <c r="E72">
        <v>1</v>
      </c>
      <c r="F72" t="str" cm="1">
        <f t="array" ref="F72">_xlfn.SWITCH(Sheet5!C72,FALSE,"NO",TRUE,"YES")</f>
        <v>NO</v>
      </c>
      <c r="G72" t="str" cm="1">
        <f t="array" ref="G72">_xlfn.SWITCH(Sheet5!B72,0,"Sunday",1,"Monday",2,"Tuesday",3,"Wednesday",4,"Thursday",5,"Friday",6,"Saturday")</f>
        <v>Tuesday</v>
      </c>
      <c r="H72" t="str" cm="1">
        <f t="array" ref="H72">_xlfn.SWITCH(Sheet5!D72, 1, "Clear Sky", 2, "Mist", 3, "Dark Cloud",4,"Heavy Rainfall")</f>
        <v>Clear Sky</v>
      </c>
      <c r="I72" s="26">
        <f>Sheet5!E72*41</f>
        <v>6.5600000000000005</v>
      </c>
      <c r="J72" s="27">
        <v>0.59</v>
      </c>
      <c r="K72">
        <v>0.1045</v>
      </c>
      <c r="L72">
        <v>0</v>
      </c>
      <c r="M72">
        <v>2</v>
      </c>
      <c r="N72">
        <v>2</v>
      </c>
    </row>
    <row r="73" spans="1:14" x14ac:dyDescent="0.3">
      <c r="A73">
        <v>72</v>
      </c>
      <c r="B73" s="21">
        <v>40547</v>
      </c>
      <c r="C73" s="25" t="s">
        <v>16</v>
      </c>
      <c r="D73" s="25" t="str" cm="1">
        <f t="array" ref="D73">_xlfn.SWITCH(Sheet5!A73,1,"JANUARY",2,"FEBRUARY")</f>
        <v>JANUARY</v>
      </c>
      <c r="E73">
        <v>2</v>
      </c>
      <c r="F73" t="str" cm="1">
        <f t="array" ref="F73">_xlfn.SWITCH(Sheet5!C73,FALSE,"NO",TRUE,"YES")</f>
        <v>NO</v>
      </c>
      <c r="G73" t="str" cm="1">
        <f t="array" ref="G73">_xlfn.SWITCH(Sheet5!B73,0,"Sunday",1,"Monday",2,"Tuesday",3,"Wednesday",4,"Thursday",5,"Friday",6,"Saturday")</f>
        <v>Tuesday</v>
      </c>
      <c r="H73" t="str" cm="1">
        <f t="array" ref="H73">_xlfn.SWITCH(Sheet5!D73, 1, "Clear Sky", 2, "Mist", 3, "Dark Cloud",4,"Heavy Rainfall")</f>
        <v>Clear Sky</v>
      </c>
      <c r="I73" s="26">
        <f>Sheet5!E73*41</f>
        <v>5.74</v>
      </c>
      <c r="J73" s="27">
        <v>0.63</v>
      </c>
      <c r="K73">
        <v>0.1343</v>
      </c>
      <c r="L73">
        <v>0</v>
      </c>
      <c r="M73">
        <v>1</v>
      </c>
      <c r="N73">
        <v>1</v>
      </c>
    </row>
    <row r="74" spans="1:14" x14ac:dyDescent="0.3">
      <c r="A74">
        <v>73</v>
      </c>
      <c r="B74" s="21">
        <v>40547</v>
      </c>
      <c r="C74" s="25" t="s">
        <v>16</v>
      </c>
      <c r="D74" s="25" t="str" cm="1">
        <f t="array" ref="D74">_xlfn.SWITCH(Sheet5!A74,1,"JANUARY",2,"FEBRUARY")</f>
        <v>JANUARY</v>
      </c>
      <c r="E74">
        <v>4</v>
      </c>
      <c r="F74" t="str" cm="1">
        <f t="array" ref="F74">_xlfn.SWITCH(Sheet5!C74,FALSE,"NO",TRUE,"YES")</f>
        <v>NO</v>
      </c>
      <c r="G74" t="str" cm="1">
        <f t="array" ref="G74">_xlfn.SWITCH(Sheet5!B74,0,"Sunday",1,"Monday",2,"Tuesday",3,"Wednesday",4,"Thursday",5,"Friday",6,"Saturday")</f>
        <v>Tuesday</v>
      </c>
      <c r="H74" t="str" cm="1">
        <f t="array" ref="H74">_xlfn.SWITCH(Sheet5!D74, 1, "Clear Sky", 2, "Mist", 3, "Dark Cloud",4,"Heavy Rainfall")</f>
        <v>Clear Sky</v>
      </c>
      <c r="I74" s="26">
        <f>Sheet5!E74*41</f>
        <v>5.74</v>
      </c>
      <c r="J74" s="27">
        <v>0.63</v>
      </c>
      <c r="K74">
        <v>8.9599999999999999E-2</v>
      </c>
      <c r="L74">
        <v>0</v>
      </c>
      <c r="M74">
        <v>2</v>
      </c>
      <c r="N74">
        <v>2</v>
      </c>
    </row>
    <row r="75" spans="1:14" x14ac:dyDescent="0.3">
      <c r="A75">
        <v>74</v>
      </c>
      <c r="B75" s="21">
        <v>40547</v>
      </c>
      <c r="C75" s="25" t="s">
        <v>16</v>
      </c>
      <c r="D75" s="25" t="str" cm="1">
        <f t="array" ref="D75">_xlfn.SWITCH(Sheet5!A75,1,"JANUARY",2,"FEBRUARY")</f>
        <v>JANUARY</v>
      </c>
      <c r="E75">
        <v>5</v>
      </c>
      <c r="F75" t="str" cm="1">
        <f t="array" ref="F75">_xlfn.SWITCH(Sheet5!C75,FALSE,"NO",TRUE,"YES")</f>
        <v>NO</v>
      </c>
      <c r="G75" t="str" cm="1">
        <f t="array" ref="G75">_xlfn.SWITCH(Sheet5!B75,0,"Sunday",1,"Monday",2,"Tuesday",3,"Wednesday",4,"Thursday",5,"Friday",6,"Saturday")</f>
        <v>Tuesday</v>
      </c>
      <c r="H75" t="str" cm="1">
        <f t="array" ref="H75">_xlfn.SWITCH(Sheet5!D75, 1, "Clear Sky", 2, "Mist", 3, "Dark Cloud",4,"Heavy Rainfall")</f>
        <v>Clear Sky</v>
      </c>
      <c r="I75" s="26">
        <f>Sheet5!E75*41</f>
        <v>4.92</v>
      </c>
      <c r="J75" s="27">
        <v>0.68</v>
      </c>
      <c r="K75">
        <v>0.1045</v>
      </c>
      <c r="L75">
        <v>0</v>
      </c>
      <c r="M75">
        <v>4</v>
      </c>
      <c r="N75">
        <v>4</v>
      </c>
    </row>
    <row r="76" spans="1:14" x14ac:dyDescent="0.3">
      <c r="A76">
        <v>75</v>
      </c>
      <c r="B76" s="21">
        <v>40547</v>
      </c>
      <c r="C76" s="25" t="s">
        <v>16</v>
      </c>
      <c r="D76" s="25" t="str" cm="1">
        <f t="array" ref="D76">_xlfn.SWITCH(Sheet5!A76,1,"JANUARY",2,"FEBRUARY")</f>
        <v>JANUARY</v>
      </c>
      <c r="E76">
        <v>6</v>
      </c>
      <c r="F76" t="str" cm="1">
        <f t="array" ref="F76">_xlfn.SWITCH(Sheet5!C76,FALSE,"NO",TRUE,"YES")</f>
        <v>NO</v>
      </c>
      <c r="G76" t="str" cm="1">
        <f t="array" ref="G76">_xlfn.SWITCH(Sheet5!B76,0,"Sunday",1,"Monday",2,"Tuesday",3,"Wednesday",4,"Thursday",5,"Friday",6,"Saturday")</f>
        <v>Tuesday</v>
      </c>
      <c r="H76" t="str" cm="1">
        <f t="array" ref="H76">_xlfn.SWITCH(Sheet5!D76, 1, "Clear Sky", 2, "Mist", 3, "Dark Cloud",4,"Heavy Rainfall")</f>
        <v>Clear Sky</v>
      </c>
      <c r="I76" s="26">
        <f>Sheet5!E76*41</f>
        <v>4.92</v>
      </c>
      <c r="J76" s="27">
        <v>0.74</v>
      </c>
      <c r="K76">
        <v>0.1045</v>
      </c>
      <c r="L76">
        <v>0</v>
      </c>
      <c r="M76">
        <v>36</v>
      </c>
      <c r="N76">
        <v>36</v>
      </c>
    </row>
    <row r="77" spans="1:14" x14ac:dyDescent="0.3">
      <c r="A77">
        <v>76</v>
      </c>
      <c r="B77" s="21">
        <v>40547</v>
      </c>
      <c r="C77" s="25" t="s">
        <v>16</v>
      </c>
      <c r="D77" s="25" t="str" cm="1">
        <f t="array" ref="D77">_xlfn.SWITCH(Sheet5!A77,1,"JANUARY",2,"FEBRUARY")</f>
        <v>JANUARY</v>
      </c>
      <c r="E77">
        <v>7</v>
      </c>
      <c r="F77" t="str" cm="1">
        <f t="array" ref="F77">_xlfn.SWITCH(Sheet5!C77,FALSE,"NO",TRUE,"YES")</f>
        <v>NO</v>
      </c>
      <c r="G77" t="str" cm="1">
        <f t="array" ref="G77">_xlfn.SWITCH(Sheet5!B77,0,"Sunday",1,"Monday",2,"Tuesday",3,"Wednesday",4,"Thursday",5,"Friday",6,"Saturday")</f>
        <v>Tuesday</v>
      </c>
      <c r="H77" t="str" cm="1">
        <f t="array" ref="H77">_xlfn.SWITCH(Sheet5!D77, 1, "Clear Sky", 2, "Mist", 3, "Dark Cloud",4,"Heavy Rainfall")</f>
        <v>Clear Sky</v>
      </c>
      <c r="I77" s="26">
        <f>Sheet5!E77*41</f>
        <v>4.92</v>
      </c>
      <c r="J77" s="27">
        <v>0.74</v>
      </c>
      <c r="K77">
        <v>0.1343</v>
      </c>
      <c r="L77">
        <v>2</v>
      </c>
      <c r="M77">
        <v>92</v>
      </c>
      <c r="N77">
        <v>94</v>
      </c>
    </row>
    <row r="78" spans="1:14" x14ac:dyDescent="0.3">
      <c r="A78">
        <v>77</v>
      </c>
      <c r="B78" s="21">
        <v>40547</v>
      </c>
      <c r="C78" s="25" t="s">
        <v>16</v>
      </c>
      <c r="D78" s="25" t="str" cm="1">
        <f t="array" ref="D78">_xlfn.SWITCH(Sheet5!A78,1,"JANUARY",2,"FEBRUARY")</f>
        <v>JANUARY</v>
      </c>
      <c r="E78">
        <v>8</v>
      </c>
      <c r="F78" t="str" cm="1">
        <f t="array" ref="F78">_xlfn.SWITCH(Sheet5!C78,FALSE,"NO",TRUE,"YES")</f>
        <v>NO</v>
      </c>
      <c r="G78" t="str" cm="1">
        <f t="array" ref="G78">_xlfn.SWITCH(Sheet5!B78,0,"Sunday",1,"Monday",2,"Tuesday",3,"Wednesday",4,"Thursday",5,"Friday",6,"Saturday")</f>
        <v>Tuesday</v>
      </c>
      <c r="H78" t="str" cm="1">
        <f t="array" ref="H78">_xlfn.SWITCH(Sheet5!D78, 1, "Clear Sky", 2, "Mist", 3, "Dark Cloud",4,"Heavy Rainfall")</f>
        <v>Clear Sky</v>
      </c>
      <c r="I78" s="26">
        <f>Sheet5!E78*41</f>
        <v>5.74</v>
      </c>
      <c r="J78" s="27">
        <v>0.69</v>
      </c>
      <c r="K78">
        <v>0.16420000000000001</v>
      </c>
      <c r="L78">
        <v>2</v>
      </c>
      <c r="M78">
        <v>177</v>
      </c>
      <c r="N78">
        <v>179</v>
      </c>
    </row>
    <row r="79" spans="1:14" x14ac:dyDescent="0.3">
      <c r="A79">
        <v>78</v>
      </c>
      <c r="B79" s="21">
        <v>40547</v>
      </c>
      <c r="C79" s="25" t="s">
        <v>16</v>
      </c>
      <c r="D79" s="25" t="str" cm="1">
        <f t="array" ref="D79">_xlfn.SWITCH(Sheet5!A79,1,"JANUARY",2,"FEBRUARY")</f>
        <v>JANUARY</v>
      </c>
      <c r="E79">
        <v>9</v>
      </c>
      <c r="F79" t="str" cm="1">
        <f t="array" ref="F79">_xlfn.SWITCH(Sheet5!C79,FALSE,"NO",TRUE,"YES")</f>
        <v>NO</v>
      </c>
      <c r="G79" t="str" cm="1">
        <f t="array" ref="G79">_xlfn.SWITCH(Sheet5!B79,0,"Sunday",1,"Monday",2,"Tuesday",3,"Wednesday",4,"Thursday",5,"Friday",6,"Saturday")</f>
        <v>Tuesday</v>
      </c>
      <c r="H79" t="str" cm="1">
        <f t="array" ref="H79">_xlfn.SWITCH(Sheet5!D79, 1, "Clear Sky", 2, "Mist", 3, "Dark Cloud",4,"Heavy Rainfall")</f>
        <v>Clear Sky</v>
      </c>
      <c r="I79" s="26">
        <f>Sheet5!E79*41</f>
        <v>6.5600000000000005</v>
      </c>
      <c r="J79" s="27">
        <v>0.64</v>
      </c>
      <c r="K79">
        <v>0.22389999999999999</v>
      </c>
      <c r="L79">
        <v>2</v>
      </c>
      <c r="M79">
        <v>98</v>
      </c>
      <c r="N79">
        <v>100</v>
      </c>
    </row>
    <row r="80" spans="1:14" x14ac:dyDescent="0.3">
      <c r="A80">
        <v>79</v>
      </c>
      <c r="B80" s="21">
        <v>40547</v>
      </c>
      <c r="C80" s="25" t="s">
        <v>16</v>
      </c>
      <c r="D80" s="25" t="str" cm="1">
        <f t="array" ref="D80">_xlfn.SWITCH(Sheet5!A80,1,"JANUARY",2,"FEBRUARY")</f>
        <v>JANUARY</v>
      </c>
      <c r="E80">
        <v>10</v>
      </c>
      <c r="F80" t="str" cm="1">
        <f t="array" ref="F80">_xlfn.SWITCH(Sheet5!C80,FALSE,"NO",TRUE,"YES")</f>
        <v>NO</v>
      </c>
      <c r="G80" t="str" cm="1">
        <f t="array" ref="G80">_xlfn.SWITCH(Sheet5!B80,0,"Sunday",1,"Monday",2,"Tuesday",3,"Wednesday",4,"Thursday",5,"Friday",6,"Saturday")</f>
        <v>Tuesday</v>
      </c>
      <c r="H80" t="str" cm="1">
        <f t="array" ref="H80">_xlfn.SWITCH(Sheet5!D80, 1, "Clear Sky", 2, "Mist", 3, "Dark Cloud",4,"Heavy Rainfall")</f>
        <v>Mist</v>
      </c>
      <c r="I80" s="26">
        <f>Sheet5!E80*41</f>
        <v>6.5600000000000005</v>
      </c>
      <c r="J80" s="27">
        <v>0.69</v>
      </c>
      <c r="K80">
        <v>0.32840000000000003</v>
      </c>
      <c r="L80">
        <v>5</v>
      </c>
      <c r="M80">
        <v>37</v>
      </c>
      <c r="N80">
        <v>42</v>
      </c>
    </row>
    <row r="81" spans="1:14" x14ac:dyDescent="0.3">
      <c r="A81">
        <v>80</v>
      </c>
      <c r="B81" s="21">
        <v>40547</v>
      </c>
      <c r="C81" s="25" t="s">
        <v>16</v>
      </c>
      <c r="D81" s="25" t="str" cm="1">
        <f t="array" ref="D81">_xlfn.SWITCH(Sheet5!A81,1,"JANUARY",2,"FEBRUARY")</f>
        <v>JANUARY</v>
      </c>
      <c r="E81">
        <v>11</v>
      </c>
      <c r="F81" t="str" cm="1">
        <f t="array" ref="F81">_xlfn.SWITCH(Sheet5!C81,FALSE,"NO",TRUE,"YES")</f>
        <v>NO</v>
      </c>
      <c r="G81" t="str" cm="1">
        <f t="array" ref="G81">_xlfn.SWITCH(Sheet5!B81,0,"Sunday",1,"Monday",2,"Tuesday",3,"Wednesday",4,"Thursday",5,"Friday",6,"Saturday")</f>
        <v>Tuesday</v>
      </c>
      <c r="H81" t="str" cm="1">
        <f t="array" ref="H81">_xlfn.SWITCH(Sheet5!D81, 1, "Clear Sky", 2, "Mist", 3, "Dark Cloud",4,"Heavy Rainfall")</f>
        <v>Clear Sky</v>
      </c>
      <c r="I81" s="26">
        <f>Sheet5!E81*41</f>
        <v>9.02</v>
      </c>
      <c r="J81" s="27">
        <v>0.51</v>
      </c>
      <c r="K81">
        <v>0.29849999999999999</v>
      </c>
      <c r="L81">
        <v>7</v>
      </c>
      <c r="M81">
        <v>50</v>
      </c>
      <c r="N81">
        <v>57</v>
      </c>
    </row>
    <row r="82" spans="1:14" x14ac:dyDescent="0.3">
      <c r="A82">
        <v>81</v>
      </c>
      <c r="B82" s="21">
        <v>40547</v>
      </c>
      <c r="C82" s="25" t="s">
        <v>16</v>
      </c>
      <c r="D82" s="25" t="str" cm="1">
        <f t="array" ref="D82">_xlfn.SWITCH(Sheet5!A82,1,"JANUARY",2,"FEBRUARY")</f>
        <v>JANUARY</v>
      </c>
      <c r="E82">
        <v>12</v>
      </c>
      <c r="F82" t="str" cm="1">
        <f t="array" ref="F82">_xlfn.SWITCH(Sheet5!C82,FALSE,"NO",TRUE,"YES")</f>
        <v>NO</v>
      </c>
      <c r="G82" t="str" cm="1">
        <f t="array" ref="G82">_xlfn.SWITCH(Sheet5!B82,0,"Sunday",1,"Monday",2,"Tuesday",3,"Wednesday",4,"Thursday",5,"Friday",6,"Saturday")</f>
        <v>Tuesday</v>
      </c>
      <c r="H82" t="str" cm="1">
        <f t="array" ref="H82">_xlfn.SWITCH(Sheet5!D82, 1, "Clear Sky", 2, "Mist", 3, "Dark Cloud",4,"Heavy Rainfall")</f>
        <v>Clear Sky</v>
      </c>
      <c r="I82" s="26">
        <f>Sheet5!E82*41</f>
        <v>9.02</v>
      </c>
      <c r="J82" s="27">
        <v>0.51</v>
      </c>
      <c r="K82">
        <v>0.16420000000000001</v>
      </c>
      <c r="L82">
        <v>12</v>
      </c>
      <c r="M82">
        <v>66</v>
      </c>
      <c r="N82">
        <v>78</v>
      </c>
    </row>
    <row r="83" spans="1:14" x14ac:dyDescent="0.3">
      <c r="A83">
        <v>82</v>
      </c>
      <c r="B83" s="21">
        <v>40547</v>
      </c>
      <c r="C83" s="25" t="s">
        <v>16</v>
      </c>
      <c r="D83" s="25" t="str" cm="1">
        <f t="array" ref="D83">_xlfn.SWITCH(Sheet5!A83,1,"JANUARY",2,"FEBRUARY")</f>
        <v>JANUARY</v>
      </c>
      <c r="E83">
        <v>13</v>
      </c>
      <c r="F83" t="str" cm="1">
        <f t="array" ref="F83">_xlfn.SWITCH(Sheet5!C83,FALSE,"NO",TRUE,"YES")</f>
        <v>NO</v>
      </c>
      <c r="G83" t="str" cm="1">
        <f t="array" ref="G83">_xlfn.SWITCH(Sheet5!B83,0,"Sunday",1,"Monday",2,"Tuesday",3,"Wednesday",4,"Thursday",5,"Friday",6,"Saturday")</f>
        <v>Tuesday</v>
      </c>
      <c r="H83" t="str" cm="1">
        <f t="array" ref="H83">_xlfn.SWITCH(Sheet5!D83, 1, "Clear Sky", 2, "Mist", 3, "Dark Cloud",4,"Heavy Rainfall")</f>
        <v>Clear Sky</v>
      </c>
      <c r="I83" s="26">
        <f>Sheet5!E83*41</f>
        <v>9.84</v>
      </c>
      <c r="J83" s="27">
        <v>0.56000000000000005</v>
      </c>
      <c r="K83">
        <v>0.19400000000000001</v>
      </c>
      <c r="L83">
        <v>18</v>
      </c>
      <c r="M83">
        <v>79</v>
      </c>
      <c r="N83">
        <v>97</v>
      </c>
    </row>
    <row r="84" spans="1:14" x14ac:dyDescent="0.3">
      <c r="A84">
        <v>83</v>
      </c>
      <c r="B84" s="21">
        <v>40547</v>
      </c>
      <c r="C84" s="25" t="s">
        <v>16</v>
      </c>
      <c r="D84" s="25" t="str" cm="1">
        <f t="array" ref="D84">_xlfn.SWITCH(Sheet5!A84,1,"JANUARY",2,"FEBRUARY")</f>
        <v>JANUARY</v>
      </c>
      <c r="E84">
        <v>14</v>
      </c>
      <c r="F84" t="str" cm="1">
        <f t="array" ref="F84">_xlfn.SWITCH(Sheet5!C84,FALSE,"NO",TRUE,"YES")</f>
        <v>NO</v>
      </c>
      <c r="G84" t="str" cm="1">
        <f t="array" ref="G84">_xlfn.SWITCH(Sheet5!B84,0,"Sunday",1,"Monday",2,"Tuesday",3,"Wednesday",4,"Thursday",5,"Friday",6,"Saturday")</f>
        <v>Tuesday</v>
      </c>
      <c r="H84" t="str" cm="1">
        <f t="array" ref="H84">_xlfn.SWITCH(Sheet5!D84, 1, "Clear Sky", 2, "Mist", 3, "Dark Cloud",4,"Heavy Rainfall")</f>
        <v>Clear Sky</v>
      </c>
      <c r="I84" s="26">
        <f>Sheet5!E84*41</f>
        <v>10.66</v>
      </c>
      <c r="J84" s="27">
        <v>0.52</v>
      </c>
      <c r="K84">
        <v>0.22389999999999999</v>
      </c>
      <c r="L84">
        <v>9</v>
      </c>
      <c r="M84">
        <v>54</v>
      </c>
      <c r="N84">
        <v>63</v>
      </c>
    </row>
    <row r="85" spans="1:14" x14ac:dyDescent="0.3">
      <c r="A85">
        <v>84</v>
      </c>
      <c r="B85" s="21">
        <v>40547</v>
      </c>
      <c r="C85" s="25" t="s">
        <v>16</v>
      </c>
      <c r="D85" s="25" t="str" cm="1">
        <f t="array" ref="D85">_xlfn.SWITCH(Sheet5!A85,1,"JANUARY",2,"FEBRUARY")</f>
        <v>JANUARY</v>
      </c>
      <c r="E85">
        <v>15</v>
      </c>
      <c r="F85" t="str" cm="1">
        <f t="array" ref="F85">_xlfn.SWITCH(Sheet5!C85,FALSE,"NO",TRUE,"YES")</f>
        <v>NO</v>
      </c>
      <c r="G85" t="str" cm="1">
        <f t="array" ref="G85">_xlfn.SWITCH(Sheet5!B85,0,"Sunday",1,"Monday",2,"Tuesday",3,"Wednesday",4,"Thursday",5,"Friday",6,"Saturday")</f>
        <v>Tuesday</v>
      </c>
      <c r="H85" t="str" cm="1">
        <f t="array" ref="H85">_xlfn.SWITCH(Sheet5!D85, 1, "Clear Sky", 2, "Mist", 3, "Dark Cloud",4,"Heavy Rainfall")</f>
        <v>Clear Sky</v>
      </c>
      <c r="I85" s="26">
        <f>Sheet5!E85*41</f>
        <v>11.48</v>
      </c>
      <c r="J85" s="27">
        <v>0.52</v>
      </c>
      <c r="K85">
        <v>0.25369999999999998</v>
      </c>
      <c r="L85">
        <v>17</v>
      </c>
      <c r="M85">
        <v>48</v>
      </c>
      <c r="N85">
        <v>65</v>
      </c>
    </row>
    <row r="86" spans="1:14" x14ac:dyDescent="0.3">
      <c r="A86">
        <v>85</v>
      </c>
      <c r="B86" s="21">
        <v>40547</v>
      </c>
      <c r="C86" s="25" t="s">
        <v>16</v>
      </c>
      <c r="D86" s="25" t="str" cm="1">
        <f t="array" ref="D86">_xlfn.SWITCH(Sheet5!A86,1,"JANUARY",2,"FEBRUARY")</f>
        <v>JANUARY</v>
      </c>
      <c r="E86">
        <v>16</v>
      </c>
      <c r="F86" t="str" cm="1">
        <f t="array" ref="F86">_xlfn.SWITCH(Sheet5!C86,FALSE,"NO",TRUE,"YES")</f>
        <v>NO</v>
      </c>
      <c r="G86" t="str" cm="1">
        <f t="array" ref="G86">_xlfn.SWITCH(Sheet5!B86,0,"Sunday",1,"Monday",2,"Tuesday",3,"Wednesday",4,"Thursday",5,"Friday",6,"Saturday")</f>
        <v>Tuesday</v>
      </c>
      <c r="H86" t="str" cm="1">
        <f t="array" ref="H86">_xlfn.SWITCH(Sheet5!D86, 1, "Clear Sky", 2, "Mist", 3, "Dark Cloud",4,"Heavy Rainfall")</f>
        <v>Clear Sky</v>
      </c>
      <c r="I86" s="26">
        <f>Sheet5!E86*41</f>
        <v>12.299999999999999</v>
      </c>
      <c r="J86" s="27">
        <v>0.49</v>
      </c>
      <c r="K86">
        <v>0.25369999999999998</v>
      </c>
      <c r="L86">
        <v>15</v>
      </c>
      <c r="M86">
        <v>68</v>
      </c>
      <c r="N86">
        <v>83</v>
      </c>
    </row>
    <row r="87" spans="1:14" x14ac:dyDescent="0.3">
      <c r="A87">
        <v>86</v>
      </c>
      <c r="B87" s="21">
        <v>40547</v>
      </c>
      <c r="C87" s="25" t="s">
        <v>16</v>
      </c>
      <c r="D87" s="25" t="str" cm="1">
        <f t="array" ref="D87">_xlfn.SWITCH(Sheet5!A87,1,"JANUARY",2,"FEBRUARY")</f>
        <v>JANUARY</v>
      </c>
      <c r="E87">
        <v>17</v>
      </c>
      <c r="F87" t="str" cm="1">
        <f t="array" ref="F87">_xlfn.SWITCH(Sheet5!C87,FALSE,"NO",TRUE,"YES")</f>
        <v>NO</v>
      </c>
      <c r="G87" t="str" cm="1">
        <f t="array" ref="G87">_xlfn.SWITCH(Sheet5!B87,0,"Sunday",1,"Monday",2,"Tuesday",3,"Wednesday",4,"Thursday",5,"Friday",6,"Saturday")</f>
        <v>Tuesday</v>
      </c>
      <c r="H87" t="str" cm="1">
        <f t="array" ref="H87">_xlfn.SWITCH(Sheet5!D87, 1, "Clear Sky", 2, "Mist", 3, "Dark Cloud",4,"Heavy Rainfall")</f>
        <v>Clear Sky</v>
      </c>
      <c r="I87" s="26">
        <f>Sheet5!E87*41</f>
        <v>11.48</v>
      </c>
      <c r="J87" s="27">
        <v>0.48</v>
      </c>
      <c r="K87">
        <v>0.22389999999999999</v>
      </c>
      <c r="L87">
        <v>10</v>
      </c>
      <c r="M87">
        <v>202</v>
      </c>
      <c r="N87">
        <v>212</v>
      </c>
    </row>
    <row r="88" spans="1:14" x14ac:dyDescent="0.3">
      <c r="A88">
        <v>87</v>
      </c>
      <c r="B88" s="21">
        <v>40547</v>
      </c>
      <c r="C88" s="25" t="s">
        <v>16</v>
      </c>
      <c r="D88" s="25" t="str" cm="1">
        <f t="array" ref="D88">_xlfn.SWITCH(Sheet5!A88,1,"JANUARY",2,"FEBRUARY")</f>
        <v>JANUARY</v>
      </c>
      <c r="E88">
        <v>18</v>
      </c>
      <c r="F88" t="str" cm="1">
        <f t="array" ref="F88">_xlfn.SWITCH(Sheet5!C88,FALSE,"NO",TRUE,"YES")</f>
        <v>NO</v>
      </c>
      <c r="G88" t="str" cm="1">
        <f t="array" ref="G88">_xlfn.SWITCH(Sheet5!B88,0,"Sunday",1,"Monday",2,"Tuesday",3,"Wednesday",4,"Thursday",5,"Friday",6,"Saturday")</f>
        <v>Tuesday</v>
      </c>
      <c r="H88" t="str" cm="1">
        <f t="array" ref="H88">_xlfn.SWITCH(Sheet5!D88, 1, "Clear Sky", 2, "Mist", 3, "Dark Cloud",4,"Heavy Rainfall")</f>
        <v>Clear Sky</v>
      </c>
      <c r="I88" s="26">
        <f>Sheet5!E88*41</f>
        <v>10.66</v>
      </c>
      <c r="J88" s="27">
        <v>0.48</v>
      </c>
      <c r="K88">
        <v>0.19400000000000001</v>
      </c>
      <c r="L88">
        <v>3</v>
      </c>
      <c r="M88">
        <v>179</v>
      </c>
      <c r="N88">
        <v>182</v>
      </c>
    </row>
    <row r="89" spans="1:14" x14ac:dyDescent="0.3">
      <c r="A89">
        <v>88</v>
      </c>
      <c r="B89" s="21">
        <v>40547</v>
      </c>
      <c r="C89" s="25" t="s">
        <v>16</v>
      </c>
      <c r="D89" s="25" t="str" cm="1">
        <f t="array" ref="D89">_xlfn.SWITCH(Sheet5!A89,1,"JANUARY",2,"FEBRUARY")</f>
        <v>JANUARY</v>
      </c>
      <c r="E89">
        <v>19</v>
      </c>
      <c r="F89" t="str" cm="1">
        <f t="array" ref="F89">_xlfn.SWITCH(Sheet5!C89,FALSE,"NO",TRUE,"YES")</f>
        <v>NO</v>
      </c>
      <c r="G89" t="str" cm="1">
        <f t="array" ref="G89">_xlfn.SWITCH(Sheet5!B89,0,"Sunday",1,"Monday",2,"Tuesday",3,"Wednesday",4,"Thursday",5,"Friday",6,"Saturday")</f>
        <v>Tuesday</v>
      </c>
      <c r="H89" t="str" cm="1">
        <f t="array" ref="H89">_xlfn.SWITCH(Sheet5!D89, 1, "Clear Sky", 2, "Mist", 3, "Dark Cloud",4,"Heavy Rainfall")</f>
        <v>Clear Sky</v>
      </c>
      <c r="I89" s="26">
        <f>Sheet5!E89*41</f>
        <v>9.84</v>
      </c>
      <c r="J89" s="27">
        <v>0.48</v>
      </c>
      <c r="K89">
        <v>0.1045</v>
      </c>
      <c r="L89">
        <v>2</v>
      </c>
      <c r="M89">
        <v>110</v>
      </c>
      <c r="N89">
        <v>112</v>
      </c>
    </row>
    <row r="90" spans="1:14" x14ac:dyDescent="0.3">
      <c r="A90">
        <v>89</v>
      </c>
      <c r="B90" s="21">
        <v>40547</v>
      </c>
      <c r="C90" s="25" t="s">
        <v>16</v>
      </c>
      <c r="D90" s="25" t="str" cm="1">
        <f t="array" ref="D90">_xlfn.SWITCH(Sheet5!A90,1,"JANUARY",2,"FEBRUARY")</f>
        <v>JANUARY</v>
      </c>
      <c r="E90">
        <v>20</v>
      </c>
      <c r="F90" t="str" cm="1">
        <f t="array" ref="F90">_xlfn.SWITCH(Sheet5!C90,FALSE,"NO",TRUE,"YES")</f>
        <v>NO</v>
      </c>
      <c r="G90" t="str" cm="1">
        <f t="array" ref="G90">_xlfn.SWITCH(Sheet5!B90,0,"Sunday",1,"Monday",2,"Tuesday",3,"Wednesday",4,"Thursday",5,"Friday",6,"Saturday")</f>
        <v>Tuesday</v>
      </c>
      <c r="H90" t="str" cm="1">
        <f t="array" ref="H90">_xlfn.SWITCH(Sheet5!D90, 1, "Clear Sky", 2, "Mist", 3, "Dark Cloud",4,"Heavy Rainfall")</f>
        <v>Clear Sky</v>
      </c>
      <c r="I90" s="26">
        <f>Sheet5!E90*41</f>
        <v>9.84</v>
      </c>
      <c r="J90" s="27">
        <v>0.48</v>
      </c>
      <c r="K90">
        <v>0.1045</v>
      </c>
      <c r="L90">
        <v>1</v>
      </c>
      <c r="M90">
        <v>53</v>
      </c>
      <c r="N90">
        <v>54</v>
      </c>
    </row>
    <row r="91" spans="1:14" x14ac:dyDescent="0.3">
      <c r="A91">
        <v>90</v>
      </c>
      <c r="B91" s="21">
        <v>40547</v>
      </c>
      <c r="C91" s="25" t="s">
        <v>16</v>
      </c>
      <c r="D91" s="25" t="str" cm="1">
        <f t="array" ref="D91">_xlfn.SWITCH(Sheet5!A91,1,"JANUARY",2,"FEBRUARY")</f>
        <v>JANUARY</v>
      </c>
      <c r="E91">
        <v>21</v>
      </c>
      <c r="F91" t="str" cm="1">
        <f t="array" ref="F91">_xlfn.SWITCH(Sheet5!C91,FALSE,"NO",TRUE,"YES")</f>
        <v>NO</v>
      </c>
      <c r="G91" t="str" cm="1">
        <f t="array" ref="G91">_xlfn.SWITCH(Sheet5!B91,0,"Sunday",1,"Monday",2,"Tuesday",3,"Wednesday",4,"Thursday",5,"Friday",6,"Saturday")</f>
        <v>Tuesday</v>
      </c>
      <c r="H91" t="str" cm="1">
        <f t="array" ref="H91">_xlfn.SWITCH(Sheet5!D91, 1, "Clear Sky", 2, "Mist", 3, "Dark Cloud",4,"Heavy Rainfall")</f>
        <v>Clear Sky</v>
      </c>
      <c r="I91" s="26">
        <f>Sheet5!E91*41</f>
        <v>9.02</v>
      </c>
      <c r="J91" s="27">
        <v>0.64</v>
      </c>
      <c r="K91">
        <v>0</v>
      </c>
      <c r="L91">
        <v>0</v>
      </c>
      <c r="M91">
        <v>48</v>
      </c>
      <c r="N91">
        <v>48</v>
      </c>
    </row>
    <row r="92" spans="1:14" x14ac:dyDescent="0.3">
      <c r="A92">
        <v>91</v>
      </c>
      <c r="B92" s="21">
        <v>40547</v>
      </c>
      <c r="C92" s="25" t="s">
        <v>16</v>
      </c>
      <c r="D92" s="25" t="str" cm="1">
        <f t="array" ref="D92">_xlfn.SWITCH(Sheet5!A92,1,"JANUARY",2,"FEBRUARY")</f>
        <v>JANUARY</v>
      </c>
      <c r="E92">
        <v>22</v>
      </c>
      <c r="F92" t="str" cm="1">
        <f t="array" ref="F92">_xlfn.SWITCH(Sheet5!C92,FALSE,"NO",TRUE,"YES")</f>
        <v>NO</v>
      </c>
      <c r="G92" t="str" cm="1">
        <f t="array" ref="G92">_xlfn.SWITCH(Sheet5!B92,0,"Sunday",1,"Monday",2,"Tuesday",3,"Wednesday",4,"Thursday",5,"Friday",6,"Saturday")</f>
        <v>Tuesday</v>
      </c>
      <c r="H92" t="str" cm="1">
        <f t="array" ref="H92">_xlfn.SWITCH(Sheet5!D92, 1, "Clear Sky", 2, "Mist", 3, "Dark Cloud",4,"Heavy Rainfall")</f>
        <v>Clear Sky</v>
      </c>
      <c r="I92" s="26">
        <f>Sheet5!E92*41</f>
        <v>9.02</v>
      </c>
      <c r="J92" s="27">
        <v>0.64</v>
      </c>
      <c r="K92">
        <v>8.9599999999999999E-2</v>
      </c>
      <c r="L92">
        <v>1</v>
      </c>
      <c r="M92">
        <v>34</v>
      </c>
      <c r="N92">
        <v>35</v>
      </c>
    </row>
    <row r="93" spans="1:14" x14ac:dyDescent="0.3">
      <c r="A93">
        <v>92</v>
      </c>
      <c r="B93" s="21">
        <v>40547</v>
      </c>
      <c r="C93" s="25" t="s">
        <v>16</v>
      </c>
      <c r="D93" s="25" t="str" cm="1">
        <f t="array" ref="D93">_xlfn.SWITCH(Sheet5!A93,1,"JANUARY",2,"FEBRUARY")</f>
        <v>JANUARY</v>
      </c>
      <c r="E93">
        <v>23</v>
      </c>
      <c r="F93" t="str" cm="1">
        <f t="array" ref="F93">_xlfn.SWITCH(Sheet5!C93,FALSE,"NO",TRUE,"YES")</f>
        <v>NO</v>
      </c>
      <c r="G93" t="str" cm="1">
        <f t="array" ref="G93">_xlfn.SWITCH(Sheet5!B93,0,"Sunday",1,"Monday",2,"Tuesday",3,"Wednesday",4,"Thursday",5,"Friday",6,"Saturday")</f>
        <v>Tuesday</v>
      </c>
      <c r="H93" t="str" cm="1">
        <f t="array" ref="H93">_xlfn.SWITCH(Sheet5!D93, 1, "Clear Sky", 2, "Mist", 3, "Dark Cloud",4,"Heavy Rainfall")</f>
        <v>Clear Sky</v>
      </c>
      <c r="I93" s="26">
        <f>Sheet5!E93*41</f>
        <v>8.2000000000000011</v>
      </c>
      <c r="J93" s="27">
        <v>0.69</v>
      </c>
      <c r="K93">
        <v>8.9599999999999999E-2</v>
      </c>
      <c r="L93">
        <v>2</v>
      </c>
      <c r="M93">
        <v>9</v>
      </c>
      <c r="N93">
        <v>11</v>
      </c>
    </row>
    <row r="94" spans="1:14" x14ac:dyDescent="0.3">
      <c r="A94">
        <v>93</v>
      </c>
      <c r="B94" s="21">
        <v>40548</v>
      </c>
      <c r="C94" s="25" t="s">
        <v>16</v>
      </c>
      <c r="D94" s="25" t="str" cm="1">
        <f t="array" ref="D94">_xlfn.SWITCH(Sheet5!A94,1,"JANUARY",2,"FEBRUARY")</f>
        <v>JANUARY</v>
      </c>
      <c r="E94">
        <v>0</v>
      </c>
      <c r="F94" t="str" cm="1">
        <f t="array" ref="F94">_xlfn.SWITCH(Sheet5!C94,FALSE,"NO",TRUE,"YES")</f>
        <v>NO</v>
      </c>
      <c r="G94" t="str" cm="1">
        <f t="array" ref="G94">_xlfn.SWITCH(Sheet5!B94,0,"Sunday",1,"Monday",2,"Tuesday",3,"Wednesday",4,"Thursday",5,"Friday",6,"Saturday")</f>
        <v>Wednesday</v>
      </c>
      <c r="H94" t="str" cm="1">
        <f t="array" ref="H94">_xlfn.SWITCH(Sheet5!D94, 1, "Clear Sky", 2, "Mist", 3, "Dark Cloud",4,"Heavy Rainfall")</f>
        <v>Clear Sky</v>
      </c>
      <c r="I94" s="26">
        <f>Sheet5!E94*41</f>
        <v>8.2000000000000011</v>
      </c>
      <c r="J94" s="27">
        <v>0.64</v>
      </c>
      <c r="K94">
        <v>0</v>
      </c>
      <c r="L94">
        <v>0</v>
      </c>
      <c r="M94">
        <v>6</v>
      </c>
      <c r="N94">
        <v>6</v>
      </c>
    </row>
    <row r="95" spans="1:14" x14ac:dyDescent="0.3">
      <c r="A95">
        <v>94</v>
      </c>
      <c r="B95" s="21">
        <v>40548</v>
      </c>
      <c r="C95" s="25" t="s">
        <v>16</v>
      </c>
      <c r="D95" s="25" t="str" cm="1">
        <f t="array" ref="D95">_xlfn.SWITCH(Sheet5!A95,1,"JANUARY",2,"FEBRUARY")</f>
        <v>JANUARY</v>
      </c>
      <c r="E95">
        <v>1</v>
      </c>
      <c r="F95" t="str" cm="1">
        <f t="array" ref="F95">_xlfn.SWITCH(Sheet5!C95,FALSE,"NO",TRUE,"YES")</f>
        <v>NO</v>
      </c>
      <c r="G95" t="str" cm="1">
        <f t="array" ref="G95">_xlfn.SWITCH(Sheet5!B95,0,"Sunday",1,"Monday",2,"Tuesday",3,"Wednesday",4,"Thursday",5,"Friday",6,"Saturday")</f>
        <v>Wednesday</v>
      </c>
      <c r="H95" t="str" cm="1">
        <f t="array" ref="H95">_xlfn.SWITCH(Sheet5!D95, 1, "Clear Sky", 2, "Mist", 3, "Dark Cloud",4,"Heavy Rainfall")</f>
        <v>Clear Sky</v>
      </c>
      <c r="I95" s="26">
        <f>Sheet5!E95*41</f>
        <v>6.5600000000000005</v>
      </c>
      <c r="J95" s="27">
        <v>0.74</v>
      </c>
      <c r="K95">
        <v>8.9599999999999999E-2</v>
      </c>
      <c r="L95">
        <v>0</v>
      </c>
      <c r="M95">
        <v>6</v>
      </c>
      <c r="N95">
        <v>6</v>
      </c>
    </row>
    <row r="96" spans="1:14" x14ac:dyDescent="0.3">
      <c r="A96">
        <v>95</v>
      </c>
      <c r="B96" s="21">
        <v>40548</v>
      </c>
      <c r="C96" s="25" t="s">
        <v>16</v>
      </c>
      <c r="D96" s="25" t="str" cm="1">
        <f t="array" ref="D96">_xlfn.SWITCH(Sheet5!A96,1,"JANUARY",2,"FEBRUARY")</f>
        <v>JANUARY</v>
      </c>
      <c r="E96">
        <v>2</v>
      </c>
      <c r="F96" t="str" cm="1">
        <f t="array" ref="F96">_xlfn.SWITCH(Sheet5!C96,FALSE,"NO",TRUE,"YES")</f>
        <v>NO</v>
      </c>
      <c r="G96" t="str" cm="1">
        <f t="array" ref="G96">_xlfn.SWITCH(Sheet5!B96,0,"Sunday",1,"Monday",2,"Tuesday",3,"Wednesday",4,"Thursday",5,"Friday",6,"Saturday")</f>
        <v>Wednesday</v>
      </c>
      <c r="H96" t="str" cm="1">
        <f t="array" ref="H96">_xlfn.SWITCH(Sheet5!D96, 1, "Clear Sky", 2, "Mist", 3, "Dark Cloud",4,"Heavy Rainfall")</f>
        <v>Clear Sky</v>
      </c>
      <c r="I96" s="26">
        <f>Sheet5!E96*41</f>
        <v>6.5600000000000005</v>
      </c>
      <c r="J96" s="27">
        <v>0.74</v>
      </c>
      <c r="K96">
        <v>8.9599999999999999E-2</v>
      </c>
      <c r="L96">
        <v>0</v>
      </c>
      <c r="M96">
        <v>2</v>
      </c>
      <c r="N96">
        <v>2</v>
      </c>
    </row>
    <row r="97" spans="1:14" x14ac:dyDescent="0.3">
      <c r="A97">
        <v>96</v>
      </c>
      <c r="B97" s="21">
        <v>40548</v>
      </c>
      <c r="C97" s="25" t="s">
        <v>16</v>
      </c>
      <c r="D97" s="25" t="str" cm="1">
        <f t="array" ref="D97">_xlfn.SWITCH(Sheet5!A97,1,"JANUARY",2,"FEBRUARY")</f>
        <v>JANUARY</v>
      </c>
      <c r="E97">
        <v>4</v>
      </c>
      <c r="F97" t="str" cm="1">
        <f t="array" ref="F97">_xlfn.SWITCH(Sheet5!C97,FALSE,"NO",TRUE,"YES")</f>
        <v>NO</v>
      </c>
      <c r="G97" t="str" cm="1">
        <f t="array" ref="G97">_xlfn.SWITCH(Sheet5!B97,0,"Sunday",1,"Monday",2,"Tuesday",3,"Wednesday",4,"Thursday",5,"Friday",6,"Saturday")</f>
        <v>Wednesday</v>
      </c>
      <c r="H97" t="str" cm="1">
        <f t="array" ref="H97">_xlfn.SWITCH(Sheet5!D97, 1, "Clear Sky", 2, "Mist", 3, "Dark Cloud",4,"Heavy Rainfall")</f>
        <v>Clear Sky</v>
      </c>
      <c r="I97" s="26">
        <f>Sheet5!E97*41</f>
        <v>9.84</v>
      </c>
      <c r="J97" s="27">
        <v>0.48</v>
      </c>
      <c r="K97">
        <v>0.22389999999999999</v>
      </c>
      <c r="L97">
        <v>0</v>
      </c>
      <c r="M97">
        <v>2</v>
      </c>
      <c r="N97">
        <v>2</v>
      </c>
    </row>
    <row r="98" spans="1:14" x14ac:dyDescent="0.3">
      <c r="A98">
        <v>97</v>
      </c>
      <c r="B98" s="21">
        <v>40548</v>
      </c>
      <c r="C98" s="25" t="s">
        <v>16</v>
      </c>
      <c r="D98" s="25" t="str" cm="1">
        <f t="array" ref="D98">_xlfn.SWITCH(Sheet5!A98,1,"JANUARY",2,"FEBRUARY")</f>
        <v>JANUARY</v>
      </c>
      <c r="E98">
        <v>5</v>
      </c>
      <c r="F98" t="str" cm="1">
        <f t="array" ref="F98">_xlfn.SWITCH(Sheet5!C98,FALSE,"NO",TRUE,"YES")</f>
        <v>NO</v>
      </c>
      <c r="G98" t="str" cm="1">
        <f t="array" ref="G98">_xlfn.SWITCH(Sheet5!B98,0,"Sunday",1,"Monday",2,"Tuesday",3,"Wednesday",4,"Thursday",5,"Friday",6,"Saturday")</f>
        <v>Wednesday</v>
      </c>
      <c r="H98" t="str" cm="1">
        <f t="array" ref="H98">_xlfn.SWITCH(Sheet5!D98, 1, "Clear Sky", 2, "Mist", 3, "Dark Cloud",4,"Heavy Rainfall")</f>
        <v>Clear Sky</v>
      </c>
      <c r="I98" s="26">
        <f>Sheet5!E98*41</f>
        <v>9.02</v>
      </c>
      <c r="J98" s="27">
        <v>0.47</v>
      </c>
      <c r="K98">
        <v>0.16420000000000001</v>
      </c>
      <c r="L98">
        <v>0</v>
      </c>
      <c r="M98">
        <v>3</v>
      </c>
      <c r="N98">
        <v>3</v>
      </c>
    </row>
    <row r="99" spans="1:14" x14ac:dyDescent="0.3">
      <c r="A99">
        <v>98</v>
      </c>
      <c r="B99" s="21">
        <v>40548</v>
      </c>
      <c r="C99" s="25" t="s">
        <v>16</v>
      </c>
      <c r="D99" s="25" t="str" cm="1">
        <f t="array" ref="D99">_xlfn.SWITCH(Sheet5!A99,1,"JANUARY",2,"FEBRUARY")</f>
        <v>JANUARY</v>
      </c>
      <c r="E99">
        <v>6</v>
      </c>
      <c r="F99" t="str" cm="1">
        <f t="array" ref="F99">_xlfn.SWITCH(Sheet5!C99,FALSE,"NO",TRUE,"YES")</f>
        <v>NO</v>
      </c>
      <c r="G99" t="str" cm="1">
        <f t="array" ref="G99">_xlfn.SWITCH(Sheet5!B99,0,"Sunday",1,"Monday",2,"Tuesday",3,"Wednesday",4,"Thursday",5,"Friday",6,"Saturday")</f>
        <v>Wednesday</v>
      </c>
      <c r="H99" t="str" cm="1">
        <f t="array" ref="H99">_xlfn.SWITCH(Sheet5!D99, 1, "Clear Sky", 2, "Mist", 3, "Dark Cloud",4,"Heavy Rainfall")</f>
        <v>Clear Sky</v>
      </c>
      <c r="I99" s="26">
        <f>Sheet5!E99*41</f>
        <v>8.2000000000000011</v>
      </c>
      <c r="J99" s="27">
        <v>0.47</v>
      </c>
      <c r="K99">
        <v>0.22389999999999999</v>
      </c>
      <c r="L99">
        <v>0</v>
      </c>
      <c r="M99">
        <v>33</v>
      </c>
      <c r="N99">
        <v>33</v>
      </c>
    </row>
    <row r="100" spans="1:14" x14ac:dyDescent="0.3">
      <c r="A100">
        <v>99</v>
      </c>
      <c r="B100" s="21">
        <v>40548</v>
      </c>
      <c r="C100" s="25" t="s">
        <v>16</v>
      </c>
      <c r="D100" s="25" t="str" cm="1">
        <f t="array" ref="D100">_xlfn.SWITCH(Sheet5!A100,1,"JANUARY",2,"FEBRUARY")</f>
        <v>JANUARY</v>
      </c>
      <c r="E100">
        <v>7</v>
      </c>
      <c r="F100" t="str" cm="1">
        <f t="array" ref="F100">_xlfn.SWITCH(Sheet5!C100,FALSE,"NO",TRUE,"YES")</f>
        <v>NO</v>
      </c>
      <c r="G100" t="str" cm="1">
        <f t="array" ref="G100">_xlfn.SWITCH(Sheet5!B100,0,"Sunday",1,"Monday",2,"Tuesday",3,"Wednesday",4,"Thursday",5,"Friday",6,"Saturday")</f>
        <v>Wednesday</v>
      </c>
      <c r="H100" t="str" cm="1">
        <f t="array" ref="H100">_xlfn.SWITCH(Sheet5!D100, 1, "Clear Sky", 2, "Mist", 3, "Dark Cloud",4,"Heavy Rainfall")</f>
        <v>Clear Sky</v>
      </c>
      <c r="I100" s="26">
        <f>Sheet5!E100*41</f>
        <v>7.38</v>
      </c>
      <c r="J100" s="27">
        <v>0.43</v>
      </c>
      <c r="K100">
        <v>0.19400000000000001</v>
      </c>
      <c r="L100">
        <v>1</v>
      </c>
      <c r="M100">
        <v>87</v>
      </c>
      <c r="N100">
        <v>88</v>
      </c>
    </row>
    <row r="101" spans="1:14" x14ac:dyDescent="0.3">
      <c r="A101">
        <v>100</v>
      </c>
      <c r="B101" s="21">
        <v>40548</v>
      </c>
      <c r="C101" s="25" t="s">
        <v>16</v>
      </c>
      <c r="D101" s="25" t="str" cm="1">
        <f t="array" ref="D101">_xlfn.SWITCH(Sheet5!A101,1,"JANUARY",2,"FEBRUARY")</f>
        <v>JANUARY</v>
      </c>
      <c r="E101">
        <v>8</v>
      </c>
      <c r="F101" t="str" cm="1">
        <f t="array" ref="F101">_xlfn.SWITCH(Sheet5!C101,FALSE,"NO",TRUE,"YES")</f>
        <v>NO</v>
      </c>
      <c r="G101" t="str" cm="1">
        <f t="array" ref="G101">_xlfn.SWITCH(Sheet5!B101,0,"Sunday",1,"Monday",2,"Tuesday",3,"Wednesday",4,"Thursday",5,"Friday",6,"Saturday")</f>
        <v>Wednesday</v>
      </c>
      <c r="H101" t="str" cm="1">
        <f t="array" ref="H101">_xlfn.SWITCH(Sheet5!D101, 1, "Clear Sky", 2, "Mist", 3, "Dark Cloud",4,"Heavy Rainfall")</f>
        <v>Clear Sky</v>
      </c>
      <c r="I101" s="26">
        <f>Sheet5!E101*41</f>
        <v>8.2000000000000011</v>
      </c>
      <c r="J101" s="27">
        <v>0.4</v>
      </c>
      <c r="K101">
        <v>0.29849999999999999</v>
      </c>
      <c r="L101">
        <v>3</v>
      </c>
      <c r="M101">
        <v>192</v>
      </c>
      <c r="N101">
        <v>195</v>
      </c>
    </row>
    <row r="102" spans="1:14" x14ac:dyDescent="0.3">
      <c r="A102">
        <v>101</v>
      </c>
      <c r="B102" s="21">
        <v>40548</v>
      </c>
      <c r="C102" s="25" t="s">
        <v>16</v>
      </c>
      <c r="D102" s="25" t="str" cm="1">
        <f t="array" ref="D102">_xlfn.SWITCH(Sheet5!A102,1,"JANUARY",2,"FEBRUARY")</f>
        <v>JANUARY</v>
      </c>
      <c r="E102">
        <v>9</v>
      </c>
      <c r="F102" t="str" cm="1">
        <f t="array" ref="F102">_xlfn.SWITCH(Sheet5!C102,FALSE,"NO",TRUE,"YES")</f>
        <v>NO</v>
      </c>
      <c r="G102" t="str" cm="1">
        <f t="array" ref="G102">_xlfn.SWITCH(Sheet5!B102,0,"Sunday",1,"Monday",2,"Tuesday",3,"Wednesday",4,"Thursday",5,"Friday",6,"Saturday")</f>
        <v>Wednesday</v>
      </c>
      <c r="H102" t="str" cm="1">
        <f t="array" ref="H102">_xlfn.SWITCH(Sheet5!D102, 1, "Clear Sky", 2, "Mist", 3, "Dark Cloud",4,"Heavy Rainfall")</f>
        <v>Clear Sky</v>
      </c>
      <c r="I102" s="26">
        <f>Sheet5!E102*41</f>
        <v>9.02</v>
      </c>
      <c r="J102" s="27">
        <v>0.37</v>
      </c>
      <c r="K102">
        <v>0.32840000000000003</v>
      </c>
      <c r="L102">
        <v>6</v>
      </c>
      <c r="M102">
        <v>109</v>
      </c>
      <c r="N102">
        <v>115</v>
      </c>
    </row>
    <row r="103" spans="1:14" x14ac:dyDescent="0.3">
      <c r="A103">
        <v>102</v>
      </c>
      <c r="B103" s="21">
        <v>40548</v>
      </c>
      <c r="C103" s="25" t="s">
        <v>16</v>
      </c>
      <c r="D103" s="25" t="str" cm="1">
        <f t="array" ref="D103">_xlfn.SWITCH(Sheet5!A103,1,"JANUARY",2,"FEBRUARY")</f>
        <v>JANUARY</v>
      </c>
      <c r="E103">
        <v>10</v>
      </c>
      <c r="F103" t="str" cm="1">
        <f t="array" ref="F103">_xlfn.SWITCH(Sheet5!C103,FALSE,"NO",TRUE,"YES")</f>
        <v>NO</v>
      </c>
      <c r="G103" t="str" cm="1">
        <f t="array" ref="G103">_xlfn.SWITCH(Sheet5!B103,0,"Sunday",1,"Monday",2,"Tuesday",3,"Wednesday",4,"Thursday",5,"Friday",6,"Saturday")</f>
        <v>Wednesday</v>
      </c>
      <c r="H103" t="str" cm="1">
        <f t="array" ref="H103">_xlfn.SWITCH(Sheet5!D103, 1, "Clear Sky", 2, "Mist", 3, "Dark Cloud",4,"Heavy Rainfall")</f>
        <v>Clear Sky</v>
      </c>
      <c r="I103" s="26">
        <f>Sheet5!E103*41</f>
        <v>9.02</v>
      </c>
      <c r="J103" s="27">
        <v>0.37</v>
      </c>
      <c r="K103">
        <v>0.32840000000000003</v>
      </c>
      <c r="L103">
        <v>4</v>
      </c>
      <c r="M103">
        <v>53</v>
      </c>
      <c r="N103">
        <v>57</v>
      </c>
    </row>
    <row r="104" spans="1:14" x14ac:dyDescent="0.3">
      <c r="A104">
        <v>103</v>
      </c>
      <c r="B104" s="21">
        <v>40548</v>
      </c>
      <c r="C104" s="25" t="s">
        <v>16</v>
      </c>
      <c r="D104" s="25" t="str" cm="1">
        <f t="array" ref="D104">_xlfn.SWITCH(Sheet5!A104,1,"JANUARY",2,"FEBRUARY")</f>
        <v>JANUARY</v>
      </c>
      <c r="E104">
        <v>11</v>
      </c>
      <c r="F104" t="str" cm="1">
        <f t="array" ref="F104">_xlfn.SWITCH(Sheet5!C104,FALSE,"NO",TRUE,"YES")</f>
        <v>NO</v>
      </c>
      <c r="G104" t="str" cm="1">
        <f t="array" ref="G104">_xlfn.SWITCH(Sheet5!B104,0,"Sunday",1,"Monday",2,"Tuesday",3,"Wednesday",4,"Thursday",5,"Friday",6,"Saturday")</f>
        <v>Wednesday</v>
      </c>
      <c r="H104" t="str" cm="1">
        <f t="array" ref="H104">_xlfn.SWITCH(Sheet5!D104, 1, "Clear Sky", 2, "Mist", 3, "Dark Cloud",4,"Heavy Rainfall")</f>
        <v>Clear Sky</v>
      </c>
      <c r="I104" s="26">
        <f>Sheet5!E104*41</f>
        <v>10.66</v>
      </c>
      <c r="J104" s="27">
        <v>0.33</v>
      </c>
      <c r="K104">
        <v>0.32840000000000003</v>
      </c>
      <c r="L104">
        <v>12</v>
      </c>
      <c r="M104">
        <v>34</v>
      </c>
      <c r="N104">
        <v>46</v>
      </c>
    </row>
    <row r="105" spans="1:14" x14ac:dyDescent="0.3">
      <c r="A105">
        <v>104</v>
      </c>
      <c r="B105" s="21">
        <v>40548</v>
      </c>
      <c r="C105" s="25" t="s">
        <v>16</v>
      </c>
      <c r="D105" s="25" t="str" cm="1">
        <f t="array" ref="D105">_xlfn.SWITCH(Sheet5!A105,1,"JANUARY",2,"FEBRUARY")</f>
        <v>JANUARY</v>
      </c>
      <c r="E105">
        <v>12</v>
      </c>
      <c r="F105" t="str" cm="1">
        <f t="array" ref="F105">_xlfn.SWITCH(Sheet5!C105,FALSE,"NO",TRUE,"YES")</f>
        <v>NO</v>
      </c>
      <c r="G105" t="str" cm="1">
        <f t="array" ref="G105">_xlfn.SWITCH(Sheet5!B105,0,"Sunday",1,"Monday",2,"Tuesday",3,"Wednesday",4,"Thursday",5,"Friday",6,"Saturday")</f>
        <v>Wednesday</v>
      </c>
      <c r="H105" t="str" cm="1">
        <f t="array" ref="H105">_xlfn.SWITCH(Sheet5!D105, 1, "Clear Sky", 2, "Mist", 3, "Dark Cloud",4,"Heavy Rainfall")</f>
        <v>Clear Sky</v>
      </c>
      <c r="I105" s="26">
        <f>Sheet5!E105*41</f>
        <v>10.66</v>
      </c>
      <c r="J105" s="27">
        <v>0.33</v>
      </c>
      <c r="K105">
        <v>0.32840000000000003</v>
      </c>
      <c r="L105">
        <v>5</v>
      </c>
      <c r="M105">
        <v>74</v>
      </c>
      <c r="N105">
        <v>79</v>
      </c>
    </row>
    <row r="106" spans="1:14" x14ac:dyDescent="0.3">
      <c r="A106">
        <v>105</v>
      </c>
      <c r="B106" s="21">
        <v>40548</v>
      </c>
      <c r="C106" s="25" t="s">
        <v>16</v>
      </c>
      <c r="D106" s="25" t="str" cm="1">
        <f t="array" ref="D106">_xlfn.SWITCH(Sheet5!A106,1,"JANUARY",2,"FEBRUARY")</f>
        <v>JANUARY</v>
      </c>
      <c r="E106">
        <v>13</v>
      </c>
      <c r="F106" t="str" cm="1">
        <f t="array" ref="F106">_xlfn.SWITCH(Sheet5!C106,FALSE,"NO",TRUE,"YES")</f>
        <v>NO</v>
      </c>
      <c r="G106" t="str" cm="1">
        <f t="array" ref="G106">_xlfn.SWITCH(Sheet5!B106,0,"Sunday",1,"Monday",2,"Tuesday",3,"Wednesday",4,"Thursday",5,"Friday",6,"Saturday")</f>
        <v>Wednesday</v>
      </c>
      <c r="H106" t="str" cm="1">
        <f t="array" ref="H106">_xlfn.SWITCH(Sheet5!D106, 1, "Clear Sky", 2, "Mist", 3, "Dark Cloud",4,"Heavy Rainfall")</f>
        <v>Clear Sky</v>
      </c>
      <c r="I106" s="26">
        <f>Sheet5!E106*41</f>
        <v>11.48</v>
      </c>
      <c r="J106" s="27">
        <v>0.3</v>
      </c>
      <c r="K106">
        <v>0.29849999999999999</v>
      </c>
      <c r="L106">
        <v>6</v>
      </c>
      <c r="M106">
        <v>65</v>
      </c>
      <c r="N106">
        <v>71</v>
      </c>
    </row>
    <row r="107" spans="1:14" x14ac:dyDescent="0.3">
      <c r="A107">
        <v>106</v>
      </c>
      <c r="B107" s="21">
        <v>40548</v>
      </c>
      <c r="C107" s="25" t="s">
        <v>16</v>
      </c>
      <c r="D107" s="25" t="str" cm="1">
        <f t="array" ref="D107">_xlfn.SWITCH(Sheet5!A107,1,"JANUARY",2,"FEBRUARY")</f>
        <v>JANUARY</v>
      </c>
      <c r="E107">
        <v>14</v>
      </c>
      <c r="F107" t="str" cm="1">
        <f t="array" ref="F107">_xlfn.SWITCH(Sheet5!C107,FALSE,"NO",TRUE,"YES")</f>
        <v>NO</v>
      </c>
      <c r="G107" t="str" cm="1">
        <f t="array" ref="G107">_xlfn.SWITCH(Sheet5!B107,0,"Sunday",1,"Monday",2,"Tuesday",3,"Wednesday",4,"Thursday",5,"Friday",6,"Saturday")</f>
        <v>Wednesday</v>
      </c>
      <c r="H107" t="str" cm="1">
        <f t="array" ref="H107">_xlfn.SWITCH(Sheet5!D107, 1, "Clear Sky", 2, "Mist", 3, "Dark Cloud",4,"Heavy Rainfall")</f>
        <v>Clear Sky</v>
      </c>
      <c r="I107" s="26">
        <f>Sheet5!E107*41</f>
        <v>12.299999999999999</v>
      </c>
      <c r="J107" s="27">
        <v>0.28000000000000003</v>
      </c>
      <c r="K107">
        <v>0.19400000000000001</v>
      </c>
      <c r="L107">
        <v>10</v>
      </c>
      <c r="M107">
        <v>52</v>
      </c>
      <c r="N107">
        <v>62</v>
      </c>
    </row>
    <row r="108" spans="1:14" x14ac:dyDescent="0.3">
      <c r="A108">
        <v>107</v>
      </c>
      <c r="B108" s="21">
        <v>40548</v>
      </c>
      <c r="C108" s="25" t="s">
        <v>16</v>
      </c>
      <c r="D108" s="25" t="str" cm="1">
        <f t="array" ref="D108">_xlfn.SWITCH(Sheet5!A108,1,"JANUARY",2,"FEBRUARY")</f>
        <v>JANUARY</v>
      </c>
      <c r="E108">
        <v>15</v>
      </c>
      <c r="F108" t="str" cm="1">
        <f t="array" ref="F108">_xlfn.SWITCH(Sheet5!C108,FALSE,"NO",TRUE,"YES")</f>
        <v>NO</v>
      </c>
      <c r="G108" t="str" cm="1">
        <f t="array" ref="G108">_xlfn.SWITCH(Sheet5!B108,0,"Sunday",1,"Monday",2,"Tuesday",3,"Wednesday",4,"Thursday",5,"Friday",6,"Saturday")</f>
        <v>Wednesday</v>
      </c>
      <c r="H108" t="str" cm="1">
        <f t="array" ref="H108">_xlfn.SWITCH(Sheet5!D108, 1, "Clear Sky", 2, "Mist", 3, "Dark Cloud",4,"Heavy Rainfall")</f>
        <v>Clear Sky</v>
      </c>
      <c r="I108" s="26">
        <f>Sheet5!E108*41</f>
        <v>12.299999999999999</v>
      </c>
      <c r="J108" s="27">
        <v>0.28000000000000003</v>
      </c>
      <c r="K108">
        <v>0.19400000000000001</v>
      </c>
      <c r="L108">
        <v>7</v>
      </c>
      <c r="M108">
        <v>55</v>
      </c>
      <c r="N108">
        <v>62</v>
      </c>
    </row>
    <row r="109" spans="1:14" x14ac:dyDescent="0.3">
      <c r="A109">
        <v>108</v>
      </c>
      <c r="B109" s="21">
        <v>40548</v>
      </c>
      <c r="C109" s="25" t="s">
        <v>16</v>
      </c>
      <c r="D109" s="25" t="str" cm="1">
        <f t="array" ref="D109">_xlfn.SWITCH(Sheet5!A109,1,"JANUARY",2,"FEBRUARY")</f>
        <v>JANUARY</v>
      </c>
      <c r="E109">
        <v>16</v>
      </c>
      <c r="F109" t="str" cm="1">
        <f t="array" ref="F109">_xlfn.SWITCH(Sheet5!C109,FALSE,"NO",TRUE,"YES")</f>
        <v>NO</v>
      </c>
      <c r="G109" t="str" cm="1">
        <f t="array" ref="G109">_xlfn.SWITCH(Sheet5!B109,0,"Sunday",1,"Monday",2,"Tuesday",3,"Wednesday",4,"Thursday",5,"Friday",6,"Saturday")</f>
        <v>Wednesday</v>
      </c>
      <c r="H109" t="str" cm="1">
        <f t="array" ref="H109">_xlfn.SWITCH(Sheet5!D109, 1, "Clear Sky", 2, "Mist", 3, "Dark Cloud",4,"Heavy Rainfall")</f>
        <v>Clear Sky</v>
      </c>
      <c r="I109" s="26">
        <f>Sheet5!E109*41</f>
        <v>12.299999999999999</v>
      </c>
      <c r="J109" s="27">
        <v>0.28000000000000003</v>
      </c>
      <c r="K109">
        <v>8.9599999999999999E-2</v>
      </c>
      <c r="L109">
        <v>4</v>
      </c>
      <c r="M109">
        <v>85</v>
      </c>
      <c r="N109">
        <v>89</v>
      </c>
    </row>
    <row r="110" spans="1:14" x14ac:dyDescent="0.3">
      <c r="A110">
        <v>109</v>
      </c>
      <c r="B110" s="21">
        <v>40548</v>
      </c>
      <c r="C110" s="25" t="s">
        <v>16</v>
      </c>
      <c r="D110" s="25" t="str" cm="1">
        <f t="array" ref="D110">_xlfn.SWITCH(Sheet5!A110,1,"JANUARY",2,"FEBRUARY")</f>
        <v>JANUARY</v>
      </c>
      <c r="E110">
        <v>17</v>
      </c>
      <c r="F110" t="str" cm="1">
        <f t="array" ref="F110">_xlfn.SWITCH(Sheet5!C110,FALSE,"NO",TRUE,"YES")</f>
        <v>NO</v>
      </c>
      <c r="G110" t="str" cm="1">
        <f t="array" ref="G110">_xlfn.SWITCH(Sheet5!B110,0,"Sunday",1,"Monday",2,"Tuesday",3,"Wednesday",4,"Thursday",5,"Friday",6,"Saturday")</f>
        <v>Wednesday</v>
      </c>
      <c r="H110" t="str" cm="1">
        <f t="array" ref="H110">_xlfn.SWITCH(Sheet5!D110, 1, "Clear Sky", 2, "Mist", 3, "Dark Cloud",4,"Heavy Rainfall")</f>
        <v>Clear Sky</v>
      </c>
      <c r="I110" s="26">
        <f>Sheet5!E110*41</f>
        <v>9.84</v>
      </c>
      <c r="J110" s="27">
        <v>0.38</v>
      </c>
      <c r="K110">
        <v>0.19400000000000001</v>
      </c>
      <c r="L110">
        <v>4</v>
      </c>
      <c r="M110">
        <v>186</v>
      </c>
      <c r="N110">
        <v>190</v>
      </c>
    </row>
    <row r="111" spans="1:14" x14ac:dyDescent="0.3">
      <c r="A111">
        <v>110</v>
      </c>
      <c r="B111" s="21">
        <v>40548</v>
      </c>
      <c r="C111" s="25" t="s">
        <v>16</v>
      </c>
      <c r="D111" s="25" t="str" cm="1">
        <f t="array" ref="D111">_xlfn.SWITCH(Sheet5!A111,1,"JANUARY",2,"FEBRUARY")</f>
        <v>JANUARY</v>
      </c>
      <c r="E111">
        <v>18</v>
      </c>
      <c r="F111" t="str" cm="1">
        <f t="array" ref="F111">_xlfn.SWITCH(Sheet5!C111,FALSE,"NO",TRUE,"YES")</f>
        <v>NO</v>
      </c>
      <c r="G111" t="str" cm="1">
        <f t="array" ref="G111">_xlfn.SWITCH(Sheet5!B111,0,"Sunday",1,"Monday",2,"Tuesday",3,"Wednesday",4,"Thursday",5,"Friday",6,"Saturday")</f>
        <v>Wednesday</v>
      </c>
      <c r="H111" t="str" cm="1">
        <f t="array" ref="H111">_xlfn.SWITCH(Sheet5!D111, 1, "Clear Sky", 2, "Mist", 3, "Dark Cloud",4,"Heavy Rainfall")</f>
        <v>Clear Sky</v>
      </c>
      <c r="I111" s="26">
        <f>Sheet5!E111*41</f>
        <v>9.84</v>
      </c>
      <c r="J111" s="27">
        <v>0.38</v>
      </c>
      <c r="K111">
        <v>0.1343</v>
      </c>
      <c r="L111">
        <v>3</v>
      </c>
      <c r="M111">
        <v>166</v>
      </c>
      <c r="N111">
        <v>169</v>
      </c>
    </row>
    <row r="112" spans="1:14" x14ac:dyDescent="0.3">
      <c r="A112">
        <v>111</v>
      </c>
      <c r="B112" s="21">
        <v>40548</v>
      </c>
      <c r="C112" s="25" t="s">
        <v>16</v>
      </c>
      <c r="D112" s="25" t="str" cm="1">
        <f t="array" ref="D112">_xlfn.SWITCH(Sheet5!A112,1,"JANUARY",2,"FEBRUARY")</f>
        <v>JANUARY</v>
      </c>
      <c r="E112">
        <v>19</v>
      </c>
      <c r="F112" t="str" cm="1">
        <f t="array" ref="F112">_xlfn.SWITCH(Sheet5!C112,FALSE,"NO",TRUE,"YES")</f>
        <v>NO</v>
      </c>
      <c r="G112" t="str" cm="1">
        <f t="array" ref="G112">_xlfn.SWITCH(Sheet5!B112,0,"Sunday",1,"Monday",2,"Tuesday",3,"Wednesday",4,"Thursday",5,"Friday",6,"Saturday")</f>
        <v>Wednesday</v>
      </c>
      <c r="H112" t="str" cm="1">
        <f t="array" ref="H112">_xlfn.SWITCH(Sheet5!D112, 1, "Clear Sky", 2, "Mist", 3, "Dark Cloud",4,"Heavy Rainfall")</f>
        <v>Clear Sky</v>
      </c>
      <c r="I112" s="26">
        <f>Sheet5!E112*41</f>
        <v>9.84</v>
      </c>
      <c r="J112" s="27">
        <v>0.38</v>
      </c>
      <c r="K112">
        <v>0.1045</v>
      </c>
      <c r="L112">
        <v>5</v>
      </c>
      <c r="M112">
        <v>127</v>
      </c>
      <c r="N112">
        <v>132</v>
      </c>
    </row>
    <row r="113" spans="1:14" x14ac:dyDescent="0.3">
      <c r="A113">
        <v>112</v>
      </c>
      <c r="B113" s="21">
        <v>40548</v>
      </c>
      <c r="C113" s="25" t="s">
        <v>16</v>
      </c>
      <c r="D113" s="25" t="str" cm="1">
        <f t="array" ref="D113">_xlfn.SWITCH(Sheet5!A113,1,"JANUARY",2,"FEBRUARY")</f>
        <v>JANUARY</v>
      </c>
      <c r="E113">
        <v>20</v>
      </c>
      <c r="F113" t="str" cm="1">
        <f t="array" ref="F113">_xlfn.SWITCH(Sheet5!C113,FALSE,"NO",TRUE,"YES")</f>
        <v>NO</v>
      </c>
      <c r="G113" t="str" cm="1">
        <f t="array" ref="G113">_xlfn.SWITCH(Sheet5!B113,0,"Sunday",1,"Monday",2,"Tuesday",3,"Wednesday",4,"Thursday",5,"Friday",6,"Saturday")</f>
        <v>Wednesday</v>
      </c>
      <c r="H113" t="str" cm="1">
        <f t="array" ref="H113">_xlfn.SWITCH(Sheet5!D113, 1, "Clear Sky", 2, "Mist", 3, "Dark Cloud",4,"Heavy Rainfall")</f>
        <v>Clear Sky</v>
      </c>
      <c r="I113" s="26">
        <f>Sheet5!E113*41</f>
        <v>9.02</v>
      </c>
      <c r="J113" s="27">
        <v>0.47</v>
      </c>
      <c r="K113">
        <v>0.16420000000000001</v>
      </c>
      <c r="L113">
        <v>7</v>
      </c>
      <c r="M113">
        <v>82</v>
      </c>
      <c r="N113">
        <v>89</v>
      </c>
    </row>
    <row r="114" spans="1:14" x14ac:dyDescent="0.3">
      <c r="A114">
        <v>113</v>
      </c>
      <c r="B114" s="21">
        <v>40548</v>
      </c>
      <c r="C114" s="25" t="s">
        <v>16</v>
      </c>
      <c r="D114" s="25" t="str" cm="1">
        <f t="array" ref="D114">_xlfn.SWITCH(Sheet5!A114,1,"JANUARY",2,"FEBRUARY")</f>
        <v>JANUARY</v>
      </c>
      <c r="E114">
        <v>21</v>
      </c>
      <c r="F114" t="str" cm="1">
        <f t="array" ref="F114">_xlfn.SWITCH(Sheet5!C114,FALSE,"NO",TRUE,"YES")</f>
        <v>NO</v>
      </c>
      <c r="G114" t="str" cm="1">
        <f t="array" ref="G114">_xlfn.SWITCH(Sheet5!B114,0,"Sunday",1,"Monday",2,"Tuesday",3,"Wednesday",4,"Thursday",5,"Friday",6,"Saturday")</f>
        <v>Wednesday</v>
      </c>
      <c r="H114" t="str" cm="1">
        <f t="array" ref="H114">_xlfn.SWITCH(Sheet5!D114, 1, "Clear Sky", 2, "Mist", 3, "Dark Cloud",4,"Heavy Rainfall")</f>
        <v>Clear Sky</v>
      </c>
      <c r="I114" s="26">
        <f>Sheet5!E114*41</f>
        <v>8.2000000000000011</v>
      </c>
      <c r="J114" s="27">
        <v>0.51</v>
      </c>
      <c r="K114">
        <v>0.19400000000000001</v>
      </c>
      <c r="L114">
        <v>3</v>
      </c>
      <c r="M114">
        <v>40</v>
      </c>
      <c r="N114">
        <v>43</v>
      </c>
    </row>
    <row r="115" spans="1:14" x14ac:dyDescent="0.3">
      <c r="A115">
        <v>114</v>
      </c>
      <c r="B115" s="21">
        <v>40548</v>
      </c>
      <c r="C115" s="25" t="s">
        <v>16</v>
      </c>
      <c r="D115" s="25" t="str" cm="1">
        <f t="array" ref="D115">_xlfn.SWITCH(Sheet5!A115,1,"JANUARY",2,"FEBRUARY")</f>
        <v>JANUARY</v>
      </c>
      <c r="E115">
        <v>22</v>
      </c>
      <c r="F115" t="str" cm="1">
        <f t="array" ref="F115">_xlfn.SWITCH(Sheet5!C115,FALSE,"NO",TRUE,"YES")</f>
        <v>NO</v>
      </c>
      <c r="G115" t="str" cm="1">
        <f t="array" ref="G115">_xlfn.SWITCH(Sheet5!B115,0,"Sunday",1,"Monday",2,"Tuesday",3,"Wednesday",4,"Thursday",5,"Friday",6,"Saturday")</f>
        <v>Wednesday</v>
      </c>
      <c r="H115" t="str" cm="1">
        <f t="array" ref="H115">_xlfn.SWITCH(Sheet5!D115, 1, "Clear Sky", 2, "Mist", 3, "Dark Cloud",4,"Heavy Rainfall")</f>
        <v>Clear Sky</v>
      </c>
      <c r="I115" s="26">
        <f>Sheet5!E115*41</f>
        <v>7.38</v>
      </c>
      <c r="J115" s="27">
        <v>0.55000000000000004</v>
      </c>
      <c r="K115">
        <v>0.1343</v>
      </c>
      <c r="L115">
        <v>1</v>
      </c>
      <c r="M115">
        <v>41</v>
      </c>
      <c r="N115">
        <v>42</v>
      </c>
    </row>
    <row r="116" spans="1:14" x14ac:dyDescent="0.3">
      <c r="A116">
        <v>115</v>
      </c>
      <c r="B116" s="21">
        <v>40548</v>
      </c>
      <c r="C116" s="25" t="s">
        <v>16</v>
      </c>
      <c r="D116" s="25" t="str" cm="1">
        <f t="array" ref="D116">_xlfn.SWITCH(Sheet5!A116,1,"JANUARY",2,"FEBRUARY")</f>
        <v>JANUARY</v>
      </c>
      <c r="E116">
        <v>23</v>
      </c>
      <c r="F116" t="str" cm="1">
        <f t="array" ref="F116">_xlfn.SWITCH(Sheet5!C116,FALSE,"NO",TRUE,"YES")</f>
        <v>NO</v>
      </c>
      <c r="G116" t="str" cm="1">
        <f t="array" ref="G116">_xlfn.SWITCH(Sheet5!B116,0,"Sunday",1,"Monday",2,"Tuesday",3,"Wednesday",4,"Thursday",5,"Friday",6,"Saturday")</f>
        <v>Wednesday</v>
      </c>
      <c r="H116" t="str" cm="1">
        <f t="array" ref="H116">_xlfn.SWITCH(Sheet5!D116, 1, "Clear Sky", 2, "Mist", 3, "Dark Cloud",4,"Heavy Rainfall")</f>
        <v>Clear Sky</v>
      </c>
      <c r="I116" s="26">
        <f>Sheet5!E116*41</f>
        <v>8.2000000000000011</v>
      </c>
      <c r="J116" s="27">
        <v>0.47</v>
      </c>
      <c r="K116">
        <v>0</v>
      </c>
      <c r="L116">
        <v>1</v>
      </c>
      <c r="M116">
        <v>18</v>
      </c>
      <c r="N116">
        <v>19</v>
      </c>
    </row>
    <row r="117" spans="1:14" x14ac:dyDescent="0.3">
      <c r="A117">
        <v>116</v>
      </c>
      <c r="B117" s="21">
        <v>40549</v>
      </c>
      <c r="C117" s="25" t="s">
        <v>16</v>
      </c>
      <c r="D117" s="25" t="str" cm="1">
        <f t="array" ref="D117">_xlfn.SWITCH(Sheet5!A117,1,"JANUARY",2,"FEBRUARY")</f>
        <v>JANUARY</v>
      </c>
      <c r="E117">
        <v>0</v>
      </c>
      <c r="F117" t="str" cm="1">
        <f t="array" ref="F117">_xlfn.SWITCH(Sheet5!C117,FALSE,"NO",TRUE,"YES")</f>
        <v>NO</v>
      </c>
      <c r="G117" t="str" cm="1">
        <f t="array" ref="G117">_xlfn.SWITCH(Sheet5!B117,0,"Sunday",1,"Monday",2,"Tuesday",3,"Wednesday",4,"Thursday",5,"Friday",6,"Saturday")</f>
        <v>Thursday</v>
      </c>
      <c r="H117" t="str" cm="1">
        <f t="array" ref="H117">_xlfn.SWITCH(Sheet5!D117, 1, "Clear Sky", 2, "Mist", 3, "Dark Cloud",4,"Heavy Rainfall")</f>
        <v>Clear Sky</v>
      </c>
      <c r="I117" s="26">
        <f>Sheet5!E117*41</f>
        <v>7.38</v>
      </c>
      <c r="J117" s="27">
        <v>0.55000000000000004</v>
      </c>
      <c r="K117">
        <v>0</v>
      </c>
      <c r="L117">
        <v>0</v>
      </c>
      <c r="M117">
        <v>11</v>
      </c>
      <c r="N117">
        <v>11</v>
      </c>
    </row>
    <row r="118" spans="1:14" x14ac:dyDescent="0.3">
      <c r="A118">
        <v>117</v>
      </c>
      <c r="B118" s="21">
        <v>40549</v>
      </c>
      <c r="C118" s="25" t="s">
        <v>16</v>
      </c>
      <c r="D118" s="25" t="str" cm="1">
        <f t="array" ref="D118">_xlfn.SWITCH(Sheet5!A118,1,"JANUARY",2,"FEBRUARY")</f>
        <v>JANUARY</v>
      </c>
      <c r="E118">
        <v>1</v>
      </c>
      <c r="F118" t="str" cm="1">
        <f t="array" ref="F118">_xlfn.SWITCH(Sheet5!C118,FALSE,"NO",TRUE,"YES")</f>
        <v>NO</v>
      </c>
      <c r="G118" t="str" cm="1">
        <f t="array" ref="G118">_xlfn.SWITCH(Sheet5!B118,0,"Sunday",1,"Monday",2,"Tuesday",3,"Wednesday",4,"Thursday",5,"Friday",6,"Saturday")</f>
        <v>Thursday</v>
      </c>
      <c r="H118" t="str" cm="1">
        <f t="array" ref="H118">_xlfn.SWITCH(Sheet5!D118, 1, "Clear Sky", 2, "Mist", 3, "Dark Cloud",4,"Heavy Rainfall")</f>
        <v>Clear Sky</v>
      </c>
      <c r="I118" s="26">
        <f>Sheet5!E118*41</f>
        <v>6.5600000000000005</v>
      </c>
      <c r="J118" s="27">
        <v>0.64</v>
      </c>
      <c r="K118">
        <v>0</v>
      </c>
      <c r="L118">
        <v>0</v>
      </c>
      <c r="M118">
        <v>4</v>
      </c>
      <c r="N118">
        <v>4</v>
      </c>
    </row>
    <row r="119" spans="1:14" x14ac:dyDescent="0.3">
      <c r="A119">
        <v>118</v>
      </c>
      <c r="B119" s="21">
        <v>40549</v>
      </c>
      <c r="C119" s="25" t="s">
        <v>16</v>
      </c>
      <c r="D119" s="25" t="str" cm="1">
        <f t="array" ref="D119">_xlfn.SWITCH(Sheet5!A119,1,"JANUARY",2,"FEBRUARY")</f>
        <v>JANUARY</v>
      </c>
      <c r="E119">
        <v>2</v>
      </c>
      <c r="F119" t="str" cm="1">
        <f t="array" ref="F119">_xlfn.SWITCH(Sheet5!C119,FALSE,"NO",TRUE,"YES")</f>
        <v>NO</v>
      </c>
      <c r="G119" t="str" cm="1">
        <f t="array" ref="G119">_xlfn.SWITCH(Sheet5!B119,0,"Sunday",1,"Monday",2,"Tuesday",3,"Wednesday",4,"Thursday",5,"Friday",6,"Saturday")</f>
        <v>Thursday</v>
      </c>
      <c r="H119" t="str" cm="1">
        <f t="array" ref="H119">_xlfn.SWITCH(Sheet5!D119, 1, "Clear Sky", 2, "Mist", 3, "Dark Cloud",4,"Heavy Rainfall")</f>
        <v>Clear Sky</v>
      </c>
      <c r="I119" s="26">
        <f>Sheet5!E119*41</f>
        <v>6.5600000000000005</v>
      </c>
      <c r="J119" s="27">
        <v>0.64</v>
      </c>
      <c r="K119">
        <v>0</v>
      </c>
      <c r="L119">
        <v>0</v>
      </c>
      <c r="M119">
        <v>2</v>
      </c>
      <c r="N119">
        <v>2</v>
      </c>
    </row>
    <row r="120" spans="1:14" x14ac:dyDescent="0.3">
      <c r="A120">
        <v>119</v>
      </c>
      <c r="B120" s="21">
        <v>40549</v>
      </c>
      <c r="C120" s="25" t="s">
        <v>16</v>
      </c>
      <c r="D120" s="25" t="str" cm="1">
        <f t="array" ref="D120">_xlfn.SWITCH(Sheet5!A120,1,"JANUARY",2,"FEBRUARY")</f>
        <v>JANUARY</v>
      </c>
      <c r="E120">
        <v>4</v>
      </c>
      <c r="F120" t="str" cm="1">
        <f t="array" ref="F120">_xlfn.SWITCH(Sheet5!C120,FALSE,"NO",TRUE,"YES")</f>
        <v>NO</v>
      </c>
      <c r="G120" t="str" cm="1">
        <f t="array" ref="G120">_xlfn.SWITCH(Sheet5!B120,0,"Sunday",1,"Monday",2,"Tuesday",3,"Wednesday",4,"Thursday",5,"Friday",6,"Saturday")</f>
        <v>Thursday</v>
      </c>
      <c r="H120" t="str" cm="1">
        <f t="array" ref="H120">_xlfn.SWITCH(Sheet5!D120, 1, "Clear Sky", 2, "Mist", 3, "Dark Cloud",4,"Heavy Rainfall")</f>
        <v>Mist</v>
      </c>
      <c r="I120" s="26">
        <f>Sheet5!E120*41</f>
        <v>6.5600000000000005</v>
      </c>
      <c r="J120" s="27">
        <v>0.64</v>
      </c>
      <c r="K120">
        <v>8.9599999999999999E-2</v>
      </c>
      <c r="L120">
        <v>0</v>
      </c>
      <c r="M120">
        <v>1</v>
      </c>
      <c r="N120">
        <v>1</v>
      </c>
    </row>
    <row r="121" spans="1:14" x14ac:dyDescent="0.3">
      <c r="A121">
        <v>120</v>
      </c>
      <c r="B121" s="21">
        <v>40549</v>
      </c>
      <c r="C121" s="25" t="s">
        <v>16</v>
      </c>
      <c r="D121" s="25" t="str" cm="1">
        <f t="array" ref="D121">_xlfn.SWITCH(Sheet5!A121,1,"JANUARY",2,"FEBRUARY")</f>
        <v>JANUARY</v>
      </c>
      <c r="E121">
        <v>5</v>
      </c>
      <c r="F121" t="str" cm="1">
        <f t="array" ref="F121">_xlfn.SWITCH(Sheet5!C121,FALSE,"NO",TRUE,"YES")</f>
        <v>NO</v>
      </c>
      <c r="G121" t="str" cm="1">
        <f t="array" ref="G121">_xlfn.SWITCH(Sheet5!B121,0,"Sunday",1,"Monday",2,"Tuesday",3,"Wednesday",4,"Thursday",5,"Friday",6,"Saturday")</f>
        <v>Thursday</v>
      </c>
      <c r="H121" t="str" cm="1">
        <f t="array" ref="H121">_xlfn.SWITCH(Sheet5!D121, 1, "Clear Sky", 2, "Mist", 3, "Dark Cloud",4,"Heavy Rainfall")</f>
        <v>Mist</v>
      </c>
      <c r="I121" s="26">
        <f>Sheet5!E121*41</f>
        <v>5.74</v>
      </c>
      <c r="J121" s="27">
        <v>0.69</v>
      </c>
      <c r="K121">
        <v>8.9599999999999999E-2</v>
      </c>
      <c r="L121">
        <v>0</v>
      </c>
      <c r="M121">
        <v>4</v>
      </c>
      <c r="N121">
        <v>4</v>
      </c>
    </row>
    <row r="122" spans="1:14" x14ac:dyDescent="0.3">
      <c r="A122">
        <v>121</v>
      </c>
      <c r="B122" s="21">
        <v>40549</v>
      </c>
      <c r="C122" s="25" t="s">
        <v>16</v>
      </c>
      <c r="D122" s="25" t="str" cm="1">
        <f t="array" ref="D122">_xlfn.SWITCH(Sheet5!A122,1,"JANUARY",2,"FEBRUARY")</f>
        <v>JANUARY</v>
      </c>
      <c r="E122">
        <v>6</v>
      </c>
      <c r="F122" t="str" cm="1">
        <f t="array" ref="F122">_xlfn.SWITCH(Sheet5!C122,FALSE,"NO",TRUE,"YES")</f>
        <v>NO</v>
      </c>
      <c r="G122" t="str" cm="1">
        <f t="array" ref="G122">_xlfn.SWITCH(Sheet5!B122,0,"Sunday",1,"Monday",2,"Tuesday",3,"Wednesday",4,"Thursday",5,"Friday",6,"Saturday")</f>
        <v>Thursday</v>
      </c>
      <c r="H122" t="str" cm="1">
        <f t="array" ref="H122">_xlfn.SWITCH(Sheet5!D122, 1, "Clear Sky", 2, "Mist", 3, "Dark Cloud",4,"Heavy Rainfall")</f>
        <v>Mist</v>
      </c>
      <c r="I122" s="26">
        <f>Sheet5!E122*41</f>
        <v>5.74</v>
      </c>
      <c r="J122" s="27">
        <v>0.63</v>
      </c>
      <c r="K122">
        <v>0.1045</v>
      </c>
      <c r="L122">
        <v>0</v>
      </c>
      <c r="M122">
        <v>36</v>
      </c>
      <c r="N122">
        <v>36</v>
      </c>
    </row>
    <row r="123" spans="1:14" x14ac:dyDescent="0.3">
      <c r="A123">
        <v>122</v>
      </c>
      <c r="B123" s="21">
        <v>40549</v>
      </c>
      <c r="C123" s="25" t="s">
        <v>16</v>
      </c>
      <c r="D123" s="25" t="str" cm="1">
        <f t="array" ref="D123">_xlfn.SWITCH(Sheet5!A123,1,"JANUARY",2,"FEBRUARY")</f>
        <v>JANUARY</v>
      </c>
      <c r="E123">
        <v>7</v>
      </c>
      <c r="F123" t="str" cm="1">
        <f t="array" ref="F123">_xlfn.SWITCH(Sheet5!C123,FALSE,"NO",TRUE,"YES")</f>
        <v>NO</v>
      </c>
      <c r="G123" t="str" cm="1">
        <f t="array" ref="G123">_xlfn.SWITCH(Sheet5!B123,0,"Sunday",1,"Monday",2,"Tuesday",3,"Wednesday",4,"Thursday",5,"Friday",6,"Saturday")</f>
        <v>Thursday</v>
      </c>
      <c r="H123" t="str" cm="1">
        <f t="array" ref="H123">_xlfn.SWITCH(Sheet5!D123, 1, "Clear Sky", 2, "Mist", 3, "Dark Cloud",4,"Heavy Rainfall")</f>
        <v>Mist</v>
      </c>
      <c r="I123" s="26">
        <f>Sheet5!E123*41</f>
        <v>6.5600000000000005</v>
      </c>
      <c r="J123" s="27">
        <v>0.59</v>
      </c>
      <c r="K123">
        <v>0</v>
      </c>
      <c r="L123">
        <v>0</v>
      </c>
      <c r="M123">
        <v>95</v>
      </c>
      <c r="N123">
        <v>95</v>
      </c>
    </row>
    <row r="124" spans="1:14" x14ac:dyDescent="0.3">
      <c r="A124">
        <v>123</v>
      </c>
      <c r="B124" s="21">
        <v>40549</v>
      </c>
      <c r="C124" s="25" t="s">
        <v>16</v>
      </c>
      <c r="D124" s="25" t="str" cm="1">
        <f t="array" ref="D124">_xlfn.SWITCH(Sheet5!A124,1,"JANUARY",2,"FEBRUARY")</f>
        <v>JANUARY</v>
      </c>
      <c r="E124">
        <v>8</v>
      </c>
      <c r="F124" t="str" cm="1">
        <f t="array" ref="F124">_xlfn.SWITCH(Sheet5!C124,FALSE,"NO",TRUE,"YES")</f>
        <v>NO</v>
      </c>
      <c r="G124" t="str" cm="1">
        <f t="array" ref="G124">_xlfn.SWITCH(Sheet5!B124,0,"Sunday",1,"Monday",2,"Tuesday",3,"Wednesday",4,"Thursday",5,"Friday",6,"Saturday")</f>
        <v>Thursday</v>
      </c>
      <c r="H124" t="str" cm="1">
        <f t="array" ref="H124">_xlfn.SWITCH(Sheet5!D124, 1, "Clear Sky", 2, "Mist", 3, "Dark Cloud",4,"Heavy Rainfall")</f>
        <v>Clear Sky</v>
      </c>
      <c r="I124" s="26">
        <f>Sheet5!E124*41</f>
        <v>6.5600000000000005</v>
      </c>
      <c r="J124" s="27">
        <v>0.59</v>
      </c>
      <c r="K124">
        <v>0</v>
      </c>
      <c r="L124">
        <v>3</v>
      </c>
      <c r="M124">
        <v>216</v>
      </c>
      <c r="N124">
        <v>219</v>
      </c>
    </row>
    <row r="125" spans="1:14" x14ac:dyDescent="0.3">
      <c r="A125">
        <v>124</v>
      </c>
      <c r="B125" s="21">
        <v>40549</v>
      </c>
      <c r="C125" s="25" t="s">
        <v>16</v>
      </c>
      <c r="D125" s="25" t="str" cm="1">
        <f t="array" ref="D125">_xlfn.SWITCH(Sheet5!A125,1,"JANUARY",2,"FEBRUARY")</f>
        <v>JANUARY</v>
      </c>
      <c r="E125">
        <v>9</v>
      </c>
      <c r="F125" t="str" cm="1">
        <f t="array" ref="F125">_xlfn.SWITCH(Sheet5!C125,FALSE,"NO",TRUE,"YES")</f>
        <v>NO</v>
      </c>
      <c r="G125" t="str" cm="1">
        <f t="array" ref="G125">_xlfn.SWITCH(Sheet5!B125,0,"Sunday",1,"Monday",2,"Tuesday",3,"Wednesday",4,"Thursday",5,"Friday",6,"Saturday")</f>
        <v>Thursday</v>
      </c>
      <c r="H125" t="str" cm="1">
        <f t="array" ref="H125">_xlfn.SWITCH(Sheet5!D125, 1, "Clear Sky", 2, "Mist", 3, "Dark Cloud",4,"Heavy Rainfall")</f>
        <v>Mist</v>
      </c>
      <c r="I125" s="26">
        <f>Sheet5!E125*41</f>
        <v>7.38</v>
      </c>
      <c r="J125" s="27">
        <v>0.51</v>
      </c>
      <c r="K125">
        <v>0</v>
      </c>
      <c r="L125">
        <v>6</v>
      </c>
      <c r="M125">
        <v>116</v>
      </c>
      <c r="N125">
        <v>122</v>
      </c>
    </row>
    <row r="126" spans="1:14" x14ac:dyDescent="0.3">
      <c r="A126">
        <v>125</v>
      </c>
      <c r="B126" s="21">
        <v>40549</v>
      </c>
      <c r="C126" s="25" t="s">
        <v>16</v>
      </c>
      <c r="D126" s="25" t="str" cm="1">
        <f t="array" ref="D126">_xlfn.SWITCH(Sheet5!A126,1,"JANUARY",2,"FEBRUARY")</f>
        <v>JANUARY</v>
      </c>
      <c r="E126">
        <v>10</v>
      </c>
      <c r="F126" t="str" cm="1">
        <f t="array" ref="F126">_xlfn.SWITCH(Sheet5!C126,FALSE,"NO",TRUE,"YES")</f>
        <v>NO</v>
      </c>
      <c r="G126" t="str" cm="1">
        <f t="array" ref="G126">_xlfn.SWITCH(Sheet5!B126,0,"Sunday",1,"Monday",2,"Tuesday",3,"Wednesday",4,"Thursday",5,"Friday",6,"Saturday")</f>
        <v>Thursday</v>
      </c>
      <c r="H126" t="str" cm="1">
        <f t="array" ref="H126">_xlfn.SWITCH(Sheet5!D126, 1, "Clear Sky", 2, "Mist", 3, "Dark Cloud",4,"Heavy Rainfall")</f>
        <v>Clear Sky</v>
      </c>
      <c r="I126" s="26">
        <f>Sheet5!E126*41</f>
        <v>8.2000000000000011</v>
      </c>
      <c r="J126" s="27">
        <v>0.47</v>
      </c>
      <c r="K126">
        <v>0</v>
      </c>
      <c r="L126">
        <v>3</v>
      </c>
      <c r="M126">
        <v>42</v>
      </c>
      <c r="N126">
        <v>45</v>
      </c>
    </row>
    <row r="127" spans="1:14" x14ac:dyDescent="0.3">
      <c r="A127">
        <v>126</v>
      </c>
      <c r="B127" s="21">
        <v>40549</v>
      </c>
      <c r="C127" s="25" t="s">
        <v>16</v>
      </c>
      <c r="D127" s="25" t="str" cm="1">
        <f t="array" ref="D127">_xlfn.SWITCH(Sheet5!A127,1,"JANUARY",2,"FEBRUARY")</f>
        <v>JANUARY</v>
      </c>
      <c r="E127">
        <v>11</v>
      </c>
      <c r="F127" t="str" cm="1">
        <f t="array" ref="F127">_xlfn.SWITCH(Sheet5!C127,FALSE,"NO",TRUE,"YES")</f>
        <v>NO</v>
      </c>
      <c r="G127" t="str" cm="1">
        <f t="array" ref="G127">_xlfn.SWITCH(Sheet5!B127,0,"Sunday",1,"Monday",2,"Tuesday",3,"Wednesday",4,"Thursday",5,"Friday",6,"Saturday")</f>
        <v>Thursday</v>
      </c>
      <c r="H127" t="str" cm="1">
        <f t="array" ref="H127">_xlfn.SWITCH(Sheet5!D127, 1, "Clear Sky", 2, "Mist", 3, "Dark Cloud",4,"Heavy Rainfall")</f>
        <v>Clear Sky</v>
      </c>
      <c r="I127" s="26">
        <f>Sheet5!E127*41</f>
        <v>9.02</v>
      </c>
      <c r="J127" s="27">
        <v>0.44</v>
      </c>
      <c r="K127">
        <v>8.9599999999999999E-2</v>
      </c>
      <c r="L127">
        <v>2</v>
      </c>
      <c r="M127">
        <v>57</v>
      </c>
      <c r="N127">
        <v>59</v>
      </c>
    </row>
    <row r="128" spans="1:14" x14ac:dyDescent="0.3">
      <c r="A128">
        <v>127</v>
      </c>
      <c r="B128" s="21">
        <v>40549</v>
      </c>
      <c r="C128" s="25" t="s">
        <v>16</v>
      </c>
      <c r="D128" s="25" t="str" cm="1">
        <f t="array" ref="D128">_xlfn.SWITCH(Sheet5!A128,1,"JANUARY",2,"FEBRUARY")</f>
        <v>JANUARY</v>
      </c>
      <c r="E128">
        <v>12</v>
      </c>
      <c r="F128" t="str" cm="1">
        <f t="array" ref="F128">_xlfn.SWITCH(Sheet5!C128,FALSE,"NO",TRUE,"YES")</f>
        <v>NO</v>
      </c>
      <c r="G128" t="str" cm="1">
        <f t="array" ref="G128">_xlfn.SWITCH(Sheet5!B128,0,"Sunday",1,"Monday",2,"Tuesday",3,"Wednesday",4,"Thursday",5,"Friday",6,"Saturday")</f>
        <v>Thursday</v>
      </c>
      <c r="H128" t="str" cm="1">
        <f t="array" ref="H128">_xlfn.SWITCH(Sheet5!D128, 1, "Clear Sky", 2, "Mist", 3, "Dark Cloud",4,"Heavy Rainfall")</f>
        <v>Clear Sky</v>
      </c>
      <c r="I128" s="26">
        <f>Sheet5!E128*41</f>
        <v>10.66</v>
      </c>
      <c r="J128" s="27">
        <v>0.35</v>
      </c>
      <c r="K128">
        <v>0</v>
      </c>
      <c r="L128">
        <v>6</v>
      </c>
      <c r="M128">
        <v>78</v>
      </c>
      <c r="N128">
        <v>84</v>
      </c>
    </row>
    <row r="129" spans="1:14" x14ac:dyDescent="0.3">
      <c r="A129">
        <v>128</v>
      </c>
      <c r="B129" s="21">
        <v>40549</v>
      </c>
      <c r="C129" s="25" t="s">
        <v>16</v>
      </c>
      <c r="D129" s="25" t="str" cm="1">
        <f t="array" ref="D129">_xlfn.SWITCH(Sheet5!A129,1,"JANUARY",2,"FEBRUARY")</f>
        <v>JANUARY</v>
      </c>
      <c r="E129">
        <v>13</v>
      </c>
      <c r="F129" t="str" cm="1">
        <f t="array" ref="F129">_xlfn.SWITCH(Sheet5!C129,FALSE,"NO",TRUE,"YES")</f>
        <v>NO</v>
      </c>
      <c r="G129" t="str" cm="1">
        <f t="array" ref="G129">_xlfn.SWITCH(Sheet5!B129,0,"Sunday",1,"Monday",2,"Tuesday",3,"Wednesday",4,"Thursday",5,"Friday",6,"Saturday")</f>
        <v>Thursday</v>
      </c>
      <c r="H129" t="str" cm="1">
        <f t="array" ref="H129">_xlfn.SWITCH(Sheet5!D129, 1, "Clear Sky", 2, "Mist", 3, "Dark Cloud",4,"Heavy Rainfall")</f>
        <v>Clear Sky</v>
      </c>
      <c r="I129" s="26">
        <f>Sheet5!E129*41</f>
        <v>10.66</v>
      </c>
      <c r="J129" s="27">
        <v>0.35</v>
      </c>
      <c r="K129">
        <v>0.1045</v>
      </c>
      <c r="L129">
        <v>12</v>
      </c>
      <c r="M129">
        <v>55</v>
      </c>
      <c r="N129">
        <v>67</v>
      </c>
    </row>
    <row r="130" spans="1:14" x14ac:dyDescent="0.3">
      <c r="A130">
        <v>129</v>
      </c>
      <c r="B130" s="21">
        <v>40549</v>
      </c>
      <c r="C130" s="25" t="s">
        <v>16</v>
      </c>
      <c r="D130" s="25" t="str" cm="1">
        <f t="array" ref="D130">_xlfn.SWITCH(Sheet5!A130,1,"JANUARY",2,"FEBRUARY")</f>
        <v>JANUARY</v>
      </c>
      <c r="E130">
        <v>14</v>
      </c>
      <c r="F130" t="str" cm="1">
        <f t="array" ref="F130">_xlfn.SWITCH(Sheet5!C130,FALSE,"NO",TRUE,"YES")</f>
        <v>NO</v>
      </c>
      <c r="G130" t="str" cm="1">
        <f t="array" ref="G130">_xlfn.SWITCH(Sheet5!B130,0,"Sunday",1,"Monday",2,"Tuesday",3,"Wednesday",4,"Thursday",5,"Friday",6,"Saturday")</f>
        <v>Thursday</v>
      </c>
      <c r="H130" t="str" cm="1">
        <f t="array" ref="H130">_xlfn.SWITCH(Sheet5!D130, 1, "Clear Sky", 2, "Mist", 3, "Dark Cloud",4,"Heavy Rainfall")</f>
        <v>Clear Sky</v>
      </c>
      <c r="I130" s="26">
        <f>Sheet5!E130*41</f>
        <v>11.48</v>
      </c>
      <c r="J130" s="27">
        <v>0.36</v>
      </c>
      <c r="K130">
        <v>0.16420000000000001</v>
      </c>
      <c r="L130">
        <v>11</v>
      </c>
      <c r="M130">
        <v>59</v>
      </c>
      <c r="N130">
        <v>70</v>
      </c>
    </row>
    <row r="131" spans="1:14" x14ac:dyDescent="0.3">
      <c r="A131">
        <v>130</v>
      </c>
      <c r="B131" s="21">
        <v>40549</v>
      </c>
      <c r="C131" s="25" t="s">
        <v>16</v>
      </c>
      <c r="D131" s="25" t="str" cm="1">
        <f t="array" ref="D131">_xlfn.SWITCH(Sheet5!A131,1,"JANUARY",2,"FEBRUARY")</f>
        <v>JANUARY</v>
      </c>
      <c r="E131">
        <v>15</v>
      </c>
      <c r="F131" t="str" cm="1">
        <f t="array" ref="F131">_xlfn.SWITCH(Sheet5!C131,FALSE,"NO",TRUE,"YES")</f>
        <v>NO</v>
      </c>
      <c r="G131" t="str" cm="1">
        <f t="array" ref="G131">_xlfn.SWITCH(Sheet5!B131,0,"Sunday",1,"Monday",2,"Tuesday",3,"Wednesday",4,"Thursday",5,"Friday",6,"Saturday")</f>
        <v>Thursday</v>
      </c>
      <c r="H131" t="str" cm="1">
        <f t="array" ref="H131">_xlfn.SWITCH(Sheet5!D131, 1, "Clear Sky", 2, "Mist", 3, "Dark Cloud",4,"Heavy Rainfall")</f>
        <v>Clear Sky</v>
      </c>
      <c r="I131" s="26">
        <f>Sheet5!E131*41</f>
        <v>11.48</v>
      </c>
      <c r="J131" s="27">
        <v>0.36</v>
      </c>
      <c r="K131">
        <v>0</v>
      </c>
      <c r="L131">
        <v>8</v>
      </c>
      <c r="M131">
        <v>54</v>
      </c>
      <c r="N131">
        <v>62</v>
      </c>
    </row>
    <row r="132" spans="1:14" x14ac:dyDescent="0.3">
      <c r="A132">
        <v>131</v>
      </c>
      <c r="B132" s="21">
        <v>40549</v>
      </c>
      <c r="C132" s="25" t="s">
        <v>16</v>
      </c>
      <c r="D132" s="25" t="str" cm="1">
        <f t="array" ref="D132">_xlfn.SWITCH(Sheet5!A132,1,"JANUARY",2,"FEBRUARY")</f>
        <v>JANUARY</v>
      </c>
      <c r="E132">
        <v>16</v>
      </c>
      <c r="F132" t="str" cm="1">
        <f t="array" ref="F132">_xlfn.SWITCH(Sheet5!C132,FALSE,"NO",TRUE,"YES")</f>
        <v>NO</v>
      </c>
      <c r="G132" t="str" cm="1">
        <f t="array" ref="G132">_xlfn.SWITCH(Sheet5!B132,0,"Sunday",1,"Monday",2,"Tuesday",3,"Wednesday",4,"Thursday",5,"Friday",6,"Saturday")</f>
        <v>Thursday</v>
      </c>
      <c r="H132" t="str" cm="1">
        <f t="array" ref="H132">_xlfn.SWITCH(Sheet5!D132, 1, "Clear Sky", 2, "Mist", 3, "Dark Cloud",4,"Heavy Rainfall")</f>
        <v>Clear Sky</v>
      </c>
      <c r="I132" s="26">
        <f>Sheet5!E132*41</f>
        <v>10.66</v>
      </c>
      <c r="J132" s="27">
        <v>0.38</v>
      </c>
      <c r="K132">
        <v>0.16420000000000001</v>
      </c>
      <c r="L132">
        <v>12</v>
      </c>
      <c r="M132">
        <v>74</v>
      </c>
      <c r="N132">
        <v>86</v>
      </c>
    </row>
    <row r="133" spans="1:14" x14ac:dyDescent="0.3">
      <c r="A133">
        <v>132</v>
      </c>
      <c r="B133" s="21">
        <v>40549</v>
      </c>
      <c r="C133" s="25" t="s">
        <v>16</v>
      </c>
      <c r="D133" s="25" t="str" cm="1">
        <f t="array" ref="D133">_xlfn.SWITCH(Sheet5!A133,1,"JANUARY",2,"FEBRUARY")</f>
        <v>JANUARY</v>
      </c>
      <c r="E133">
        <v>17</v>
      </c>
      <c r="F133" t="str" cm="1">
        <f t="array" ref="F133">_xlfn.SWITCH(Sheet5!C133,FALSE,"NO",TRUE,"YES")</f>
        <v>NO</v>
      </c>
      <c r="G133" t="str" cm="1">
        <f t="array" ref="G133">_xlfn.SWITCH(Sheet5!B133,0,"Sunday",1,"Monday",2,"Tuesday",3,"Wednesday",4,"Thursday",5,"Friday",6,"Saturday")</f>
        <v>Thursday</v>
      </c>
      <c r="H133" t="str" cm="1">
        <f t="array" ref="H133">_xlfn.SWITCH(Sheet5!D133, 1, "Clear Sky", 2, "Mist", 3, "Dark Cloud",4,"Heavy Rainfall")</f>
        <v>Clear Sky</v>
      </c>
      <c r="I133" s="26">
        <f>Sheet5!E133*41</f>
        <v>9.02</v>
      </c>
      <c r="J133" s="27">
        <v>0.51</v>
      </c>
      <c r="K133">
        <v>0.16420000000000001</v>
      </c>
      <c r="L133">
        <v>9</v>
      </c>
      <c r="M133">
        <v>163</v>
      </c>
      <c r="N133">
        <v>172</v>
      </c>
    </row>
    <row r="134" spans="1:14" x14ac:dyDescent="0.3">
      <c r="A134">
        <v>133</v>
      </c>
      <c r="B134" s="21">
        <v>40549</v>
      </c>
      <c r="C134" s="25" t="s">
        <v>16</v>
      </c>
      <c r="D134" s="25" t="str" cm="1">
        <f t="array" ref="D134">_xlfn.SWITCH(Sheet5!A134,1,"JANUARY",2,"FEBRUARY")</f>
        <v>JANUARY</v>
      </c>
      <c r="E134">
        <v>18</v>
      </c>
      <c r="F134" t="str" cm="1">
        <f t="array" ref="F134">_xlfn.SWITCH(Sheet5!C134,FALSE,"NO",TRUE,"YES")</f>
        <v>NO</v>
      </c>
      <c r="G134" t="str" cm="1">
        <f t="array" ref="G134">_xlfn.SWITCH(Sheet5!B134,0,"Sunday",1,"Monday",2,"Tuesday",3,"Wednesday",4,"Thursday",5,"Friday",6,"Saturday")</f>
        <v>Thursday</v>
      </c>
      <c r="H134" t="str" cm="1">
        <f t="array" ref="H134">_xlfn.SWITCH(Sheet5!D134, 1, "Clear Sky", 2, "Mist", 3, "Dark Cloud",4,"Heavy Rainfall")</f>
        <v>Clear Sky</v>
      </c>
      <c r="I134" s="26">
        <f>Sheet5!E134*41</f>
        <v>9.02</v>
      </c>
      <c r="J134" s="27">
        <v>0.51</v>
      </c>
      <c r="K134">
        <v>0.1343</v>
      </c>
      <c r="L134">
        <v>5</v>
      </c>
      <c r="M134">
        <v>158</v>
      </c>
      <c r="N134">
        <v>163</v>
      </c>
    </row>
    <row r="135" spans="1:14" x14ac:dyDescent="0.3">
      <c r="A135">
        <v>134</v>
      </c>
      <c r="B135" s="21">
        <v>40549</v>
      </c>
      <c r="C135" s="25" t="s">
        <v>16</v>
      </c>
      <c r="D135" s="25" t="str" cm="1">
        <f t="array" ref="D135">_xlfn.SWITCH(Sheet5!A135,1,"JANUARY",2,"FEBRUARY")</f>
        <v>JANUARY</v>
      </c>
      <c r="E135">
        <v>19</v>
      </c>
      <c r="F135" t="str" cm="1">
        <f t="array" ref="F135">_xlfn.SWITCH(Sheet5!C135,FALSE,"NO",TRUE,"YES")</f>
        <v>NO</v>
      </c>
      <c r="G135" t="str" cm="1">
        <f t="array" ref="G135">_xlfn.SWITCH(Sheet5!B135,0,"Sunday",1,"Monday",2,"Tuesday",3,"Wednesday",4,"Thursday",5,"Friday",6,"Saturday")</f>
        <v>Thursday</v>
      </c>
      <c r="H135" t="str" cm="1">
        <f t="array" ref="H135">_xlfn.SWITCH(Sheet5!D135, 1, "Clear Sky", 2, "Mist", 3, "Dark Cloud",4,"Heavy Rainfall")</f>
        <v>Clear Sky</v>
      </c>
      <c r="I135" s="26">
        <f>Sheet5!E135*41</f>
        <v>9.02</v>
      </c>
      <c r="J135" s="27">
        <v>0.55000000000000004</v>
      </c>
      <c r="K135">
        <v>8.9599999999999999E-2</v>
      </c>
      <c r="L135">
        <v>3</v>
      </c>
      <c r="M135">
        <v>109</v>
      </c>
      <c r="N135">
        <v>112</v>
      </c>
    </row>
    <row r="136" spans="1:14" x14ac:dyDescent="0.3">
      <c r="A136">
        <v>135</v>
      </c>
      <c r="B136" s="21">
        <v>40549</v>
      </c>
      <c r="C136" s="25" t="s">
        <v>16</v>
      </c>
      <c r="D136" s="25" t="str" cm="1">
        <f t="array" ref="D136">_xlfn.SWITCH(Sheet5!A136,1,"JANUARY",2,"FEBRUARY")</f>
        <v>JANUARY</v>
      </c>
      <c r="E136">
        <v>20</v>
      </c>
      <c r="F136" t="str" cm="1">
        <f t="array" ref="F136">_xlfn.SWITCH(Sheet5!C136,FALSE,"NO",TRUE,"YES")</f>
        <v>NO</v>
      </c>
      <c r="G136" t="str" cm="1">
        <f t="array" ref="G136">_xlfn.SWITCH(Sheet5!B136,0,"Sunday",1,"Monday",2,"Tuesday",3,"Wednesday",4,"Thursday",5,"Friday",6,"Saturday")</f>
        <v>Thursday</v>
      </c>
      <c r="H136" t="str" cm="1">
        <f t="array" ref="H136">_xlfn.SWITCH(Sheet5!D136, 1, "Clear Sky", 2, "Mist", 3, "Dark Cloud",4,"Heavy Rainfall")</f>
        <v>Clear Sky</v>
      </c>
      <c r="I136" s="26">
        <f>Sheet5!E136*41</f>
        <v>8.2000000000000011</v>
      </c>
      <c r="J136" s="27">
        <v>0.51</v>
      </c>
      <c r="K136">
        <v>0.16420000000000001</v>
      </c>
      <c r="L136">
        <v>3</v>
      </c>
      <c r="M136">
        <v>66</v>
      </c>
      <c r="N136">
        <v>69</v>
      </c>
    </row>
    <row r="137" spans="1:14" x14ac:dyDescent="0.3">
      <c r="A137">
        <v>136</v>
      </c>
      <c r="B137" s="21">
        <v>40549</v>
      </c>
      <c r="C137" s="25" t="s">
        <v>16</v>
      </c>
      <c r="D137" s="25" t="str" cm="1">
        <f t="array" ref="D137">_xlfn.SWITCH(Sheet5!A137,1,"JANUARY",2,"FEBRUARY")</f>
        <v>JANUARY</v>
      </c>
      <c r="E137">
        <v>21</v>
      </c>
      <c r="F137" t="str" cm="1">
        <f t="array" ref="F137">_xlfn.SWITCH(Sheet5!C137,FALSE,"NO",TRUE,"YES")</f>
        <v>NO</v>
      </c>
      <c r="G137" t="str" cm="1">
        <f t="array" ref="G137">_xlfn.SWITCH(Sheet5!B137,0,"Sunday",1,"Monday",2,"Tuesday",3,"Wednesday",4,"Thursday",5,"Friday",6,"Saturday")</f>
        <v>Thursday</v>
      </c>
      <c r="H137" t="str" cm="1">
        <f t="array" ref="H137">_xlfn.SWITCH(Sheet5!D137, 1, "Clear Sky", 2, "Mist", 3, "Dark Cloud",4,"Heavy Rainfall")</f>
        <v>Mist</v>
      </c>
      <c r="I137" s="26">
        <f>Sheet5!E137*41</f>
        <v>9.02</v>
      </c>
      <c r="J137" s="27">
        <v>0.55000000000000004</v>
      </c>
      <c r="K137">
        <v>0.22389999999999999</v>
      </c>
      <c r="L137">
        <v>0</v>
      </c>
      <c r="M137">
        <v>48</v>
      </c>
      <c r="N137">
        <v>48</v>
      </c>
    </row>
    <row r="138" spans="1:14" x14ac:dyDescent="0.3">
      <c r="A138">
        <v>137</v>
      </c>
      <c r="B138" s="21">
        <v>40549</v>
      </c>
      <c r="C138" s="25" t="s">
        <v>16</v>
      </c>
      <c r="D138" s="25" t="str" cm="1">
        <f t="array" ref="D138">_xlfn.SWITCH(Sheet5!A138,1,"JANUARY",2,"FEBRUARY")</f>
        <v>JANUARY</v>
      </c>
      <c r="E138">
        <v>22</v>
      </c>
      <c r="F138" t="str" cm="1">
        <f t="array" ref="F138">_xlfn.SWITCH(Sheet5!C138,FALSE,"NO",TRUE,"YES")</f>
        <v>NO</v>
      </c>
      <c r="G138" t="str" cm="1">
        <f t="array" ref="G138">_xlfn.SWITCH(Sheet5!B138,0,"Sunday",1,"Monday",2,"Tuesday",3,"Wednesday",4,"Thursday",5,"Friday",6,"Saturday")</f>
        <v>Thursday</v>
      </c>
      <c r="H138" t="str" cm="1">
        <f t="array" ref="H138">_xlfn.SWITCH(Sheet5!D138, 1, "Clear Sky", 2, "Mist", 3, "Dark Cloud",4,"Heavy Rainfall")</f>
        <v>Mist</v>
      </c>
      <c r="I138" s="26">
        <f>Sheet5!E138*41</f>
        <v>9.02</v>
      </c>
      <c r="J138" s="27">
        <v>0.51</v>
      </c>
      <c r="K138">
        <v>0.28360000000000002</v>
      </c>
      <c r="L138">
        <v>1</v>
      </c>
      <c r="M138">
        <v>51</v>
      </c>
      <c r="N138">
        <v>52</v>
      </c>
    </row>
    <row r="139" spans="1:14" x14ac:dyDescent="0.3">
      <c r="A139">
        <v>138</v>
      </c>
      <c r="B139" s="21">
        <v>40549</v>
      </c>
      <c r="C139" s="25" t="s">
        <v>16</v>
      </c>
      <c r="D139" s="25" t="str" cm="1">
        <f t="array" ref="D139">_xlfn.SWITCH(Sheet5!A139,1,"JANUARY",2,"FEBRUARY")</f>
        <v>JANUARY</v>
      </c>
      <c r="E139">
        <v>23</v>
      </c>
      <c r="F139" t="str" cm="1">
        <f t="array" ref="F139">_xlfn.SWITCH(Sheet5!C139,FALSE,"NO",TRUE,"YES")</f>
        <v>NO</v>
      </c>
      <c r="G139" t="str" cm="1">
        <f t="array" ref="G139">_xlfn.SWITCH(Sheet5!B139,0,"Sunday",1,"Monday",2,"Tuesday",3,"Wednesday",4,"Thursday",5,"Friday",6,"Saturday")</f>
        <v>Thursday</v>
      </c>
      <c r="H139" t="str" cm="1">
        <f t="array" ref="H139">_xlfn.SWITCH(Sheet5!D139, 1, "Clear Sky", 2, "Mist", 3, "Dark Cloud",4,"Heavy Rainfall")</f>
        <v>Mist</v>
      </c>
      <c r="I139" s="26">
        <f>Sheet5!E139*41</f>
        <v>8.2000000000000011</v>
      </c>
      <c r="J139" s="27">
        <v>0.59</v>
      </c>
      <c r="K139">
        <v>0.19400000000000001</v>
      </c>
      <c r="L139">
        <v>4</v>
      </c>
      <c r="M139">
        <v>19</v>
      </c>
      <c r="N139">
        <v>23</v>
      </c>
    </row>
    <row r="140" spans="1:14" x14ac:dyDescent="0.3">
      <c r="A140">
        <v>139</v>
      </c>
      <c r="B140" s="21">
        <v>40550</v>
      </c>
      <c r="C140" s="25" t="s">
        <v>16</v>
      </c>
      <c r="D140" s="25" t="str" cm="1">
        <f t="array" ref="D140">_xlfn.SWITCH(Sheet5!A140,1,"JANUARY",2,"FEBRUARY")</f>
        <v>JANUARY</v>
      </c>
      <c r="E140">
        <v>0</v>
      </c>
      <c r="F140" t="str" cm="1">
        <f t="array" ref="F140">_xlfn.SWITCH(Sheet5!C140,FALSE,"NO",TRUE,"YES")</f>
        <v>NO</v>
      </c>
      <c r="G140" t="str" cm="1">
        <f t="array" ref="G140">_xlfn.SWITCH(Sheet5!B140,0,"Sunday",1,"Monday",2,"Tuesday",3,"Wednesday",4,"Thursday",5,"Friday",6,"Saturday")</f>
        <v>Friday</v>
      </c>
      <c r="H140" t="str" cm="1">
        <f t="array" ref="H140">_xlfn.SWITCH(Sheet5!D140, 1, "Clear Sky", 2, "Mist", 3, "Dark Cloud",4,"Heavy Rainfall")</f>
        <v>Mist</v>
      </c>
      <c r="I140" s="26">
        <f>Sheet5!E140*41</f>
        <v>8.2000000000000011</v>
      </c>
      <c r="J140" s="27">
        <v>0.64</v>
      </c>
      <c r="K140">
        <v>0.19400000000000001</v>
      </c>
      <c r="L140">
        <v>4</v>
      </c>
      <c r="M140">
        <v>13</v>
      </c>
      <c r="N140">
        <v>17</v>
      </c>
    </row>
    <row r="141" spans="1:14" x14ac:dyDescent="0.3">
      <c r="A141">
        <v>140</v>
      </c>
      <c r="B141" s="21">
        <v>40550</v>
      </c>
      <c r="C141" s="25" t="s">
        <v>16</v>
      </c>
      <c r="D141" s="25" t="str" cm="1">
        <f t="array" ref="D141">_xlfn.SWITCH(Sheet5!A141,1,"JANUARY",2,"FEBRUARY")</f>
        <v>JANUARY</v>
      </c>
      <c r="E141">
        <v>1</v>
      </c>
      <c r="F141" t="str" cm="1">
        <f t="array" ref="F141">_xlfn.SWITCH(Sheet5!C141,FALSE,"NO",TRUE,"YES")</f>
        <v>NO</v>
      </c>
      <c r="G141" t="str" cm="1">
        <f t="array" ref="G141">_xlfn.SWITCH(Sheet5!B141,0,"Sunday",1,"Monday",2,"Tuesday",3,"Wednesday",4,"Thursday",5,"Friday",6,"Saturday")</f>
        <v>Friday</v>
      </c>
      <c r="H141" t="str" cm="1">
        <f t="array" ref="H141">_xlfn.SWITCH(Sheet5!D141, 1, "Clear Sky", 2, "Mist", 3, "Dark Cloud",4,"Heavy Rainfall")</f>
        <v>Mist</v>
      </c>
      <c r="I141" s="26">
        <f>Sheet5!E141*41</f>
        <v>8.2000000000000011</v>
      </c>
      <c r="J141" s="27">
        <v>0.69</v>
      </c>
      <c r="K141">
        <v>0.22389999999999999</v>
      </c>
      <c r="L141">
        <v>2</v>
      </c>
      <c r="M141">
        <v>5</v>
      </c>
      <c r="N141">
        <v>7</v>
      </c>
    </row>
    <row r="142" spans="1:14" x14ac:dyDescent="0.3">
      <c r="A142">
        <v>141</v>
      </c>
      <c r="B142" s="21">
        <v>40550</v>
      </c>
      <c r="C142" s="25" t="s">
        <v>16</v>
      </c>
      <c r="D142" s="25" t="str" cm="1">
        <f t="array" ref="D142">_xlfn.SWITCH(Sheet5!A142,1,"JANUARY",2,"FEBRUARY")</f>
        <v>JANUARY</v>
      </c>
      <c r="E142">
        <v>2</v>
      </c>
      <c r="F142" t="str" cm="1">
        <f t="array" ref="F142">_xlfn.SWITCH(Sheet5!C142,FALSE,"NO",TRUE,"YES")</f>
        <v>NO</v>
      </c>
      <c r="G142" t="str" cm="1">
        <f t="array" ref="G142">_xlfn.SWITCH(Sheet5!B142,0,"Sunday",1,"Monday",2,"Tuesday",3,"Wednesday",4,"Thursday",5,"Friday",6,"Saturday")</f>
        <v>Friday</v>
      </c>
      <c r="H142" t="str" cm="1">
        <f t="array" ref="H142">_xlfn.SWITCH(Sheet5!D142, 1, "Clear Sky", 2, "Mist", 3, "Dark Cloud",4,"Heavy Rainfall")</f>
        <v>Mist</v>
      </c>
      <c r="I142" s="26">
        <f>Sheet5!E142*41</f>
        <v>8.2000000000000011</v>
      </c>
      <c r="J142" s="27">
        <v>0.69</v>
      </c>
      <c r="K142">
        <v>0.22389999999999999</v>
      </c>
      <c r="L142">
        <v>0</v>
      </c>
      <c r="M142">
        <v>1</v>
      </c>
      <c r="N142">
        <v>1</v>
      </c>
    </row>
    <row r="143" spans="1:14" x14ac:dyDescent="0.3">
      <c r="A143">
        <v>142</v>
      </c>
      <c r="B143" s="21">
        <v>40550</v>
      </c>
      <c r="C143" s="25" t="s">
        <v>16</v>
      </c>
      <c r="D143" s="25" t="str" cm="1">
        <f t="array" ref="D143">_xlfn.SWITCH(Sheet5!A143,1,"JANUARY",2,"FEBRUARY")</f>
        <v>JANUARY</v>
      </c>
      <c r="E143">
        <v>4</v>
      </c>
      <c r="F143" t="str" cm="1">
        <f t="array" ref="F143">_xlfn.SWITCH(Sheet5!C143,FALSE,"NO",TRUE,"YES")</f>
        <v>NO</v>
      </c>
      <c r="G143" t="str" cm="1">
        <f t="array" ref="G143">_xlfn.SWITCH(Sheet5!B143,0,"Sunday",1,"Monday",2,"Tuesday",3,"Wednesday",4,"Thursday",5,"Friday",6,"Saturday")</f>
        <v>Friday</v>
      </c>
      <c r="H143" t="str" cm="1">
        <f t="array" ref="H143">_xlfn.SWITCH(Sheet5!D143, 1, "Clear Sky", 2, "Mist", 3, "Dark Cloud",4,"Heavy Rainfall")</f>
        <v>Mist</v>
      </c>
      <c r="I143" s="26">
        <f>Sheet5!E143*41</f>
        <v>8.2000000000000011</v>
      </c>
      <c r="J143" s="27">
        <v>0.69</v>
      </c>
      <c r="K143">
        <v>0.1343</v>
      </c>
      <c r="L143">
        <v>0</v>
      </c>
      <c r="M143">
        <v>1</v>
      </c>
      <c r="N143">
        <v>1</v>
      </c>
    </row>
    <row r="144" spans="1:14" x14ac:dyDescent="0.3">
      <c r="A144">
        <v>143</v>
      </c>
      <c r="B144" s="21">
        <v>40550</v>
      </c>
      <c r="C144" s="25" t="s">
        <v>16</v>
      </c>
      <c r="D144" s="25" t="str" cm="1">
        <f t="array" ref="D144">_xlfn.SWITCH(Sheet5!A144,1,"JANUARY",2,"FEBRUARY")</f>
        <v>JANUARY</v>
      </c>
      <c r="E144">
        <v>5</v>
      </c>
      <c r="F144" t="str" cm="1">
        <f t="array" ref="F144">_xlfn.SWITCH(Sheet5!C144,FALSE,"NO",TRUE,"YES")</f>
        <v>NO</v>
      </c>
      <c r="G144" t="str" cm="1">
        <f t="array" ref="G144">_xlfn.SWITCH(Sheet5!B144,0,"Sunday",1,"Monday",2,"Tuesday",3,"Wednesday",4,"Thursday",5,"Friday",6,"Saturday")</f>
        <v>Friday</v>
      </c>
      <c r="H144" t="str" cm="1">
        <f t="array" ref="H144">_xlfn.SWITCH(Sheet5!D144, 1, "Clear Sky", 2, "Mist", 3, "Dark Cloud",4,"Heavy Rainfall")</f>
        <v>Dark Cloud</v>
      </c>
      <c r="I144" s="26">
        <f>Sheet5!E144*41</f>
        <v>9.02</v>
      </c>
      <c r="J144" s="27">
        <v>0.55000000000000004</v>
      </c>
      <c r="K144">
        <v>0</v>
      </c>
      <c r="L144">
        <v>0</v>
      </c>
      <c r="M144">
        <v>5</v>
      </c>
      <c r="N144">
        <v>5</v>
      </c>
    </row>
    <row r="145" spans="1:14" x14ac:dyDescent="0.3">
      <c r="A145">
        <v>144</v>
      </c>
      <c r="B145" s="21">
        <v>40550</v>
      </c>
      <c r="C145" s="25" t="s">
        <v>16</v>
      </c>
      <c r="D145" s="25" t="str" cm="1">
        <f t="array" ref="D145">_xlfn.SWITCH(Sheet5!A145,1,"JANUARY",2,"FEBRUARY")</f>
        <v>JANUARY</v>
      </c>
      <c r="E145">
        <v>6</v>
      </c>
      <c r="F145" t="str" cm="1">
        <f t="array" ref="F145">_xlfn.SWITCH(Sheet5!C145,FALSE,"NO",TRUE,"YES")</f>
        <v>NO</v>
      </c>
      <c r="G145" t="str" cm="1">
        <f t="array" ref="G145">_xlfn.SWITCH(Sheet5!B145,0,"Sunday",1,"Monday",2,"Tuesday",3,"Wednesday",4,"Thursday",5,"Friday",6,"Saturday")</f>
        <v>Friday</v>
      </c>
      <c r="H145" t="str" cm="1">
        <f t="array" ref="H145">_xlfn.SWITCH(Sheet5!D145, 1, "Clear Sky", 2, "Mist", 3, "Dark Cloud",4,"Heavy Rainfall")</f>
        <v>Mist</v>
      </c>
      <c r="I145" s="26">
        <f>Sheet5!E145*41</f>
        <v>8.2000000000000011</v>
      </c>
      <c r="J145" s="27">
        <v>0.69</v>
      </c>
      <c r="K145">
        <v>0</v>
      </c>
      <c r="L145">
        <v>8</v>
      </c>
      <c r="M145">
        <v>26</v>
      </c>
      <c r="N145">
        <v>34</v>
      </c>
    </row>
    <row r="146" spans="1:14" x14ac:dyDescent="0.3">
      <c r="A146">
        <v>145</v>
      </c>
      <c r="B146" s="21">
        <v>40550</v>
      </c>
      <c r="C146" s="25" t="s">
        <v>16</v>
      </c>
      <c r="D146" s="25" t="str" cm="1">
        <f t="array" ref="D146">_xlfn.SWITCH(Sheet5!A146,1,"JANUARY",2,"FEBRUARY")</f>
        <v>JANUARY</v>
      </c>
      <c r="E146">
        <v>7</v>
      </c>
      <c r="F146" t="str" cm="1">
        <f t="array" ref="F146">_xlfn.SWITCH(Sheet5!C146,FALSE,"NO",TRUE,"YES")</f>
        <v>NO</v>
      </c>
      <c r="G146" t="str" cm="1">
        <f t="array" ref="G146">_xlfn.SWITCH(Sheet5!B146,0,"Sunday",1,"Monday",2,"Tuesday",3,"Wednesday",4,"Thursday",5,"Friday",6,"Saturday")</f>
        <v>Friday</v>
      </c>
      <c r="H146" t="str" cm="1">
        <f t="array" ref="H146">_xlfn.SWITCH(Sheet5!D146, 1, "Clear Sky", 2, "Mist", 3, "Dark Cloud",4,"Heavy Rainfall")</f>
        <v>Clear Sky</v>
      </c>
      <c r="I146" s="26">
        <f>Sheet5!E146*41</f>
        <v>8.2000000000000011</v>
      </c>
      <c r="J146" s="27">
        <v>0.69</v>
      </c>
      <c r="K146">
        <v>0.1343</v>
      </c>
      <c r="L146">
        <v>8</v>
      </c>
      <c r="M146">
        <v>76</v>
      </c>
      <c r="N146">
        <v>84</v>
      </c>
    </row>
    <row r="147" spans="1:14" x14ac:dyDescent="0.3">
      <c r="A147">
        <v>146</v>
      </c>
      <c r="B147" s="21">
        <v>40550</v>
      </c>
      <c r="C147" s="25" t="s">
        <v>16</v>
      </c>
      <c r="D147" s="25" t="str" cm="1">
        <f t="array" ref="D147">_xlfn.SWITCH(Sheet5!A147,1,"JANUARY",2,"FEBRUARY")</f>
        <v>JANUARY</v>
      </c>
      <c r="E147">
        <v>8</v>
      </c>
      <c r="F147" t="str" cm="1">
        <f t="array" ref="F147">_xlfn.SWITCH(Sheet5!C147,FALSE,"NO",TRUE,"YES")</f>
        <v>NO</v>
      </c>
      <c r="G147" t="str" cm="1">
        <f t="array" ref="G147">_xlfn.SWITCH(Sheet5!B147,0,"Sunday",1,"Monday",2,"Tuesday",3,"Wednesday",4,"Thursday",5,"Friday",6,"Saturday")</f>
        <v>Friday</v>
      </c>
      <c r="H147" t="str" cm="1">
        <f t="array" ref="H147">_xlfn.SWITCH(Sheet5!D147, 1, "Clear Sky", 2, "Mist", 3, "Dark Cloud",4,"Heavy Rainfall")</f>
        <v>Clear Sky</v>
      </c>
      <c r="I147" s="26">
        <f>Sheet5!E147*41</f>
        <v>8.2000000000000011</v>
      </c>
      <c r="J147" s="27">
        <v>0.51</v>
      </c>
      <c r="K147">
        <v>0.25369999999999998</v>
      </c>
      <c r="L147">
        <v>20</v>
      </c>
      <c r="M147">
        <v>190</v>
      </c>
      <c r="N147">
        <v>210</v>
      </c>
    </row>
    <row r="148" spans="1:14" x14ac:dyDescent="0.3">
      <c r="A148">
        <v>147</v>
      </c>
      <c r="B148" s="21">
        <v>40550</v>
      </c>
      <c r="C148" s="25" t="s">
        <v>16</v>
      </c>
      <c r="D148" s="25" t="str" cm="1">
        <f t="array" ref="D148">_xlfn.SWITCH(Sheet5!A148,1,"JANUARY",2,"FEBRUARY")</f>
        <v>JANUARY</v>
      </c>
      <c r="E148">
        <v>9</v>
      </c>
      <c r="F148" t="str" cm="1">
        <f t="array" ref="F148">_xlfn.SWITCH(Sheet5!C148,FALSE,"NO",TRUE,"YES")</f>
        <v>NO</v>
      </c>
      <c r="G148" t="str" cm="1">
        <f t="array" ref="G148">_xlfn.SWITCH(Sheet5!B148,0,"Sunday",1,"Monday",2,"Tuesday",3,"Wednesday",4,"Thursday",5,"Friday",6,"Saturday")</f>
        <v>Friday</v>
      </c>
      <c r="H148" t="str" cm="1">
        <f t="array" ref="H148">_xlfn.SWITCH(Sheet5!D148, 1, "Clear Sky", 2, "Mist", 3, "Dark Cloud",4,"Heavy Rainfall")</f>
        <v>Clear Sky</v>
      </c>
      <c r="I148" s="26">
        <f>Sheet5!E148*41</f>
        <v>8.2000000000000011</v>
      </c>
      <c r="J148" s="27">
        <v>0.47</v>
      </c>
      <c r="K148">
        <v>0.29849999999999999</v>
      </c>
      <c r="L148">
        <v>9</v>
      </c>
      <c r="M148">
        <v>125</v>
      </c>
      <c r="N148">
        <v>134</v>
      </c>
    </row>
    <row r="149" spans="1:14" x14ac:dyDescent="0.3">
      <c r="A149">
        <v>148</v>
      </c>
      <c r="B149" s="21">
        <v>40550</v>
      </c>
      <c r="C149" s="25" t="s">
        <v>16</v>
      </c>
      <c r="D149" s="25" t="str" cm="1">
        <f t="array" ref="D149">_xlfn.SWITCH(Sheet5!A149,1,"JANUARY",2,"FEBRUARY")</f>
        <v>JANUARY</v>
      </c>
      <c r="E149">
        <v>10</v>
      </c>
      <c r="F149" t="str" cm="1">
        <f t="array" ref="F149">_xlfn.SWITCH(Sheet5!C149,FALSE,"NO",TRUE,"YES")</f>
        <v>NO</v>
      </c>
      <c r="G149" t="str" cm="1">
        <f t="array" ref="G149">_xlfn.SWITCH(Sheet5!B149,0,"Sunday",1,"Monday",2,"Tuesday",3,"Wednesday",4,"Thursday",5,"Friday",6,"Saturday")</f>
        <v>Friday</v>
      </c>
      <c r="H149" t="str" cm="1">
        <f t="array" ref="H149">_xlfn.SWITCH(Sheet5!D149, 1, "Clear Sky", 2, "Mist", 3, "Dark Cloud",4,"Heavy Rainfall")</f>
        <v>Clear Sky</v>
      </c>
      <c r="I149" s="26">
        <f>Sheet5!E149*41</f>
        <v>9.02</v>
      </c>
      <c r="J149" s="27">
        <v>0.37</v>
      </c>
      <c r="K149">
        <v>0.32840000000000003</v>
      </c>
      <c r="L149">
        <v>16</v>
      </c>
      <c r="M149">
        <v>47</v>
      </c>
      <c r="N149">
        <v>63</v>
      </c>
    </row>
    <row r="150" spans="1:14" x14ac:dyDescent="0.3">
      <c r="A150">
        <v>149</v>
      </c>
      <c r="B150" s="21">
        <v>40550</v>
      </c>
      <c r="C150" s="25" t="s">
        <v>16</v>
      </c>
      <c r="D150" s="25" t="str" cm="1">
        <f t="array" ref="D150">_xlfn.SWITCH(Sheet5!A150,1,"JANUARY",2,"FEBRUARY")</f>
        <v>JANUARY</v>
      </c>
      <c r="E150">
        <v>11</v>
      </c>
      <c r="F150" t="str" cm="1">
        <f t="array" ref="F150">_xlfn.SWITCH(Sheet5!C150,FALSE,"NO",TRUE,"YES")</f>
        <v>NO</v>
      </c>
      <c r="G150" t="str" cm="1">
        <f t="array" ref="G150">_xlfn.SWITCH(Sheet5!B150,0,"Sunday",1,"Monday",2,"Tuesday",3,"Wednesday",4,"Thursday",5,"Friday",6,"Saturday")</f>
        <v>Friday</v>
      </c>
      <c r="H150" t="str" cm="1">
        <f t="array" ref="H150">_xlfn.SWITCH(Sheet5!D150, 1, "Clear Sky", 2, "Mist", 3, "Dark Cloud",4,"Heavy Rainfall")</f>
        <v>Mist</v>
      </c>
      <c r="I150" s="26">
        <f>Sheet5!E150*41</f>
        <v>8.2000000000000011</v>
      </c>
      <c r="J150" s="27">
        <v>0.4</v>
      </c>
      <c r="K150">
        <v>0.22389999999999999</v>
      </c>
      <c r="L150">
        <v>19</v>
      </c>
      <c r="M150">
        <v>48</v>
      </c>
      <c r="N150">
        <v>67</v>
      </c>
    </row>
    <row r="151" spans="1:14" x14ac:dyDescent="0.3">
      <c r="A151">
        <v>150</v>
      </c>
      <c r="B151" s="21">
        <v>40550</v>
      </c>
      <c r="C151" s="25" t="s">
        <v>16</v>
      </c>
      <c r="D151" s="25" t="str" cm="1">
        <f t="array" ref="D151">_xlfn.SWITCH(Sheet5!A151,1,"JANUARY",2,"FEBRUARY")</f>
        <v>JANUARY</v>
      </c>
      <c r="E151">
        <v>12</v>
      </c>
      <c r="F151" t="str" cm="1">
        <f t="array" ref="F151">_xlfn.SWITCH(Sheet5!C151,FALSE,"NO",TRUE,"YES")</f>
        <v>NO</v>
      </c>
      <c r="G151" t="str" cm="1">
        <f t="array" ref="G151">_xlfn.SWITCH(Sheet5!B151,0,"Sunday",1,"Monday",2,"Tuesday",3,"Wednesday",4,"Thursday",5,"Friday",6,"Saturday")</f>
        <v>Friday</v>
      </c>
      <c r="H151" t="str" cm="1">
        <f t="array" ref="H151">_xlfn.SWITCH(Sheet5!D151, 1, "Clear Sky", 2, "Mist", 3, "Dark Cloud",4,"Heavy Rainfall")</f>
        <v>Mist</v>
      </c>
      <c r="I151" s="26">
        <f>Sheet5!E151*41</f>
        <v>8.2000000000000011</v>
      </c>
      <c r="J151" s="27">
        <v>0.37</v>
      </c>
      <c r="K151">
        <v>0.25369999999999998</v>
      </c>
      <c r="L151">
        <v>9</v>
      </c>
      <c r="M151">
        <v>50</v>
      </c>
      <c r="N151">
        <v>59</v>
      </c>
    </row>
    <row r="152" spans="1:14" x14ac:dyDescent="0.3">
      <c r="A152">
        <v>151</v>
      </c>
      <c r="B152" s="21">
        <v>40550</v>
      </c>
      <c r="C152" s="25" t="s">
        <v>16</v>
      </c>
      <c r="D152" s="25" t="str" cm="1">
        <f t="array" ref="D152">_xlfn.SWITCH(Sheet5!A152,1,"JANUARY",2,"FEBRUARY")</f>
        <v>JANUARY</v>
      </c>
      <c r="E152">
        <v>13</v>
      </c>
      <c r="F152" t="str" cm="1">
        <f t="array" ref="F152">_xlfn.SWITCH(Sheet5!C152,FALSE,"NO",TRUE,"YES")</f>
        <v>NO</v>
      </c>
      <c r="G152" t="str" cm="1">
        <f t="array" ref="G152">_xlfn.SWITCH(Sheet5!B152,0,"Sunday",1,"Monday",2,"Tuesday",3,"Wednesday",4,"Thursday",5,"Friday",6,"Saturday")</f>
        <v>Friday</v>
      </c>
      <c r="H152" t="str" cm="1">
        <f t="array" ref="H152">_xlfn.SWITCH(Sheet5!D152, 1, "Clear Sky", 2, "Mist", 3, "Dark Cloud",4,"Heavy Rainfall")</f>
        <v>Mist</v>
      </c>
      <c r="I152" s="26">
        <f>Sheet5!E152*41</f>
        <v>8.2000000000000011</v>
      </c>
      <c r="J152" s="27">
        <v>0.37</v>
      </c>
      <c r="K152">
        <v>0.28360000000000002</v>
      </c>
      <c r="L152">
        <v>9</v>
      </c>
      <c r="M152">
        <v>64</v>
      </c>
      <c r="N152">
        <v>73</v>
      </c>
    </row>
    <row r="153" spans="1:14" x14ac:dyDescent="0.3">
      <c r="A153">
        <v>152</v>
      </c>
      <c r="B153" s="21">
        <v>40550</v>
      </c>
      <c r="C153" s="25" t="s">
        <v>16</v>
      </c>
      <c r="D153" s="25" t="str" cm="1">
        <f t="array" ref="D153">_xlfn.SWITCH(Sheet5!A153,1,"JANUARY",2,"FEBRUARY")</f>
        <v>JANUARY</v>
      </c>
      <c r="E153">
        <v>14</v>
      </c>
      <c r="F153" t="str" cm="1">
        <f t="array" ref="F153">_xlfn.SWITCH(Sheet5!C153,FALSE,"NO",TRUE,"YES")</f>
        <v>NO</v>
      </c>
      <c r="G153" t="str" cm="1">
        <f t="array" ref="G153">_xlfn.SWITCH(Sheet5!B153,0,"Sunday",1,"Monday",2,"Tuesday",3,"Wednesday",4,"Thursday",5,"Friday",6,"Saturday")</f>
        <v>Friday</v>
      </c>
      <c r="H153" t="str" cm="1">
        <f t="array" ref="H153">_xlfn.SWITCH(Sheet5!D153, 1, "Clear Sky", 2, "Mist", 3, "Dark Cloud",4,"Heavy Rainfall")</f>
        <v>Mist</v>
      </c>
      <c r="I153" s="26">
        <f>Sheet5!E153*41</f>
        <v>8.2000000000000011</v>
      </c>
      <c r="J153" s="27">
        <v>0.4</v>
      </c>
      <c r="K153">
        <v>0.25369999999999998</v>
      </c>
      <c r="L153">
        <v>7</v>
      </c>
      <c r="M153">
        <v>43</v>
      </c>
      <c r="N153">
        <v>50</v>
      </c>
    </row>
    <row r="154" spans="1:14" x14ac:dyDescent="0.3">
      <c r="A154">
        <v>153</v>
      </c>
      <c r="B154" s="21">
        <v>40550</v>
      </c>
      <c r="C154" s="25" t="s">
        <v>16</v>
      </c>
      <c r="D154" s="25" t="str" cm="1">
        <f t="array" ref="D154">_xlfn.SWITCH(Sheet5!A154,1,"JANUARY",2,"FEBRUARY")</f>
        <v>JANUARY</v>
      </c>
      <c r="E154">
        <v>15</v>
      </c>
      <c r="F154" t="str" cm="1">
        <f t="array" ref="F154">_xlfn.SWITCH(Sheet5!C154,FALSE,"NO",TRUE,"YES")</f>
        <v>NO</v>
      </c>
      <c r="G154" t="str" cm="1">
        <f t="array" ref="G154">_xlfn.SWITCH(Sheet5!B154,0,"Sunday",1,"Monday",2,"Tuesday",3,"Wednesday",4,"Thursday",5,"Friday",6,"Saturday")</f>
        <v>Friday</v>
      </c>
      <c r="H154" t="str" cm="1">
        <f t="array" ref="H154">_xlfn.SWITCH(Sheet5!D154, 1, "Clear Sky", 2, "Mist", 3, "Dark Cloud",4,"Heavy Rainfall")</f>
        <v>Mist</v>
      </c>
      <c r="I154" s="26">
        <f>Sheet5!E154*41</f>
        <v>8.2000000000000011</v>
      </c>
      <c r="J154" s="27">
        <v>0.37</v>
      </c>
      <c r="K154">
        <v>0.16420000000000001</v>
      </c>
      <c r="L154">
        <v>9</v>
      </c>
      <c r="M154">
        <v>63</v>
      </c>
      <c r="N154">
        <v>72</v>
      </c>
    </row>
    <row r="155" spans="1:14" x14ac:dyDescent="0.3">
      <c r="A155">
        <v>154</v>
      </c>
      <c r="B155" s="21">
        <v>40550</v>
      </c>
      <c r="C155" s="25" t="s">
        <v>16</v>
      </c>
      <c r="D155" s="25" t="str" cm="1">
        <f t="array" ref="D155">_xlfn.SWITCH(Sheet5!A155,1,"JANUARY",2,"FEBRUARY")</f>
        <v>JANUARY</v>
      </c>
      <c r="E155">
        <v>16</v>
      </c>
      <c r="F155" t="str" cm="1">
        <f t="array" ref="F155">_xlfn.SWITCH(Sheet5!C155,FALSE,"NO",TRUE,"YES")</f>
        <v>NO</v>
      </c>
      <c r="G155" t="str" cm="1">
        <f t="array" ref="G155">_xlfn.SWITCH(Sheet5!B155,0,"Sunday",1,"Monday",2,"Tuesday",3,"Wednesday",4,"Thursday",5,"Friday",6,"Saturday")</f>
        <v>Friday</v>
      </c>
      <c r="H155" t="str" cm="1">
        <f t="array" ref="H155">_xlfn.SWITCH(Sheet5!D155, 1, "Clear Sky", 2, "Mist", 3, "Dark Cloud",4,"Heavy Rainfall")</f>
        <v>Mist</v>
      </c>
      <c r="I155" s="26">
        <f>Sheet5!E155*41</f>
        <v>8.2000000000000011</v>
      </c>
      <c r="J155" s="27">
        <v>0.37</v>
      </c>
      <c r="K155">
        <v>0.16420000000000001</v>
      </c>
      <c r="L155">
        <v>5</v>
      </c>
      <c r="M155">
        <v>82</v>
      </c>
      <c r="N155">
        <v>87</v>
      </c>
    </row>
    <row r="156" spans="1:14" x14ac:dyDescent="0.3">
      <c r="A156">
        <v>155</v>
      </c>
      <c r="B156" s="21">
        <v>40550</v>
      </c>
      <c r="C156" s="25" t="s">
        <v>16</v>
      </c>
      <c r="D156" s="25" t="str" cm="1">
        <f t="array" ref="D156">_xlfn.SWITCH(Sheet5!A156,1,"JANUARY",2,"FEBRUARY")</f>
        <v>JANUARY</v>
      </c>
      <c r="E156">
        <v>17</v>
      </c>
      <c r="F156" t="str" cm="1">
        <f t="array" ref="F156">_xlfn.SWITCH(Sheet5!C156,FALSE,"NO",TRUE,"YES")</f>
        <v>NO</v>
      </c>
      <c r="G156" t="str" cm="1">
        <f t="array" ref="G156">_xlfn.SWITCH(Sheet5!B156,0,"Sunday",1,"Monday",2,"Tuesday",3,"Wednesday",4,"Thursday",5,"Friday",6,"Saturday")</f>
        <v>Friday</v>
      </c>
      <c r="H156" t="str" cm="1">
        <f t="array" ref="H156">_xlfn.SWITCH(Sheet5!D156, 1, "Clear Sky", 2, "Mist", 3, "Dark Cloud",4,"Heavy Rainfall")</f>
        <v>Mist</v>
      </c>
      <c r="I156" s="26">
        <f>Sheet5!E156*41</f>
        <v>8.2000000000000011</v>
      </c>
      <c r="J156" s="27">
        <v>0.37</v>
      </c>
      <c r="K156">
        <v>0</v>
      </c>
      <c r="L156">
        <v>9</v>
      </c>
      <c r="M156">
        <v>178</v>
      </c>
      <c r="N156">
        <v>187</v>
      </c>
    </row>
    <row r="157" spans="1:14" x14ac:dyDescent="0.3">
      <c r="A157">
        <v>156</v>
      </c>
      <c r="B157" s="21">
        <v>40550</v>
      </c>
      <c r="C157" s="25" t="s">
        <v>16</v>
      </c>
      <c r="D157" s="25" t="str" cm="1">
        <f t="array" ref="D157">_xlfn.SWITCH(Sheet5!A157,1,"JANUARY",2,"FEBRUARY")</f>
        <v>JANUARY</v>
      </c>
      <c r="E157">
        <v>18</v>
      </c>
      <c r="F157" t="str" cm="1">
        <f t="array" ref="F157">_xlfn.SWITCH(Sheet5!C157,FALSE,"NO",TRUE,"YES")</f>
        <v>NO</v>
      </c>
      <c r="G157" t="str" cm="1">
        <f t="array" ref="G157">_xlfn.SWITCH(Sheet5!B157,0,"Sunday",1,"Monday",2,"Tuesday",3,"Wednesday",4,"Thursday",5,"Friday",6,"Saturday")</f>
        <v>Friday</v>
      </c>
      <c r="H157" t="str" cm="1">
        <f t="array" ref="H157">_xlfn.SWITCH(Sheet5!D157, 1, "Clear Sky", 2, "Mist", 3, "Dark Cloud",4,"Heavy Rainfall")</f>
        <v>Clear Sky</v>
      </c>
      <c r="I157" s="26">
        <f>Sheet5!E157*41</f>
        <v>8.2000000000000011</v>
      </c>
      <c r="J157" s="27">
        <v>0.4</v>
      </c>
      <c r="K157">
        <v>8.9599999999999999E-2</v>
      </c>
      <c r="L157">
        <v>7</v>
      </c>
      <c r="M157">
        <v>116</v>
      </c>
      <c r="N157">
        <v>123</v>
      </c>
    </row>
    <row r="158" spans="1:14" x14ac:dyDescent="0.3">
      <c r="A158">
        <v>157</v>
      </c>
      <c r="B158" s="21">
        <v>40550</v>
      </c>
      <c r="C158" s="25" t="s">
        <v>16</v>
      </c>
      <c r="D158" s="25" t="str" cm="1">
        <f t="array" ref="D158">_xlfn.SWITCH(Sheet5!A158,1,"JANUARY",2,"FEBRUARY")</f>
        <v>JANUARY</v>
      </c>
      <c r="E158">
        <v>19</v>
      </c>
      <c r="F158" t="str" cm="1">
        <f t="array" ref="F158">_xlfn.SWITCH(Sheet5!C158,FALSE,"NO",TRUE,"YES")</f>
        <v>NO</v>
      </c>
      <c r="G158" t="str" cm="1">
        <f t="array" ref="G158">_xlfn.SWITCH(Sheet5!B158,0,"Sunday",1,"Monday",2,"Tuesday",3,"Wednesday",4,"Thursday",5,"Friday",6,"Saturday")</f>
        <v>Friday</v>
      </c>
      <c r="H158" t="str" cm="1">
        <f t="array" ref="H158">_xlfn.SWITCH(Sheet5!D158, 1, "Clear Sky", 2, "Mist", 3, "Dark Cloud",4,"Heavy Rainfall")</f>
        <v>Clear Sky</v>
      </c>
      <c r="I158" s="26">
        <f>Sheet5!E158*41</f>
        <v>6.5600000000000005</v>
      </c>
      <c r="J158" s="27">
        <v>0.55000000000000004</v>
      </c>
      <c r="K158">
        <v>8.9599999999999999E-2</v>
      </c>
      <c r="L158">
        <v>3</v>
      </c>
      <c r="M158">
        <v>92</v>
      </c>
      <c r="N158">
        <v>95</v>
      </c>
    </row>
    <row r="159" spans="1:14" x14ac:dyDescent="0.3">
      <c r="A159">
        <v>158</v>
      </c>
      <c r="B159" s="21">
        <v>40550</v>
      </c>
      <c r="C159" s="25" t="s">
        <v>16</v>
      </c>
      <c r="D159" s="25" t="str" cm="1">
        <f t="array" ref="D159">_xlfn.SWITCH(Sheet5!A159,1,"JANUARY",2,"FEBRUARY")</f>
        <v>JANUARY</v>
      </c>
      <c r="E159">
        <v>20</v>
      </c>
      <c r="F159" t="str" cm="1">
        <f t="array" ref="F159">_xlfn.SWITCH(Sheet5!C159,FALSE,"NO",TRUE,"YES")</f>
        <v>NO</v>
      </c>
      <c r="G159" t="str" cm="1">
        <f t="array" ref="G159">_xlfn.SWITCH(Sheet5!B159,0,"Sunday",1,"Monday",2,"Tuesday",3,"Wednesday",4,"Thursday",5,"Friday",6,"Saturday")</f>
        <v>Friday</v>
      </c>
      <c r="H159" t="str" cm="1">
        <f t="array" ref="H159">_xlfn.SWITCH(Sheet5!D159, 1, "Clear Sky", 2, "Mist", 3, "Dark Cloud",4,"Heavy Rainfall")</f>
        <v>Clear Sky</v>
      </c>
      <c r="I159" s="26">
        <f>Sheet5!E159*41</f>
        <v>7.38</v>
      </c>
      <c r="J159" s="27">
        <v>0.47</v>
      </c>
      <c r="K159">
        <v>0.1045</v>
      </c>
      <c r="L159">
        <v>1</v>
      </c>
      <c r="M159">
        <v>50</v>
      </c>
      <c r="N159">
        <v>51</v>
      </c>
    </row>
    <row r="160" spans="1:14" x14ac:dyDescent="0.3">
      <c r="A160">
        <v>159</v>
      </c>
      <c r="B160" s="21">
        <v>40550</v>
      </c>
      <c r="C160" s="25" t="s">
        <v>16</v>
      </c>
      <c r="D160" s="25" t="str" cm="1">
        <f t="array" ref="D160">_xlfn.SWITCH(Sheet5!A160,1,"JANUARY",2,"FEBRUARY")</f>
        <v>JANUARY</v>
      </c>
      <c r="E160">
        <v>21</v>
      </c>
      <c r="F160" t="str" cm="1">
        <f t="array" ref="F160">_xlfn.SWITCH(Sheet5!C160,FALSE,"NO",TRUE,"YES")</f>
        <v>NO</v>
      </c>
      <c r="G160" t="str" cm="1">
        <f t="array" ref="G160">_xlfn.SWITCH(Sheet5!B160,0,"Sunday",1,"Monday",2,"Tuesday",3,"Wednesday",4,"Thursday",5,"Friday",6,"Saturday")</f>
        <v>Friday</v>
      </c>
      <c r="H160" t="str" cm="1">
        <f t="array" ref="H160">_xlfn.SWITCH(Sheet5!D160, 1, "Clear Sky", 2, "Mist", 3, "Dark Cloud",4,"Heavy Rainfall")</f>
        <v>Clear Sky</v>
      </c>
      <c r="I160" s="26">
        <f>Sheet5!E160*41</f>
        <v>7.38</v>
      </c>
      <c r="J160" s="27">
        <v>0.47</v>
      </c>
      <c r="K160">
        <v>0.1343</v>
      </c>
      <c r="L160">
        <v>0</v>
      </c>
      <c r="M160">
        <v>39</v>
      </c>
      <c r="N160">
        <v>39</v>
      </c>
    </row>
    <row r="161" spans="1:14" x14ac:dyDescent="0.3">
      <c r="A161">
        <v>160</v>
      </c>
      <c r="B161" s="21">
        <v>40550</v>
      </c>
      <c r="C161" s="25" t="s">
        <v>16</v>
      </c>
      <c r="D161" s="25" t="str" cm="1">
        <f t="array" ref="D161">_xlfn.SWITCH(Sheet5!A161,1,"JANUARY",2,"FEBRUARY")</f>
        <v>JANUARY</v>
      </c>
      <c r="E161">
        <v>22</v>
      </c>
      <c r="F161" t="str" cm="1">
        <f t="array" ref="F161">_xlfn.SWITCH(Sheet5!C161,FALSE,"NO",TRUE,"YES")</f>
        <v>NO</v>
      </c>
      <c r="G161" t="str" cm="1">
        <f t="array" ref="G161">_xlfn.SWITCH(Sheet5!B161,0,"Sunday",1,"Monday",2,"Tuesday",3,"Wednesday",4,"Thursday",5,"Friday",6,"Saturday")</f>
        <v>Friday</v>
      </c>
      <c r="H161" t="str" cm="1">
        <f t="array" ref="H161">_xlfn.SWITCH(Sheet5!D161, 1, "Clear Sky", 2, "Mist", 3, "Dark Cloud",4,"Heavy Rainfall")</f>
        <v>Mist</v>
      </c>
      <c r="I161" s="26">
        <f>Sheet5!E161*41</f>
        <v>7.38</v>
      </c>
      <c r="J161" s="27">
        <v>0.43</v>
      </c>
      <c r="K161">
        <v>0.16420000000000001</v>
      </c>
      <c r="L161">
        <v>2</v>
      </c>
      <c r="M161">
        <v>34</v>
      </c>
      <c r="N161">
        <v>36</v>
      </c>
    </row>
    <row r="162" spans="1:14" x14ac:dyDescent="0.3">
      <c r="A162">
        <v>161</v>
      </c>
      <c r="B162" s="21">
        <v>40550</v>
      </c>
      <c r="C162" s="25" t="s">
        <v>16</v>
      </c>
      <c r="D162" s="25" t="str" cm="1">
        <f t="array" ref="D162">_xlfn.SWITCH(Sheet5!A162,1,"JANUARY",2,"FEBRUARY")</f>
        <v>JANUARY</v>
      </c>
      <c r="E162">
        <v>23</v>
      </c>
      <c r="F162" t="str" cm="1">
        <f t="array" ref="F162">_xlfn.SWITCH(Sheet5!C162,FALSE,"NO",TRUE,"YES")</f>
        <v>NO</v>
      </c>
      <c r="G162" t="str" cm="1">
        <f t="array" ref="G162">_xlfn.SWITCH(Sheet5!B162,0,"Sunday",1,"Monday",2,"Tuesday",3,"Wednesday",4,"Thursday",5,"Friday",6,"Saturday")</f>
        <v>Friday</v>
      </c>
      <c r="H162" t="str" cm="1">
        <f t="array" ref="H162">_xlfn.SWITCH(Sheet5!D162, 1, "Clear Sky", 2, "Mist", 3, "Dark Cloud",4,"Heavy Rainfall")</f>
        <v>Mist</v>
      </c>
      <c r="I162" s="26">
        <f>Sheet5!E162*41</f>
        <v>7.38</v>
      </c>
      <c r="J162" s="27">
        <v>0.51</v>
      </c>
      <c r="K162">
        <v>0.16420000000000001</v>
      </c>
      <c r="L162">
        <v>1</v>
      </c>
      <c r="M162">
        <v>14</v>
      </c>
      <c r="N162">
        <v>15</v>
      </c>
    </row>
    <row r="163" spans="1:14" x14ac:dyDescent="0.3">
      <c r="A163">
        <v>162</v>
      </c>
      <c r="B163" s="21">
        <v>40551</v>
      </c>
      <c r="C163" s="25" t="s">
        <v>16</v>
      </c>
      <c r="D163" s="25" t="str" cm="1">
        <f t="array" ref="D163">_xlfn.SWITCH(Sheet5!A163,1,"JANUARY",2,"FEBRUARY")</f>
        <v>JANUARY</v>
      </c>
      <c r="E163">
        <v>0</v>
      </c>
      <c r="F163" t="str" cm="1">
        <f t="array" ref="F163">_xlfn.SWITCH(Sheet5!C163,FALSE,"NO",TRUE,"YES")</f>
        <v>NO</v>
      </c>
      <c r="G163" t="str" cm="1">
        <f t="array" ref="G163">_xlfn.SWITCH(Sheet5!B163,0,"Sunday",1,"Monday",2,"Tuesday",3,"Wednesday",4,"Thursday",5,"Friday",6,"Saturday")</f>
        <v>Saturday</v>
      </c>
      <c r="H163" t="str" cm="1">
        <f t="array" ref="H163">_xlfn.SWITCH(Sheet5!D163, 1, "Clear Sky", 2, "Mist", 3, "Dark Cloud",4,"Heavy Rainfall")</f>
        <v>Mist</v>
      </c>
      <c r="I163" s="26">
        <f>Sheet5!E163*41</f>
        <v>7.38</v>
      </c>
      <c r="J163" s="27">
        <v>0.51</v>
      </c>
      <c r="K163">
        <v>0.16420000000000001</v>
      </c>
      <c r="L163">
        <v>1</v>
      </c>
      <c r="M163">
        <v>24</v>
      </c>
      <c r="N163">
        <v>25</v>
      </c>
    </row>
    <row r="164" spans="1:14" x14ac:dyDescent="0.3">
      <c r="A164">
        <v>163</v>
      </c>
      <c r="B164" s="21">
        <v>40551</v>
      </c>
      <c r="C164" s="25" t="s">
        <v>16</v>
      </c>
      <c r="D164" s="25" t="str" cm="1">
        <f t="array" ref="D164">_xlfn.SWITCH(Sheet5!A164,1,"JANUARY",2,"FEBRUARY")</f>
        <v>JANUARY</v>
      </c>
      <c r="E164">
        <v>1</v>
      </c>
      <c r="F164" t="str" cm="1">
        <f t="array" ref="F164">_xlfn.SWITCH(Sheet5!C164,FALSE,"NO",TRUE,"YES")</f>
        <v>NO</v>
      </c>
      <c r="G164" t="str" cm="1">
        <f t="array" ref="G164">_xlfn.SWITCH(Sheet5!B164,0,"Sunday",1,"Monday",2,"Tuesday",3,"Wednesday",4,"Thursday",5,"Friday",6,"Saturday")</f>
        <v>Saturday</v>
      </c>
      <c r="H164" t="str" cm="1">
        <f t="array" ref="H164">_xlfn.SWITCH(Sheet5!D164, 1, "Clear Sky", 2, "Mist", 3, "Dark Cloud",4,"Heavy Rainfall")</f>
        <v>Mist</v>
      </c>
      <c r="I164" s="26">
        <f>Sheet5!E164*41</f>
        <v>7.38</v>
      </c>
      <c r="J164" s="27">
        <v>0.55000000000000004</v>
      </c>
      <c r="K164">
        <v>8.9599999999999999E-2</v>
      </c>
      <c r="L164">
        <v>1</v>
      </c>
      <c r="M164">
        <v>15</v>
      </c>
      <c r="N164">
        <v>16</v>
      </c>
    </row>
    <row r="165" spans="1:14" x14ac:dyDescent="0.3">
      <c r="A165">
        <v>164</v>
      </c>
      <c r="B165" s="21">
        <v>40551</v>
      </c>
      <c r="C165" s="25" t="s">
        <v>16</v>
      </c>
      <c r="D165" s="25" t="str" cm="1">
        <f t="array" ref="D165">_xlfn.SWITCH(Sheet5!A165,1,"JANUARY",2,"FEBRUARY")</f>
        <v>JANUARY</v>
      </c>
      <c r="E165">
        <v>2</v>
      </c>
      <c r="F165" t="str" cm="1">
        <f t="array" ref="F165">_xlfn.SWITCH(Sheet5!C165,FALSE,"NO",TRUE,"YES")</f>
        <v>NO</v>
      </c>
      <c r="G165" t="str" cm="1">
        <f t="array" ref="G165">_xlfn.SWITCH(Sheet5!B165,0,"Sunday",1,"Monday",2,"Tuesday",3,"Wednesday",4,"Thursday",5,"Friday",6,"Saturday")</f>
        <v>Saturday</v>
      </c>
      <c r="H165" t="str" cm="1">
        <f t="array" ref="H165">_xlfn.SWITCH(Sheet5!D165, 1, "Clear Sky", 2, "Mist", 3, "Dark Cloud",4,"Heavy Rainfall")</f>
        <v>Mist</v>
      </c>
      <c r="I165" s="26">
        <f>Sheet5!E165*41</f>
        <v>7.38</v>
      </c>
      <c r="J165" s="27">
        <v>0.55000000000000004</v>
      </c>
      <c r="K165">
        <v>0</v>
      </c>
      <c r="L165">
        <v>3</v>
      </c>
      <c r="M165">
        <v>13</v>
      </c>
      <c r="N165">
        <v>16</v>
      </c>
    </row>
    <row r="166" spans="1:14" x14ac:dyDescent="0.3">
      <c r="A166">
        <v>165</v>
      </c>
      <c r="B166" s="21">
        <v>40551</v>
      </c>
      <c r="C166" s="25" t="s">
        <v>16</v>
      </c>
      <c r="D166" s="25" t="str" cm="1">
        <f t="array" ref="D166">_xlfn.SWITCH(Sheet5!A166,1,"JANUARY",2,"FEBRUARY")</f>
        <v>JANUARY</v>
      </c>
      <c r="E166">
        <v>3</v>
      </c>
      <c r="F166" t="str" cm="1">
        <f t="array" ref="F166">_xlfn.SWITCH(Sheet5!C166,FALSE,"NO",TRUE,"YES")</f>
        <v>NO</v>
      </c>
      <c r="G166" t="str" cm="1">
        <f t="array" ref="G166">_xlfn.SWITCH(Sheet5!B166,0,"Sunday",1,"Monday",2,"Tuesday",3,"Wednesday",4,"Thursday",5,"Friday",6,"Saturday")</f>
        <v>Saturday</v>
      </c>
      <c r="H166" t="str" cm="1">
        <f t="array" ref="H166">_xlfn.SWITCH(Sheet5!D166, 1, "Clear Sky", 2, "Mist", 3, "Dark Cloud",4,"Heavy Rainfall")</f>
        <v>Dark Cloud</v>
      </c>
      <c r="I166" s="26">
        <f>Sheet5!E166*41</f>
        <v>7.38</v>
      </c>
      <c r="J166" s="27">
        <v>0.55000000000000004</v>
      </c>
      <c r="K166">
        <v>0.16420000000000001</v>
      </c>
      <c r="L166">
        <v>0</v>
      </c>
      <c r="M166">
        <v>7</v>
      </c>
      <c r="N166">
        <v>7</v>
      </c>
    </row>
    <row r="167" spans="1:14" x14ac:dyDescent="0.3">
      <c r="A167">
        <v>166</v>
      </c>
      <c r="B167" s="21">
        <v>40551</v>
      </c>
      <c r="C167" s="25" t="s">
        <v>16</v>
      </c>
      <c r="D167" s="25" t="str" cm="1">
        <f t="array" ref="D167">_xlfn.SWITCH(Sheet5!A167,1,"JANUARY",2,"FEBRUARY")</f>
        <v>JANUARY</v>
      </c>
      <c r="E167">
        <v>4</v>
      </c>
      <c r="F167" t="str" cm="1">
        <f t="array" ref="F167">_xlfn.SWITCH(Sheet5!C167,FALSE,"NO",TRUE,"YES")</f>
        <v>NO</v>
      </c>
      <c r="G167" t="str" cm="1">
        <f t="array" ref="G167">_xlfn.SWITCH(Sheet5!B167,0,"Sunday",1,"Monday",2,"Tuesday",3,"Wednesday",4,"Thursday",5,"Friday",6,"Saturday")</f>
        <v>Saturday</v>
      </c>
      <c r="H167" t="str" cm="1">
        <f t="array" ref="H167">_xlfn.SWITCH(Sheet5!D167, 1, "Clear Sky", 2, "Mist", 3, "Dark Cloud",4,"Heavy Rainfall")</f>
        <v>Dark Cloud</v>
      </c>
      <c r="I167" s="26">
        <f>Sheet5!E167*41</f>
        <v>7.38</v>
      </c>
      <c r="J167" s="27">
        <v>0.55000000000000004</v>
      </c>
      <c r="K167">
        <v>0.16420000000000001</v>
      </c>
      <c r="L167">
        <v>0</v>
      </c>
      <c r="M167">
        <v>1</v>
      </c>
      <c r="N167">
        <v>1</v>
      </c>
    </row>
    <row r="168" spans="1:14" x14ac:dyDescent="0.3">
      <c r="A168">
        <v>167</v>
      </c>
      <c r="B168" s="21">
        <v>40551</v>
      </c>
      <c r="C168" s="25" t="s">
        <v>16</v>
      </c>
      <c r="D168" s="25" t="str" cm="1">
        <f t="array" ref="D168">_xlfn.SWITCH(Sheet5!A168,1,"JANUARY",2,"FEBRUARY")</f>
        <v>JANUARY</v>
      </c>
      <c r="E168">
        <v>5</v>
      </c>
      <c r="F168" t="str" cm="1">
        <f t="array" ref="F168">_xlfn.SWITCH(Sheet5!C168,FALSE,"NO",TRUE,"YES")</f>
        <v>NO</v>
      </c>
      <c r="G168" t="str" cm="1">
        <f t="array" ref="G168">_xlfn.SWITCH(Sheet5!B168,0,"Sunday",1,"Monday",2,"Tuesday",3,"Wednesday",4,"Thursday",5,"Friday",6,"Saturday")</f>
        <v>Saturday</v>
      </c>
      <c r="H168" t="str" cm="1">
        <f t="array" ref="H168">_xlfn.SWITCH(Sheet5!D168, 1, "Clear Sky", 2, "Mist", 3, "Dark Cloud",4,"Heavy Rainfall")</f>
        <v>Mist</v>
      </c>
      <c r="I168" s="26">
        <f>Sheet5!E168*41</f>
        <v>6.5600000000000005</v>
      </c>
      <c r="J168" s="27">
        <v>0.74</v>
      </c>
      <c r="K168">
        <v>0.16420000000000001</v>
      </c>
      <c r="L168">
        <v>0</v>
      </c>
      <c r="M168">
        <v>5</v>
      </c>
      <c r="N168">
        <v>5</v>
      </c>
    </row>
    <row r="169" spans="1:14" x14ac:dyDescent="0.3">
      <c r="A169">
        <v>168</v>
      </c>
      <c r="B169" s="21">
        <v>40551</v>
      </c>
      <c r="C169" s="25" t="s">
        <v>16</v>
      </c>
      <c r="D169" s="25" t="str" cm="1">
        <f t="array" ref="D169">_xlfn.SWITCH(Sheet5!A169,1,"JANUARY",2,"FEBRUARY")</f>
        <v>JANUARY</v>
      </c>
      <c r="E169">
        <v>6</v>
      </c>
      <c r="F169" t="str" cm="1">
        <f t="array" ref="F169">_xlfn.SWITCH(Sheet5!C169,FALSE,"NO",TRUE,"YES")</f>
        <v>NO</v>
      </c>
      <c r="G169" t="str" cm="1">
        <f t="array" ref="G169">_xlfn.SWITCH(Sheet5!B169,0,"Sunday",1,"Monday",2,"Tuesday",3,"Wednesday",4,"Thursday",5,"Friday",6,"Saturday")</f>
        <v>Saturday</v>
      </c>
      <c r="H169" t="str" cm="1">
        <f t="array" ref="H169">_xlfn.SWITCH(Sheet5!D169, 1, "Clear Sky", 2, "Mist", 3, "Dark Cloud",4,"Heavy Rainfall")</f>
        <v>Mist</v>
      </c>
      <c r="I169" s="26">
        <f>Sheet5!E169*41</f>
        <v>6.5600000000000005</v>
      </c>
      <c r="J169" s="27">
        <v>0.74</v>
      </c>
      <c r="K169">
        <v>0.16420000000000001</v>
      </c>
      <c r="L169">
        <v>0</v>
      </c>
      <c r="M169">
        <v>2</v>
      </c>
      <c r="N169">
        <v>2</v>
      </c>
    </row>
    <row r="170" spans="1:14" x14ac:dyDescent="0.3">
      <c r="A170">
        <v>169</v>
      </c>
      <c r="B170" s="21">
        <v>40551</v>
      </c>
      <c r="C170" s="25" t="s">
        <v>16</v>
      </c>
      <c r="D170" s="25" t="str" cm="1">
        <f t="array" ref="D170">_xlfn.SWITCH(Sheet5!A170,1,"JANUARY",2,"FEBRUARY")</f>
        <v>JANUARY</v>
      </c>
      <c r="E170">
        <v>7</v>
      </c>
      <c r="F170" t="str" cm="1">
        <f t="array" ref="F170">_xlfn.SWITCH(Sheet5!C170,FALSE,"NO",TRUE,"YES")</f>
        <v>NO</v>
      </c>
      <c r="G170" t="str" cm="1">
        <f t="array" ref="G170">_xlfn.SWITCH(Sheet5!B170,0,"Sunday",1,"Monday",2,"Tuesday",3,"Wednesday",4,"Thursday",5,"Friday",6,"Saturday")</f>
        <v>Saturday</v>
      </c>
      <c r="H170" t="str" cm="1">
        <f t="array" ref="H170">_xlfn.SWITCH(Sheet5!D170, 1, "Clear Sky", 2, "Mist", 3, "Dark Cloud",4,"Heavy Rainfall")</f>
        <v>Mist</v>
      </c>
      <c r="I170" s="26">
        <f>Sheet5!E170*41</f>
        <v>6.5600000000000005</v>
      </c>
      <c r="J170" s="27">
        <v>0.74</v>
      </c>
      <c r="K170">
        <v>0.1045</v>
      </c>
      <c r="L170">
        <v>1</v>
      </c>
      <c r="M170">
        <v>8</v>
      </c>
      <c r="N170">
        <v>9</v>
      </c>
    </row>
    <row r="171" spans="1:14" x14ac:dyDescent="0.3">
      <c r="A171">
        <v>170</v>
      </c>
      <c r="B171" s="21">
        <v>40551</v>
      </c>
      <c r="C171" s="25" t="s">
        <v>16</v>
      </c>
      <c r="D171" s="25" t="str" cm="1">
        <f t="array" ref="D171">_xlfn.SWITCH(Sheet5!A171,1,"JANUARY",2,"FEBRUARY")</f>
        <v>JANUARY</v>
      </c>
      <c r="E171">
        <v>8</v>
      </c>
      <c r="F171" t="str" cm="1">
        <f t="array" ref="F171">_xlfn.SWITCH(Sheet5!C171,FALSE,"NO",TRUE,"YES")</f>
        <v>NO</v>
      </c>
      <c r="G171" t="str" cm="1">
        <f t="array" ref="G171">_xlfn.SWITCH(Sheet5!B171,0,"Sunday",1,"Monday",2,"Tuesday",3,"Wednesday",4,"Thursday",5,"Friday",6,"Saturday")</f>
        <v>Saturday</v>
      </c>
      <c r="H171" t="str" cm="1">
        <f t="array" ref="H171">_xlfn.SWITCH(Sheet5!D171, 1, "Clear Sky", 2, "Mist", 3, "Dark Cloud",4,"Heavy Rainfall")</f>
        <v>Dark Cloud</v>
      </c>
      <c r="I171" s="26">
        <f>Sheet5!E171*41</f>
        <v>6.5600000000000005</v>
      </c>
      <c r="J171" s="27">
        <v>0.93</v>
      </c>
      <c r="K171">
        <v>0.1045</v>
      </c>
      <c r="L171">
        <v>0</v>
      </c>
      <c r="M171">
        <v>15</v>
      </c>
      <c r="N171">
        <v>15</v>
      </c>
    </row>
    <row r="172" spans="1:14" x14ac:dyDescent="0.3">
      <c r="A172">
        <v>171</v>
      </c>
      <c r="B172" s="21">
        <v>40551</v>
      </c>
      <c r="C172" s="25" t="s">
        <v>16</v>
      </c>
      <c r="D172" s="25" t="str" cm="1">
        <f t="array" ref="D172">_xlfn.SWITCH(Sheet5!A172,1,"JANUARY",2,"FEBRUARY")</f>
        <v>JANUARY</v>
      </c>
      <c r="E172">
        <v>9</v>
      </c>
      <c r="F172" t="str" cm="1">
        <f t="array" ref="F172">_xlfn.SWITCH(Sheet5!C172,FALSE,"NO",TRUE,"YES")</f>
        <v>NO</v>
      </c>
      <c r="G172" t="str" cm="1">
        <f t="array" ref="G172">_xlfn.SWITCH(Sheet5!B172,0,"Sunday",1,"Monday",2,"Tuesday",3,"Wednesday",4,"Thursday",5,"Friday",6,"Saturday")</f>
        <v>Saturday</v>
      </c>
      <c r="H172" t="str" cm="1">
        <f t="array" ref="H172">_xlfn.SWITCH(Sheet5!D172, 1, "Clear Sky", 2, "Mist", 3, "Dark Cloud",4,"Heavy Rainfall")</f>
        <v>Dark Cloud</v>
      </c>
      <c r="I172" s="26">
        <f>Sheet5!E172*41</f>
        <v>6.5600000000000005</v>
      </c>
      <c r="J172" s="27">
        <v>0.93</v>
      </c>
      <c r="K172">
        <v>0.1045</v>
      </c>
      <c r="L172">
        <v>0</v>
      </c>
      <c r="M172">
        <v>20</v>
      </c>
      <c r="N172">
        <v>20</v>
      </c>
    </row>
    <row r="173" spans="1:14" x14ac:dyDescent="0.3">
      <c r="A173">
        <v>172</v>
      </c>
      <c r="B173" s="21">
        <v>40551</v>
      </c>
      <c r="C173" s="25" t="s">
        <v>16</v>
      </c>
      <c r="D173" s="25" t="str" cm="1">
        <f t="array" ref="D173">_xlfn.SWITCH(Sheet5!A173,1,"JANUARY",2,"FEBRUARY")</f>
        <v>JANUARY</v>
      </c>
      <c r="E173">
        <v>10</v>
      </c>
      <c r="F173" t="str" cm="1">
        <f t="array" ref="F173">_xlfn.SWITCH(Sheet5!C173,FALSE,"NO",TRUE,"YES")</f>
        <v>NO</v>
      </c>
      <c r="G173" t="str" cm="1">
        <f t="array" ref="G173">_xlfn.SWITCH(Sheet5!B173,0,"Sunday",1,"Monday",2,"Tuesday",3,"Wednesday",4,"Thursday",5,"Friday",6,"Saturday")</f>
        <v>Saturday</v>
      </c>
      <c r="H173" t="str" cm="1">
        <f t="array" ref="H173">_xlfn.SWITCH(Sheet5!D173, 1, "Clear Sky", 2, "Mist", 3, "Dark Cloud",4,"Heavy Rainfall")</f>
        <v>Mist</v>
      </c>
      <c r="I173" s="26">
        <f>Sheet5!E173*41</f>
        <v>7.38</v>
      </c>
      <c r="J173" s="27">
        <v>0.8</v>
      </c>
      <c r="K173">
        <v>0.16420000000000001</v>
      </c>
      <c r="L173">
        <v>5</v>
      </c>
      <c r="M173">
        <v>56</v>
      </c>
      <c r="N173">
        <v>61</v>
      </c>
    </row>
    <row r="174" spans="1:14" x14ac:dyDescent="0.3">
      <c r="A174">
        <v>173</v>
      </c>
      <c r="B174" s="21">
        <v>40551</v>
      </c>
      <c r="C174" s="25" t="s">
        <v>16</v>
      </c>
      <c r="D174" s="25" t="str" cm="1">
        <f t="array" ref="D174">_xlfn.SWITCH(Sheet5!A174,1,"JANUARY",2,"FEBRUARY")</f>
        <v>JANUARY</v>
      </c>
      <c r="E174">
        <v>11</v>
      </c>
      <c r="F174" t="str" cm="1">
        <f t="array" ref="F174">_xlfn.SWITCH(Sheet5!C174,FALSE,"NO",TRUE,"YES")</f>
        <v>NO</v>
      </c>
      <c r="G174" t="str" cm="1">
        <f t="array" ref="G174">_xlfn.SWITCH(Sheet5!B174,0,"Sunday",1,"Monday",2,"Tuesday",3,"Wednesday",4,"Thursday",5,"Friday",6,"Saturday")</f>
        <v>Saturday</v>
      </c>
      <c r="H174" t="str" cm="1">
        <f t="array" ref="H174">_xlfn.SWITCH(Sheet5!D174, 1, "Clear Sky", 2, "Mist", 3, "Dark Cloud",4,"Heavy Rainfall")</f>
        <v>Mist</v>
      </c>
      <c r="I174" s="26">
        <f>Sheet5!E174*41</f>
        <v>8.2000000000000011</v>
      </c>
      <c r="J174" s="27">
        <v>0.69</v>
      </c>
      <c r="K174">
        <v>0.3881</v>
      </c>
      <c r="L174">
        <v>2</v>
      </c>
      <c r="M174">
        <v>60</v>
      </c>
      <c r="N174">
        <v>62</v>
      </c>
    </row>
    <row r="175" spans="1:14" x14ac:dyDescent="0.3">
      <c r="A175">
        <v>174</v>
      </c>
      <c r="B175" s="21">
        <v>40551</v>
      </c>
      <c r="C175" s="25" t="s">
        <v>16</v>
      </c>
      <c r="D175" s="25" t="str" cm="1">
        <f t="array" ref="D175">_xlfn.SWITCH(Sheet5!A175,1,"JANUARY",2,"FEBRUARY")</f>
        <v>JANUARY</v>
      </c>
      <c r="E175">
        <v>12</v>
      </c>
      <c r="F175" t="str" cm="1">
        <f t="array" ref="F175">_xlfn.SWITCH(Sheet5!C175,FALSE,"NO",TRUE,"YES")</f>
        <v>NO</v>
      </c>
      <c r="G175" t="str" cm="1">
        <f t="array" ref="G175">_xlfn.SWITCH(Sheet5!B175,0,"Sunday",1,"Monday",2,"Tuesday",3,"Wednesday",4,"Thursday",5,"Friday",6,"Saturday")</f>
        <v>Saturday</v>
      </c>
      <c r="H175" t="str" cm="1">
        <f t="array" ref="H175">_xlfn.SWITCH(Sheet5!D175, 1, "Clear Sky", 2, "Mist", 3, "Dark Cloud",4,"Heavy Rainfall")</f>
        <v>Mist</v>
      </c>
      <c r="I175" s="26">
        <f>Sheet5!E175*41</f>
        <v>8.2000000000000011</v>
      </c>
      <c r="J175" s="27">
        <v>0.59</v>
      </c>
      <c r="K175">
        <v>0.35820000000000002</v>
      </c>
      <c r="L175">
        <v>8</v>
      </c>
      <c r="M175">
        <v>90</v>
      </c>
      <c r="N175">
        <v>98</v>
      </c>
    </row>
    <row r="176" spans="1:14" x14ac:dyDescent="0.3">
      <c r="A176">
        <v>175</v>
      </c>
      <c r="B176" s="21">
        <v>40551</v>
      </c>
      <c r="C176" s="25" t="s">
        <v>16</v>
      </c>
      <c r="D176" s="25" t="str" cm="1">
        <f t="array" ref="D176">_xlfn.SWITCH(Sheet5!A176,1,"JANUARY",2,"FEBRUARY")</f>
        <v>JANUARY</v>
      </c>
      <c r="E176">
        <v>13</v>
      </c>
      <c r="F176" t="str" cm="1">
        <f t="array" ref="F176">_xlfn.SWITCH(Sheet5!C176,FALSE,"NO",TRUE,"YES")</f>
        <v>NO</v>
      </c>
      <c r="G176" t="str" cm="1">
        <f t="array" ref="G176">_xlfn.SWITCH(Sheet5!B176,0,"Sunday",1,"Monday",2,"Tuesday",3,"Wednesday",4,"Thursday",5,"Friday",6,"Saturday")</f>
        <v>Saturday</v>
      </c>
      <c r="H176" t="str" cm="1">
        <f t="array" ref="H176">_xlfn.SWITCH(Sheet5!D176, 1, "Clear Sky", 2, "Mist", 3, "Dark Cloud",4,"Heavy Rainfall")</f>
        <v>Clear Sky</v>
      </c>
      <c r="I176" s="26">
        <f>Sheet5!E176*41</f>
        <v>8.2000000000000011</v>
      </c>
      <c r="J176" s="27">
        <v>0.44</v>
      </c>
      <c r="K176">
        <v>0.32840000000000003</v>
      </c>
      <c r="L176">
        <v>7</v>
      </c>
      <c r="M176">
        <v>95</v>
      </c>
      <c r="N176">
        <v>102</v>
      </c>
    </row>
    <row r="177" spans="1:14" x14ac:dyDescent="0.3">
      <c r="A177">
        <v>176</v>
      </c>
      <c r="B177" s="21">
        <v>40551</v>
      </c>
      <c r="C177" s="25" t="s">
        <v>16</v>
      </c>
      <c r="D177" s="25" t="str" cm="1">
        <f t="array" ref="D177">_xlfn.SWITCH(Sheet5!A177,1,"JANUARY",2,"FEBRUARY")</f>
        <v>JANUARY</v>
      </c>
      <c r="E177">
        <v>14</v>
      </c>
      <c r="F177" t="str" cm="1">
        <f t="array" ref="F177">_xlfn.SWITCH(Sheet5!C177,FALSE,"NO",TRUE,"YES")</f>
        <v>NO</v>
      </c>
      <c r="G177" t="str" cm="1">
        <f t="array" ref="G177">_xlfn.SWITCH(Sheet5!B177,0,"Sunday",1,"Monday",2,"Tuesday",3,"Wednesday",4,"Thursday",5,"Friday",6,"Saturday")</f>
        <v>Saturday</v>
      </c>
      <c r="H177" t="str" cm="1">
        <f t="array" ref="H177">_xlfn.SWITCH(Sheet5!D177, 1, "Clear Sky", 2, "Mist", 3, "Dark Cloud",4,"Heavy Rainfall")</f>
        <v>Clear Sky</v>
      </c>
      <c r="I177" s="26">
        <f>Sheet5!E177*41</f>
        <v>8.2000000000000011</v>
      </c>
      <c r="J177" s="27">
        <v>0.32</v>
      </c>
      <c r="K177">
        <v>0.49249999999999999</v>
      </c>
      <c r="L177">
        <v>12</v>
      </c>
      <c r="M177">
        <v>83</v>
      </c>
      <c r="N177">
        <v>95</v>
      </c>
    </row>
    <row r="178" spans="1:14" x14ac:dyDescent="0.3">
      <c r="A178">
        <v>177</v>
      </c>
      <c r="B178" s="21">
        <v>40551</v>
      </c>
      <c r="C178" s="25" t="s">
        <v>16</v>
      </c>
      <c r="D178" s="25" t="str" cm="1">
        <f t="array" ref="D178">_xlfn.SWITCH(Sheet5!A178,1,"JANUARY",2,"FEBRUARY")</f>
        <v>JANUARY</v>
      </c>
      <c r="E178">
        <v>15</v>
      </c>
      <c r="F178" t="str" cm="1">
        <f t="array" ref="F178">_xlfn.SWITCH(Sheet5!C178,FALSE,"NO",TRUE,"YES")</f>
        <v>NO</v>
      </c>
      <c r="G178" t="str" cm="1">
        <f t="array" ref="G178">_xlfn.SWITCH(Sheet5!B178,0,"Sunday",1,"Monday",2,"Tuesday",3,"Wednesday",4,"Thursday",5,"Friday",6,"Saturday")</f>
        <v>Saturday</v>
      </c>
      <c r="H178" t="str" cm="1">
        <f t="array" ref="H178">_xlfn.SWITCH(Sheet5!D178, 1, "Clear Sky", 2, "Mist", 3, "Dark Cloud",4,"Heavy Rainfall")</f>
        <v>Clear Sky</v>
      </c>
      <c r="I178" s="26">
        <f>Sheet5!E178*41</f>
        <v>8.2000000000000011</v>
      </c>
      <c r="J178" s="27">
        <v>0.32</v>
      </c>
      <c r="K178">
        <v>0.44779999999999998</v>
      </c>
      <c r="L178">
        <v>5</v>
      </c>
      <c r="M178">
        <v>69</v>
      </c>
      <c r="N178">
        <v>74</v>
      </c>
    </row>
    <row r="179" spans="1:14" x14ac:dyDescent="0.3">
      <c r="A179">
        <v>178</v>
      </c>
      <c r="B179" s="21">
        <v>40551</v>
      </c>
      <c r="C179" s="25" t="s">
        <v>16</v>
      </c>
      <c r="D179" s="25" t="str" cm="1">
        <f t="array" ref="D179">_xlfn.SWITCH(Sheet5!A179,1,"JANUARY",2,"FEBRUARY")</f>
        <v>JANUARY</v>
      </c>
      <c r="E179">
        <v>16</v>
      </c>
      <c r="F179" t="str" cm="1">
        <f t="array" ref="F179">_xlfn.SWITCH(Sheet5!C179,FALSE,"NO",TRUE,"YES")</f>
        <v>NO</v>
      </c>
      <c r="G179" t="str" cm="1">
        <f t="array" ref="G179">_xlfn.SWITCH(Sheet5!B179,0,"Sunday",1,"Monday",2,"Tuesday",3,"Wednesday",4,"Thursday",5,"Friday",6,"Saturday")</f>
        <v>Saturday</v>
      </c>
      <c r="H179" t="str" cm="1">
        <f t="array" ref="H179">_xlfn.SWITCH(Sheet5!D179, 1, "Clear Sky", 2, "Mist", 3, "Dark Cloud",4,"Heavy Rainfall")</f>
        <v>Clear Sky</v>
      </c>
      <c r="I179" s="26">
        <f>Sheet5!E179*41</f>
        <v>7.38</v>
      </c>
      <c r="J179" s="27">
        <v>0.28999999999999998</v>
      </c>
      <c r="K179">
        <v>0.44779999999999998</v>
      </c>
      <c r="L179">
        <v>8</v>
      </c>
      <c r="M179">
        <v>68</v>
      </c>
      <c r="N179">
        <v>76</v>
      </c>
    </row>
    <row r="180" spans="1:14" x14ac:dyDescent="0.3">
      <c r="A180">
        <v>179</v>
      </c>
      <c r="B180" s="21">
        <v>40551</v>
      </c>
      <c r="C180" s="25" t="s">
        <v>16</v>
      </c>
      <c r="D180" s="25" t="str" cm="1">
        <f t="array" ref="D180">_xlfn.SWITCH(Sheet5!A180,1,"JANUARY",2,"FEBRUARY")</f>
        <v>JANUARY</v>
      </c>
      <c r="E180">
        <v>17</v>
      </c>
      <c r="F180" t="str" cm="1">
        <f t="array" ref="F180">_xlfn.SWITCH(Sheet5!C180,FALSE,"NO",TRUE,"YES")</f>
        <v>NO</v>
      </c>
      <c r="G180" t="str" cm="1">
        <f t="array" ref="G180">_xlfn.SWITCH(Sheet5!B180,0,"Sunday",1,"Monday",2,"Tuesday",3,"Wednesday",4,"Thursday",5,"Friday",6,"Saturday")</f>
        <v>Saturday</v>
      </c>
      <c r="H180" t="str" cm="1">
        <f t="array" ref="H180">_xlfn.SWITCH(Sheet5!D180, 1, "Clear Sky", 2, "Mist", 3, "Dark Cloud",4,"Heavy Rainfall")</f>
        <v>Clear Sky</v>
      </c>
      <c r="I180" s="26">
        <f>Sheet5!E180*41</f>
        <v>6.5600000000000005</v>
      </c>
      <c r="J180" s="27">
        <v>0.37</v>
      </c>
      <c r="K180">
        <v>0.55220000000000002</v>
      </c>
      <c r="L180">
        <v>5</v>
      </c>
      <c r="M180">
        <v>64</v>
      </c>
      <c r="N180">
        <v>69</v>
      </c>
    </row>
    <row r="181" spans="1:14" x14ac:dyDescent="0.3">
      <c r="A181">
        <v>180</v>
      </c>
      <c r="B181" s="21">
        <v>40551</v>
      </c>
      <c r="C181" s="25" t="s">
        <v>16</v>
      </c>
      <c r="D181" s="25" t="str" cm="1">
        <f t="array" ref="D181">_xlfn.SWITCH(Sheet5!A181,1,"JANUARY",2,"FEBRUARY")</f>
        <v>JANUARY</v>
      </c>
      <c r="E181">
        <v>18</v>
      </c>
      <c r="F181" t="str" cm="1">
        <f t="array" ref="F181">_xlfn.SWITCH(Sheet5!C181,FALSE,"NO",TRUE,"YES")</f>
        <v>NO</v>
      </c>
      <c r="G181" t="str" cm="1">
        <f t="array" ref="G181">_xlfn.SWITCH(Sheet5!B181,0,"Sunday",1,"Monday",2,"Tuesday",3,"Wednesday",4,"Thursday",5,"Friday",6,"Saturday")</f>
        <v>Saturday</v>
      </c>
      <c r="H181" t="str" cm="1">
        <f t="array" ref="H181">_xlfn.SWITCH(Sheet5!D181, 1, "Clear Sky", 2, "Mist", 3, "Dark Cloud",4,"Heavy Rainfall")</f>
        <v>Clear Sky</v>
      </c>
      <c r="I181" s="26">
        <f>Sheet5!E181*41</f>
        <v>5.74</v>
      </c>
      <c r="J181" s="27">
        <v>0.39</v>
      </c>
      <c r="K181">
        <v>0.29849999999999999</v>
      </c>
      <c r="L181">
        <v>3</v>
      </c>
      <c r="M181">
        <v>52</v>
      </c>
      <c r="N181">
        <v>55</v>
      </c>
    </row>
    <row r="182" spans="1:14" x14ac:dyDescent="0.3">
      <c r="A182">
        <v>181</v>
      </c>
      <c r="B182" s="21">
        <v>40551</v>
      </c>
      <c r="C182" s="25" t="s">
        <v>16</v>
      </c>
      <c r="D182" s="25" t="str" cm="1">
        <f t="array" ref="D182">_xlfn.SWITCH(Sheet5!A182,1,"JANUARY",2,"FEBRUARY")</f>
        <v>JANUARY</v>
      </c>
      <c r="E182">
        <v>19</v>
      </c>
      <c r="F182" t="str" cm="1">
        <f t="array" ref="F182">_xlfn.SWITCH(Sheet5!C182,FALSE,"NO",TRUE,"YES")</f>
        <v>NO</v>
      </c>
      <c r="G182" t="str" cm="1">
        <f t="array" ref="G182">_xlfn.SWITCH(Sheet5!B182,0,"Sunday",1,"Monday",2,"Tuesday",3,"Wednesday",4,"Thursday",5,"Friday",6,"Saturday")</f>
        <v>Saturday</v>
      </c>
      <c r="H182" t="str" cm="1">
        <f t="array" ref="H182">_xlfn.SWITCH(Sheet5!D182, 1, "Clear Sky", 2, "Mist", 3, "Dark Cloud",4,"Heavy Rainfall")</f>
        <v>Clear Sky</v>
      </c>
      <c r="I182" s="26">
        <f>Sheet5!E182*41</f>
        <v>5.74</v>
      </c>
      <c r="J182" s="27">
        <v>0.36</v>
      </c>
      <c r="K182">
        <v>0.25369999999999998</v>
      </c>
      <c r="L182">
        <v>4</v>
      </c>
      <c r="M182">
        <v>26</v>
      </c>
      <c r="N182">
        <v>30</v>
      </c>
    </row>
    <row r="183" spans="1:14" x14ac:dyDescent="0.3">
      <c r="A183">
        <v>182</v>
      </c>
      <c r="B183" s="21">
        <v>40551</v>
      </c>
      <c r="C183" s="25" t="s">
        <v>16</v>
      </c>
      <c r="D183" s="25" t="str" cm="1">
        <f t="array" ref="D183">_xlfn.SWITCH(Sheet5!A183,1,"JANUARY",2,"FEBRUARY")</f>
        <v>JANUARY</v>
      </c>
      <c r="E183">
        <v>20</v>
      </c>
      <c r="F183" t="str" cm="1">
        <f t="array" ref="F183">_xlfn.SWITCH(Sheet5!C183,FALSE,"NO",TRUE,"YES")</f>
        <v>NO</v>
      </c>
      <c r="G183" t="str" cm="1">
        <f t="array" ref="G183">_xlfn.SWITCH(Sheet5!B183,0,"Sunday",1,"Monday",2,"Tuesday",3,"Wednesday",4,"Thursday",5,"Friday",6,"Saturday")</f>
        <v>Saturday</v>
      </c>
      <c r="H183" t="str" cm="1">
        <f t="array" ref="H183">_xlfn.SWITCH(Sheet5!D183, 1, "Clear Sky", 2, "Mist", 3, "Dark Cloud",4,"Heavy Rainfall")</f>
        <v>Clear Sky</v>
      </c>
      <c r="I183" s="26">
        <f>Sheet5!E183*41</f>
        <v>4.92</v>
      </c>
      <c r="J183" s="27">
        <v>0.36</v>
      </c>
      <c r="K183">
        <v>0.25369999999999998</v>
      </c>
      <c r="L183">
        <v>0</v>
      </c>
      <c r="M183">
        <v>28</v>
      </c>
      <c r="N183">
        <v>28</v>
      </c>
    </row>
    <row r="184" spans="1:14" x14ac:dyDescent="0.3">
      <c r="A184">
        <v>183</v>
      </c>
      <c r="B184" s="21">
        <v>40551</v>
      </c>
      <c r="C184" s="25" t="s">
        <v>16</v>
      </c>
      <c r="D184" s="25" t="str" cm="1">
        <f t="array" ref="D184">_xlfn.SWITCH(Sheet5!A184,1,"JANUARY",2,"FEBRUARY")</f>
        <v>JANUARY</v>
      </c>
      <c r="E184">
        <v>21</v>
      </c>
      <c r="F184" t="str" cm="1">
        <f t="array" ref="F184">_xlfn.SWITCH(Sheet5!C184,FALSE,"NO",TRUE,"YES")</f>
        <v>NO</v>
      </c>
      <c r="G184" t="str" cm="1">
        <f t="array" ref="G184">_xlfn.SWITCH(Sheet5!B184,0,"Sunday",1,"Monday",2,"Tuesday",3,"Wednesday",4,"Thursday",5,"Friday",6,"Saturday")</f>
        <v>Saturday</v>
      </c>
      <c r="H184" t="str" cm="1">
        <f t="array" ref="H184">_xlfn.SWITCH(Sheet5!D184, 1, "Clear Sky", 2, "Mist", 3, "Dark Cloud",4,"Heavy Rainfall")</f>
        <v>Clear Sky</v>
      </c>
      <c r="I184" s="26">
        <f>Sheet5!E184*41</f>
        <v>4.92</v>
      </c>
      <c r="J184" s="27">
        <v>0.39</v>
      </c>
      <c r="K184">
        <v>0.35820000000000002</v>
      </c>
      <c r="L184">
        <v>2</v>
      </c>
      <c r="M184">
        <v>35</v>
      </c>
      <c r="N184">
        <v>37</v>
      </c>
    </row>
    <row r="185" spans="1:14" x14ac:dyDescent="0.3">
      <c r="A185">
        <v>184</v>
      </c>
      <c r="B185" s="21">
        <v>40551</v>
      </c>
      <c r="C185" s="25" t="s">
        <v>16</v>
      </c>
      <c r="D185" s="25" t="str" cm="1">
        <f t="array" ref="D185">_xlfn.SWITCH(Sheet5!A185,1,"JANUARY",2,"FEBRUARY")</f>
        <v>JANUARY</v>
      </c>
      <c r="E185">
        <v>22</v>
      </c>
      <c r="F185" t="str" cm="1">
        <f t="array" ref="F185">_xlfn.SWITCH(Sheet5!C185,FALSE,"NO",TRUE,"YES")</f>
        <v>NO</v>
      </c>
      <c r="G185" t="str" cm="1">
        <f t="array" ref="G185">_xlfn.SWITCH(Sheet5!B185,0,"Sunday",1,"Monday",2,"Tuesday",3,"Wednesday",4,"Thursday",5,"Friday",6,"Saturday")</f>
        <v>Saturday</v>
      </c>
      <c r="H185" t="str" cm="1">
        <f t="array" ref="H185">_xlfn.SWITCH(Sheet5!D185, 1, "Clear Sky", 2, "Mist", 3, "Dark Cloud",4,"Heavy Rainfall")</f>
        <v>Clear Sky</v>
      </c>
      <c r="I185" s="26">
        <f>Sheet5!E185*41</f>
        <v>4.92</v>
      </c>
      <c r="J185" s="27">
        <v>0.36</v>
      </c>
      <c r="K185">
        <v>0.3881</v>
      </c>
      <c r="L185">
        <v>1</v>
      </c>
      <c r="M185">
        <v>33</v>
      </c>
      <c r="N185">
        <v>34</v>
      </c>
    </row>
    <row r="186" spans="1:14" x14ac:dyDescent="0.3">
      <c r="A186">
        <v>185</v>
      </c>
      <c r="B186" s="21">
        <v>40551</v>
      </c>
      <c r="C186" s="25" t="s">
        <v>16</v>
      </c>
      <c r="D186" s="25" t="str" cm="1">
        <f t="array" ref="D186">_xlfn.SWITCH(Sheet5!A186,1,"JANUARY",2,"FEBRUARY")</f>
        <v>JANUARY</v>
      </c>
      <c r="E186">
        <v>23</v>
      </c>
      <c r="F186" t="str" cm="1">
        <f t="array" ref="F186">_xlfn.SWITCH(Sheet5!C186,FALSE,"NO",TRUE,"YES")</f>
        <v>NO</v>
      </c>
      <c r="G186" t="str" cm="1">
        <f t="array" ref="G186">_xlfn.SWITCH(Sheet5!B186,0,"Sunday",1,"Monday",2,"Tuesday",3,"Wednesday",4,"Thursday",5,"Friday",6,"Saturday")</f>
        <v>Saturday</v>
      </c>
      <c r="H186" t="str" cm="1">
        <f t="array" ref="H186">_xlfn.SWITCH(Sheet5!D186, 1, "Clear Sky", 2, "Mist", 3, "Dark Cloud",4,"Heavy Rainfall")</f>
        <v>Clear Sky</v>
      </c>
      <c r="I186" s="26">
        <f>Sheet5!E186*41</f>
        <v>4.1000000000000005</v>
      </c>
      <c r="J186" s="27">
        <v>0.39</v>
      </c>
      <c r="K186">
        <v>0.44779999999999998</v>
      </c>
      <c r="L186">
        <v>0</v>
      </c>
      <c r="M186">
        <v>22</v>
      </c>
      <c r="N186">
        <v>22</v>
      </c>
    </row>
    <row r="187" spans="1:14" x14ac:dyDescent="0.3">
      <c r="A187">
        <v>186</v>
      </c>
      <c r="B187" s="21">
        <v>40552</v>
      </c>
      <c r="C187" s="25" t="s">
        <v>16</v>
      </c>
      <c r="D187" s="25" t="str" cm="1">
        <f t="array" ref="D187">_xlfn.SWITCH(Sheet5!A187,1,"JANUARY",2,"FEBRUARY")</f>
        <v>JANUARY</v>
      </c>
      <c r="E187">
        <v>0</v>
      </c>
      <c r="F187" t="str" cm="1">
        <f t="array" ref="F187">_xlfn.SWITCH(Sheet5!C187,FALSE,"NO",TRUE,"YES")</f>
        <v>NO</v>
      </c>
      <c r="G187" t="str" cm="1">
        <f t="array" ref="G187">_xlfn.SWITCH(Sheet5!B187,0,"Sunday",1,"Monday",2,"Tuesday",3,"Wednesday",4,"Thursday",5,"Friday",6,"Saturday")</f>
        <v>Sunday</v>
      </c>
      <c r="H187" t="str" cm="1">
        <f t="array" ref="H187">_xlfn.SWITCH(Sheet5!D187, 1, "Clear Sky", 2, "Mist", 3, "Dark Cloud",4,"Heavy Rainfall")</f>
        <v>Clear Sky</v>
      </c>
      <c r="I187" s="26">
        <f>Sheet5!E187*41</f>
        <v>4.1000000000000005</v>
      </c>
      <c r="J187" s="27">
        <v>0.42</v>
      </c>
      <c r="K187">
        <v>0.3881</v>
      </c>
      <c r="L187">
        <v>1</v>
      </c>
      <c r="M187">
        <v>24</v>
      </c>
      <c r="N187">
        <v>25</v>
      </c>
    </row>
    <row r="188" spans="1:14" x14ac:dyDescent="0.3">
      <c r="A188">
        <v>187</v>
      </c>
      <c r="B188" s="21">
        <v>40552</v>
      </c>
      <c r="C188" s="25" t="s">
        <v>16</v>
      </c>
      <c r="D188" s="25" t="str" cm="1">
        <f t="array" ref="D188">_xlfn.SWITCH(Sheet5!A188,1,"JANUARY",2,"FEBRUARY")</f>
        <v>JANUARY</v>
      </c>
      <c r="E188">
        <v>1</v>
      </c>
      <c r="F188" t="str" cm="1">
        <f t="array" ref="F188">_xlfn.SWITCH(Sheet5!C188,FALSE,"NO",TRUE,"YES")</f>
        <v>NO</v>
      </c>
      <c r="G188" t="str" cm="1">
        <f t="array" ref="G188">_xlfn.SWITCH(Sheet5!B188,0,"Sunday",1,"Monday",2,"Tuesday",3,"Wednesday",4,"Thursday",5,"Friday",6,"Saturday")</f>
        <v>Sunday</v>
      </c>
      <c r="H188" t="str" cm="1">
        <f t="array" ref="H188">_xlfn.SWITCH(Sheet5!D188, 1, "Clear Sky", 2, "Mist", 3, "Dark Cloud",4,"Heavy Rainfall")</f>
        <v>Clear Sky</v>
      </c>
      <c r="I188" s="26">
        <f>Sheet5!E188*41</f>
        <v>4.1000000000000005</v>
      </c>
      <c r="J188" s="27">
        <v>0.42</v>
      </c>
      <c r="K188">
        <v>0.4627</v>
      </c>
      <c r="L188">
        <v>0</v>
      </c>
      <c r="M188">
        <v>12</v>
      </c>
      <c r="N188">
        <v>12</v>
      </c>
    </row>
    <row r="189" spans="1:14" x14ac:dyDescent="0.3">
      <c r="A189">
        <v>188</v>
      </c>
      <c r="B189" s="21">
        <v>40552</v>
      </c>
      <c r="C189" s="25" t="s">
        <v>16</v>
      </c>
      <c r="D189" s="25" t="str" cm="1">
        <f t="array" ref="D189">_xlfn.SWITCH(Sheet5!A189,1,"JANUARY",2,"FEBRUARY")</f>
        <v>JANUARY</v>
      </c>
      <c r="E189">
        <v>2</v>
      </c>
      <c r="F189" t="str" cm="1">
        <f t="array" ref="F189">_xlfn.SWITCH(Sheet5!C189,FALSE,"NO",TRUE,"YES")</f>
        <v>NO</v>
      </c>
      <c r="G189" t="str" cm="1">
        <f t="array" ref="G189">_xlfn.SWITCH(Sheet5!B189,0,"Sunday",1,"Monday",2,"Tuesday",3,"Wednesday",4,"Thursday",5,"Friday",6,"Saturday")</f>
        <v>Sunday</v>
      </c>
      <c r="H189" t="str" cm="1">
        <f t="array" ref="H189">_xlfn.SWITCH(Sheet5!D189, 1, "Clear Sky", 2, "Mist", 3, "Dark Cloud",4,"Heavy Rainfall")</f>
        <v>Clear Sky</v>
      </c>
      <c r="I189" s="26">
        <f>Sheet5!E189*41</f>
        <v>4.1000000000000005</v>
      </c>
      <c r="J189" s="27">
        <v>0.46</v>
      </c>
      <c r="K189">
        <v>0.4627</v>
      </c>
      <c r="L189">
        <v>0</v>
      </c>
      <c r="M189">
        <v>11</v>
      </c>
      <c r="N189">
        <v>11</v>
      </c>
    </row>
    <row r="190" spans="1:14" x14ac:dyDescent="0.3">
      <c r="A190">
        <v>189</v>
      </c>
      <c r="B190" s="21">
        <v>40552</v>
      </c>
      <c r="C190" s="25" t="s">
        <v>16</v>
      </c>
      <c r="D190" s="25" t="str" cm="1">
        <f t="array" ref="D190">_xlfn.SWITCH(Sheet5!A190,1,"JANUARY",2,"FEBRUARY")</f>
        <v>JANUARY</v>
      </c>
      <c r="E190">
        <v>3</v>
      </c>
      <c r="F190" t="str" cm="1">
        <f t="array" ref="F190">_xlfn.SWITCH(Sheet5!C190,FALSE,"NO",TRUE,"YES")</f>
        <v>NO</v>
      </c>
      <c r="G190" t="str" cm="1">
        <f t="array" ref="G190">_xlfn.SWITCH(Sheet5!B190,0,"Sunday",1,"Monday",2,"Tuesday",3,"Wednesday",4,"Thursday",5,"Friday",6,"Saturday")</f>
        <v>Sunday</v>
      </c>
      <c r="H190" t="str" cm="1">
        <f t="array" ref="H190">_xlfn.SWITCH(Sheet5!D190, 1, "Clear Sky", 2, "Mist", 3, "Dark Cloud",4,"Heavy Rainfall")</f>
        <v>Clear Sky</v>
      </c>
      <c r="I190" s="26">
        <f>Sheet5!E190*41</f>
        <v>4.1000000000000005</v>
      </c>
      <c r="J190" s="27">
        <v>0.46</v>
      </c>
      <c r="K190">
        <v>0.41789999999999999</v>
      </c>
      <c r="L190">
        <v>0</v>
      </c>
      <c r="M190">
        <v>4</v>
      </c>
      <c r="N190">
        <v>4</v>
      </c>
    </row>
    <row r="191" spans="1:14" x14ac:dyDescent="0.3">
      <c r="A191">
        <v>190</v>
      </c>
      <c r="B191" s="21">
        <v>40552</v>
      </c>
      <c r="C191" s="25" t="s">
        <v>16</v>
      </c>
      <c r="D191" s="25" t="str" cm="1">
        <f t="array" ref="D191">_xlfn.SWITCH(Sheet5!A191,1,"JANUARY",2,"FEBRUARY")</f>
        <v>JANUARY</v>
      </c>
      <c r="E191">
        <v>4</v>
      </c>
      <c r="F191" t="str" cm="1">
        <f t="array" ref="F191">_xlfn.SWITCH(Sheet5!C191,FALSE,"NO",TRUE,"YES")</f>
        <v>NO</v>
      </c>
      <c r="G191" t="str" cm="1">
        <f t="array" ref="G191">_xlfn.SWITCH(Sheet5!B191,0,"Sunday",1,"Monday",2,"Tuesday",3,"Wednesday",4,"Thursday",5,"Friday",6,"Saturday")</f>
        <v>Sunday</v>
      </c>
      <c r="H191" t="str" cm="1">
        <f t="array" ref="H191">_xlfn.SWITCH(Sheet5!D191, 1, "Clear Sky", 2, "Mist", 3, "Dark Cloud",4,"Heavy Rainfall")</f>
        <v>Clear Sky</v>
      </c>
      <c r="I191" s="26">
        <f>Sheet5!E191*41</f>
        <v>3.2800000000000002</v>
      </c>
      <c r="J191" s="27">
        <v>0.53</v>
      </c>
      <c r="K191">
        <v>0.19400000000000001</v>
      </c>
      <c r="L191">
        <v>0</v>
      </c>
      <c r="M191">
        <v>1</v>
      </c>
      <c r="N191">
        <v>1</v>
      </c>
    </row>
    <row r="192" spans="1:14" x14ac:dyDescent="0.3">
      <c r="A192">
        <v>191</v>
      </c>
      <c r="B192" s="21">
        <v>40552</v>
      </c>
      <c r="C192" s="25" t="s">
        <v>16</v>
      </c>
      <c r="D192" s="25" t="str" cm="1">
        <f t="array" ref="D192">_xlfn.SWITCH(Sheet5!A192,1,"JANUARY",2,"FEBRUARY")</f>
        <v>JANUARY</v>
      </c>
      <c r="E192">
        <v>5</v>
      </c>
      <c r="F192" t="str" cm="1">
        <f t="array" ref="F192">_xlfn.SWITCH(Sheet5!C192,FALSE,"NO",TRUE,"YES")</f>
        <v>NO</v>
      </c>
      <c r="G192" t="str" cm="1">
        <f t="array" ref="G192">_xlfn.SWITCH(Sheet5!B192,0,"Sunday",1,"Monday",2,"Tuesday",3,"Wednesday",4,"Thursday",5,"Friday",6,"Saturday")</f>
        <v>Sunday</v>
      </c>
      <c r="H192" t="str" cm="1">
        <f t="array" ref="H192">_xlfn.SWITCH(Sheet5!D192, 1, "Clear Sky", 2, "Mist", 3, "Dark Cloud",4,"Heavy Rainfall")</f>
        <v>Clear Sky</v>
      </c>
      <c r="I192" s="26">
        <f>Sheet5!E192*41</f>
        <v>3.2800000000000002</v>
      </c>
      <c r="J192" s="27">
        <v>0.53</v>
      </c>
      <c r="K192">
        <v>0.19400000000000001</v>
      </c>
      <c r="L192">
        <v>0</v>
      </c>
      <c r="M192">
        <v>1</v>
      </c>
      <c r="N192">
        <v>1</v>
      </c>
    </row>
    <row r="193" spans="1:14" x14ac:dyDescent="0.3">
      <c r="A193">
        <v>192</v>
      </c>
      <c r="B193" s="21">
        <v>40552</v>
      </c>
      <c r="C193" s="25" t="s">
        <v>16</v>
      </c>
      <c r="D193" s="25" t="str" cm="1">
        <f t="array" ref="D193">_xlfn.SWITCH(Sheet5!A193,1,"JANUARY",2,"FEBRUARY")</f>
        <v>JANUARY</v>
      </c>
      <c r="E193">
        <v>6</v>
      </c>
      <c r="F193" t="str" cm="1">
        <f t="array" ref="F193">_xlfn.SWITCH(Sheet5!C193,FALSE,"NO",TRUE,"YES")</f>
        <v>NO</v>
      </c>
      <c r="G193" t="str" cm="1">
        <f t="array" ref="G193">_xlfn.SWITCH(Sheet5!B193,0,"Sunday",1,"Monday",2,"Tuesday",3,"Wednesday",4,"Thursday",5,"Friday",6,"Saturday")</f>
        <v>Sunday</v>
      </c>
      <c r="H193" t="str" cm="1">
        <f t="array" ref="H193">_xlfn.SWITCH(Sheet5!D193, 1, "Clear Sky", 2, "Mist", 3, "Dark Cloud",4,"Heavy Rainfall")</f>
        <v>Clear Sky</v>
      </c>
      <c r="I193" s="26">
        <f>Sheet5!E193*41</f>
        <v>4.1000000000000005</v>
      </c>
      <c r="J193" s="27">
        <v>0.49</v>
      </c>
      <c r="K193">
        <v>0.28360000000000002</v>
      </c>
      <c r="L193">
        <v>0</v>
      </c>
      <c r="M193">
        <v>1</v>
      </c>
      <c r="N193">
        <v>1</v>
      </c>
    </row>
    <row r="194" spans="1:14" x14ac:dyDescent="0.3">
      <c r="A194">
        <v>193</v>
      </c>
      <c r="B194" s="21">
        <v>40552</v>
      </c>
      <c r="C194" s="25" t="s">
        <v>16</v>
      </c>
      <c r="D194" s="25" t="str" cm="1">
        <f t="array" ref="D194">_xlfn.SWITCH(Sheet5!A194,1,"JANUARY",2,"FEBRUARY")</f>
        <v>JANUARY</v>
      </c>
      <c r="E194">
        <v>7</v>
      </c>
      <c r="F194" t="str" cm="1">
        <f t="array" ref="F194">_xlfn.SWITCH(Sheet5!C194,FALSE,"NO",TRUE,"YES")</f>
        <v>NO</v>
      </c>
      <c r="G194" t="str" cm="1">
        <f t="array" ref="G194">_xlfn.SWITCH(Sheet5!B194,0,"Sunday",1,"Monday",2,"Tuesday",3,"Wednesday",4,"Thursday",5,"Friday",6,"Saturday")</f>
        <v>Sunday</v>
      </c>
      <c r="H194" t="str" cm="1">
        <f t="array" ref="H194">_xlfn.SWITCH(Sheet5!D194, 1, "Clear Sky", 2, "Mist", 3, "Dark Cloud",4,"Heavy Rainfall")</f>
        <v>Clear Sky</v>
      </c>
      <c r="I194" s="26">
        <f>Sheet5!E194*41</f>
        <v>3.2800000000000002</v>
      </c>
      <c r="J194" s="27">
        <v>0.53</v>
      </c>
      <c r="K194">
        <v>0.19400000000000001</v>
      </c>
      <c r="L194">
        <v>1</v>
      </c>
      <c r="M194">
        <v>5</v>
      </c>
      <c r="N194">
        <v>6</v>
      </c>
    </row>
    <row r="195" spans="1:14" x14ac:dyDescent="0.3">
      <c r="A195">
        <v>194</v>
      </c>
      <c r="B195" s="21">
        <v>40552</v>
      </c>
      <c r="C195" s="25" t="s">
        <v>16</v>
      </c>
      <c r="D195" s="25" t="str" cm="1">
        <f t="array" ref="D195">_xlfn.SWITCH(Sheet5!A195,1,"JANUARY",2,"FEBRUARY")</f>
        <v>JANUARY</v>
      </c>
      <c r="E195">
        <v>8</v>
      </c>
      <c r="F195" t="str" cm="1">
        <f t="array" ref="F195">_xlfn.SWITCH(Sheet5!C195,FALSE,"NO",TRUE,"YES")</f>
        <v>NO</v>
      </c>
      <c r="G195" t="str" cm="1">
        <f t="array" ref="G195">_xlfn.SWITCH(Sheet5!B195,0,"Sunday",1,"Monday",2,"Tuesday",3,"Wednesday",4,"Thursday",5,"Friday",6,"Saturday")</f>
        <v>Sunday</v>
      </c>
      <c r="H195" t="str" cm="1">
        <f t="array" ref="H195">_xlfn.SWITCH(Sheet5!D195, 1, "Clear Sky", 2, "Mist", 3, "Dark Cloud",4,"Heavy Rainfall")</f>
        <v>Clear Sky</v>
      </c>
      <c r="I195" s="26">
        <f>Sheet5!E195*41</f>
        <v>4.1000000000000005</v>
      </c>
      <c r="J195" s="27">
        <v>0.49</v>
      </c>
      <c r="K195">
        <v>0.28360000000000002</v>
      </c>
      <c r="L195">
        <v>0</v>
      </c>
      <c r="M195">
        <v>10</v>
      </c>
      <c r="N195">
        <v>10</v>
      </c>
    </row>
    <row r="196" spans="1:14" x14ac:dyDescent="0.3">
      <c r="A196">
        <v>195</v>
      </c>
      <c r="B196" s="21">
        <v>40552</v>
      </c>
      <c r="C196" s="25" t="s">
        <v>16</v>
      </c>
      <c r="D196" s="25" t="str" cm="1">
        <f t="array" ref="D196">_xlfn.SWITCH(Sheet5!A196,1,"JANUARY",2,"FEBRUARY")</f>
        <v>JANUARY</v>
      </c>
      <c r="E196">
        <v>9</v>
      </c>
      <c r="F196" t="str" cm="1">
        <f t="array" ref="F196">_xlfn.SWITCH(Sheet5!C196,FALSE,"NO",TRUE,"YES")</f>
        <v>NO</v>
      </c>
      <c r="G196" t="str" cm="1">
        <f t="array" ref="G196">_xlfn.SWITCH(Sheet5!B196,0,"Sunday",1,"Monday",2,"Tuesday",3,"Wednesday",4,"Thursday",5,"Friday",6,"Saturday")</f>
        <v>Sunday</v>
      </c>
      <c r="H196" t="str" cm="1">
        <f t="array" ref="H196">_xlfn.SWITCH(Sheet5!D196, 1, "Clear Sky", 2, "Mist", 3, "Dark Cloud",4,"Heavy Rainfall")</f>
        <v>Clear Sky</v>
      </c>
      <c r="I196" s="26">
        <f>Sheet5!E196*41</f>
        <v>4.92</v>
      </c>
      <c r="J196" s="27">
        <v>0.46</v>
      </c>
      <c r="K196">
        <v>0.52239999999999998</v>
      </c>
      <c r="L196">
        <v>0</v>
      </c>
      <c r="M196">
        <v>19</v>
      </c>
      <c r="N196">
        <v>19</v>
      </c>
    </row>
    <row r="197" spans="1:14" x14ac:dyDescent="0.3">
      <c r="A197">
        <v>196</v>
      </c>
      <c r="B197" s="21">
        <v>40552</v>
      </c>
      <c r="C197" s="25" t="s">
        <v>16</v>
      </c>
      <c r="D197" s="25" t="str" cm="1">
        <f t="array" ref="D197">_xlfn.SWITCH(Sheet5!A197,1,"JANUARY",2,"FEBRUARY")</f>
        <v>JANUARY</v>
      </c>
      <c r="E197">
        <v>10</v>
      </c>
      <c r="F197" t="str" cm="1">
        <f t="array" ref="F197">_xlfn.SWITCH(Sheet5!C197,FALSE,"NO",TRUE,"YES")</f>
        <v>NO</v>
      </c>
      <c r="G197" t="str" cm="1">
        <f t="array" ref="G197">_xlfn.SWITCH(Sheet5!B197,0,"Sunday",1,"Monday",2,"Tuesday",3,"Wednesday",4,"Thursday",5,"Friday",6,"Saturday")</f>
        <v>Sunday</v>
      </c>
      <c r="H197" t="str" cm="1">
        <f t="array" ref="H197">_xlfn.SWITCH(Sheet5!D197, 1, "Clear Sky", 2, "Mist", 3, "Dark Cloud",4,"Heavy Rainfall")</f>
        <v>Clear Sky</v>
      </c>
      <c r="I197" s="26">
        <f>Sheet5!E197*41</f>
        <v>5.74</v>
      </c>
      <c r="J197" s="27">
        <v>0.43</v>
      </c>
      <c r="K197">
        <v>0.3881</v>
      </c>
      <c r="L197">
        <v>0</v>
      </c>
      <c r="M197">
        <v>49</v>
      </c>
      <c r="N197">
        <v>49</v>
      </c>
    </row>
    <row r="198" spans="1:14" x14ac:dyDescent="0.3">
      <c r="A198">
        <v>197</v>
      </c>
      <c r="B198" s="21">
        <v>40552</v>
      </c>
      <c r="C198" s="25" t="s">
        <v>16</v>
      </c>
      <c r="D198" s="25" t="str" cm="1">
        <f t="array" ref="D198">_xlfn.SWITCH(Sheet5!A198,1,"JANUARY",2,"FEBRUARY")</f>
        <v>JANUARY</v>
      </c>
      <c r="E198">
        <v>11</v>
      </c>
      <c r="F198" t="str" cm="1">
        <f t="array" ref="F198">_xlfn.SWITCH(Sheet5!C198,FALSE,"NO",TRUE,"YES")</f>
        <v>NO</v>
      </c>
      <c r="G198" t="str" cm="1">
        <f t="array" ref="G198">_xlfn.SWITCH(Sheet5!B198,0,"Sunday",1,"Monday",2,"Tuesday",3,"Wednesday",4,"Thursday",5,"Friday",6,"Saturday")</f>
        <v>Sunday</v>
      </c>
      <c r="H198" t="str" cm="1">
        <f t="array" ref="H198">_xlfn.SWITCH(Sheet5!D198, 1, "Clear Sky", 2, "Mist", 3, "Dark Cloud",4,"Heavy Rainfall")</f>
        <v>Clear Sky</v>
      </c>
      <c r="I198" s="26">
        <f>Sheet5!E198*41</f>
        <v>6.5600000000000005</v>
      </c>
      <c r="J198" s="27">
        <v>0.4</v>
      </c>
      <c r="K198">
        <v>0.52239999999999998</v>
      </c>
      <c r="L198">
        <v>2</v>
      </c>
      <c r="M198">
        <v>47</v>
      </c>
      <c r="N198">
        <v>49</v>
      </c>
    </row>
    <row r="199" spans="1:14" x14ac:dyDescent="0.3">
      <c r="A199">
        <v>198</v>
      </c>
      <c r="B199" s="21">
        <v>40552</v>
      </c>
      <c r="C199" s="25" t="s">
        <v>16</v>
      </c>
      <c r="D199" s="25" t="str" cm="1">
        <f t="array" ref="D199">_xlfn.SWITCH(Sheet5!A199,1,"JANUARY",2,"FEBRUARY")</f>
        <v>JANUARY</v>
      </c>
      <c r="E199">
        <v>12</v>
      </c>
      <c r="F199" t="str" cm="1">
        <f t="array" ref="F199">_xlfn.SWITCH(Sheet5!C199,FALSE,"NO",TRUE,"YES")</f>
        <v>NO</v>
      </c>
      <c r="G199" t="str" cm="1">
        <f t="array" ref="G199">_xlfn.SWITCH(Sheet5!B199,0,"Sunday",1,"Monday",2,"Tuesday",3,"Wednesday",4,"Thursday",5,"Friday",6,"Saturday")</f>
        <v>Sunday</v>
      </c>
      <c r="H199" t="str" cm="1">
        <f t="array" ref="H199">_xlfn.SWITCH(Sheet5!D199, 1, "Clear Sky", 2, "Mist", 3, "Dark Cloud",4,"Heavy Rainfall")</f>
        <v>Clear Sky</v>
      </c>
      <c r="I199" s="26">
        <f>Sheet5!E199*41</f>
        <v>7.38</v>
      </c>
      <c r="J199" s="27">
        <v>0.37</v>
      </c>
      <c r="K199">
        <v>0.44779999999999998</v>
      </c>
      <c r="L199">
        <v>4</v>
      </c>
      <c r="M199">
        <v>79</v>
      </c>
      <c r="N199">
        <v>83</v>
      </c>
    </row>
    <row r="200" spans="1:14" x14ac:dyDescent="0.3">
      <c r="A200">
        <v>199</v>
      </c>
      <c r="B200" s="21">
        <v>40552</v>
      </c>
      <c r="C200" s="25" t="s">
        <v>16</v>
      </c>
      <c r="D200" s="25" t="str" cm="1">
        <f t="array" ref="D200">_xlfn.SWITCH(Sheet5!A200,1,"JANUARY",2,"FEBRUARY")</f>
        <v>JANUARY</v>
      </c>
      <c r="E200">
        <v>13</v>
      </c>
      <c r="F200" t="str" cm="1">
        <f t="array" ref="F200">_xlfn.SWITCH(Sheet5!C200,FALSE,"NO",TRUE,"YES")</f>
        <v>NO</v>
      </c>
      <c r="G200" t="str" cm="1">
        <f t="array" ref="G200">_xlfn.SWITCH(Sheet5!B200,0,"Sunday",1,"Monday",2,"Tuesday",3,"Wednesday",4,"Thursday",5,"Friday",6,"Saturday")</f>
        <v>Sunday</v>
      </c>
      <c r="H200" t="str" cm="1">
        <f t="array" ref="H200">_xlfn.SWITCH(Sheet5!D200, 1, "Clear Sky", 2, "Mist", 3, "Dark Cloud",4,"Heavy Rainfall")</f>
        <v>Clear Sky</v>
      </c>
      <c r="I200" s="26">
        <f>Sheet5!E200*41</f>
        <v>8.2000000000000011</v>
      </c>
      <c r="J200" s="27">
        <v>0.34</v>
      </c>
      <c r="K200">
        <v>0.44779999999999998</v>
      </c>
      <c r="L200">
        <v>6</v>
      </c>
      <c r="M200">
        <v>69</v>
      </c>
      <c r="N200">
        <v>75</v>
      </c>
    </row>
    <row r="201" spans="1:14" x14ac:dyDescent="0.3">
      <c r="A201">
        <v>200</v>
      </c>
      <c r="B201" s="21">
        <v>40552</v>
      </c>
      <c r="C201" s="25" t="s">
        <v>16</v>
      </c>
      <c r="D201" s="25" t="str" cm="1">
        <f t="array" ref="D201">_xlfn.SWITCH(Sheet5!A201,1,"JANUARY",2,"FEBRUARY")</f>
        <v>JANUARY</v>
      </c>
      <c r="E201">
        <v>14</v>
      </c>
      <c r="F201" t="str" cm="1">
        <f t="array" ref="F201">_xlfn.SWITCH(Sheet5!C201,FALSE,"NO",TRUE,"YES")</f>
        <v>NO</v>
      </c>
      <c r="G201" t="str" cm="1">
        <f t="array" ref="G201">_xlfn.SWITCH(Sheet5!B201,0,"Sunday",1,"Monday",2,"Tuesday",3,"Wednesday",4,"Thursday",5,"Friday",6,"Saturday")</f>
        <v>Sunday</v>
      </c>
      <c r="H201" t="str" cm="1">
        <f t="array" ref="H201">_xlfn.SWITCH(Sheet5!D201, 1, "Clear Sky", 2, "Mist", 3, "Dark Cloud",4,"Heavy Rainfall")</f>
        <v>Clear Sky</v>
      </c>
      <c r="I201" s="26">
        <f>Sheet5!E201*41</f>
        <v>9.02</v>
      </c>
      <c r="J201" s="27">
        <v>0.32</v>
      </c>
      <c r="K201">
        <v>0.4627</v>
      </c>
      <c r="L201">
        <v>8</v>
      </c>
      <c r="M201">
        <v>64</v>
      </c>
      <c r="N201">
        <v>72</v>
      </c>
    </row>
    <row r="202" spans="1:14" x14ac:dyDescent="0.3">
      <c r="A202">
        <v>201</v>
      </c>
      <c r="B202" s="21">
        <v>40552</v>
      </c>
      <c r="C202" s="25" t="s">
        <v>16</v>
      </c>
      <c r="D202" s="25" t="str" cm="1">
        <f t="array" ref="D202">_xlfn.SWITCH(Sheet5!A202,1,"JANUARY",2,"FEBRUARY")</f>
        <v>JANUARY</v>
      </c>
      <c r="E202">
        <v>15</v>
      </c>
      <c r="F202" t="str" cm="1">
        <f t="array" ref="F202">_xlfn.SWITCH(Sheet5!C202,FALSE,"NO",TRUE,"YES")</f>
        <v>NO</v>
      </c>
      <c r="G202" t="str" cm="1">
        <f t="array" ref="G202">_xlfn.SWITCH(Sheet5!B202,0,"Sunday",1,"Monday",2,"Tuesday",3,"Wednesday",4,"Thursday",5,"Friday",6,"Saturday")</f>
        <v>Sunday</v>
      </c>
      <c r="H202" t="str" cm="1">
        <f t="array" ref="H202">_xlfn.SWITCH(Sheet5!D202, 1, "Clear Sky", 2, "Mist", 3, "Dark Cloud",4,"Heavy Rainfall")</f>
        <v>Clear Sky</v>
      </c>
      <c r="I202" s="26">
        <f>Sheet5!E202*41</f>
        <v>9.02</v>
      </c>
      <c r="J202" s="27">
        <v>0.35</v>
      </c>
      <c r="K202">
        <v>0.35820000000000002</v>
      </c>
      <c r="L202">
        <v>5</v>
      </c>
      <c r="M202">
        <v>77</v>
      </c>
      <c r="N202">
        <v>82</v>
      </c>
    </row>
    <row r="203" spans="1:14" x14ac:dyDescent="0.3">
      <c r="A203">
        <v>202</v>
      </c>
      <c r="B203" s="21">
        <v>40552</v>
      </c>
      <c r="C203" s="25" t="s">
        <v>16</v>
      </c>
      <c r="D203" s="25" t="str" cm="1">
        <f t="array" ref="D203">_xlfn.SWITCH(Sheet5!A203,1,"JANUARY",2,"FEBRUARY")</f>
        <v>JANUARY</v>
      </c>
      <c r="E203">
        <v>16</v>
      </c>
      <c r="F203" t="str" cm="1">
        <f t="array" ref="F203">_xlfn.SWITCH(Sheet5!C203,FALSE,"NO",TRUE,"YES")</f>
        <v>NO</v>
      </c>
      <c r="G203" t="str" cm="1">
        <f t="array" ref="G203">_xlfn.SWITCH(Sheet5!B203,0,"Sunday",1,"Monday",2,"Tuesday",3,"Wednesday",4,"Thursday",5,"Friday",6,"Saturday")</f>
        <v>Sunday</v>
      </c>
      <c r="H203" t="str" cm="1">
        <f t="array" ref="H203">_xlfn.SWITCH(Sheet5!D203, 1, "Clear Sky", 2, "Mist", 3, "Dark Cloud",4,"Heavy Rainfall")</f>
        <v>Clear Sky</v>
      </c>
      <c r="I203" s="26">
        <f>Sheet5!E203*41</f>
        <v>8.2000000000000011</v>
      </c>
      <c r="J203" s="27">
        <v>0.34</v>
      </c>
      <c r="K203">
        <v>0.44779999999999998</v>
      </c>
      <c r="L203">
        <v>13</v>
      </c>
      <c r="M203">
        <v>79</v>
      </c>
      <c r="N203">
        <v>92</v>
      </c>
    </row>
    <row r="204" spans="1:14" x14ac:dyDescent="0.3">
      <c r="A204">
        <v>203</v>
      </c>
      <c r="B204" s="21">
        <v>40552</v>
      </c>
      <c r="C204" s="25" t="s">
        <v>16</v>
      </c>
      <c r="D204" s="25" t="str" cm="1">
        <f t="array" ref="D204">_xlfn.SWITCH(Sheet5!A204,1,"JANUARY",2,"FEBRUARY")</f>
        <v>JANUARY</v>
      </c>
      <c r="E204">
        <v>17</v>
      </c>
      <c r="F204" t="str" cm="1">
        <f t="array" ref="F204">_xlfn.SWITCH(Sheet5!C204,FALSE,"NO",TRUE,"YES")</f>
        <v>NO</v>
      </c>
      <c r="G204" t="str" cm="1">
        <f t="array" ref="G204">_xlfn.SWITCH(Sheet5!B204,0,"Sunday",1,"Monday",2,"Tuesday",3,"Wednesday",4,"Thursday",5,"Friday",6,"Saturday")</f>
        <v>Sunday</v>
      </c>
      <c r="H204" t="str" cm="1">
        <f t="array" ref="H204">_xlfn.SWITCH(Sheet5!D204, 1, "Clear Sky", 2, "Mist", 3, "Dark Cloud",4,"Heavy Rainfall")</f>
        <v>Clear Sky</v>
      </c>
      <c r="I204" s="26">
        <f>Sheet5!E204*41</f>
        <v>7.38</v>
      </c>
      <c r="J204" s="27">
        <v>0.37</v>
      </c>
      <c r="K204">
        <v>0.3881</v>
      </c>
      <c r="L204">
        <v>3</v>
      </c>
      <c r="M204">
        <v>59</v>
      </c>
      <c r="N204">
        <v>62</v>
      </c>
    </row>
    <row r="205" spans="1:14" x14ac:dyDescent="0.3">
      <c r="A205">
        <v>204</v>
      </c>
      <c r="B205" s="21">
        <v>40552</v>
      </c>
      <c r="C205" s="25" t="s">
        <v>16</v>
      </c>
      <c r="D205" s="25" t="str" cm="1">
        <f t="array" ref="D205">_xlfn.SWITCH(Sheet5!A205,1,"JANUARY",2,"FEBRUARY")</f>
        <v>JANUARY</v>
      </c>
      <c r="E205">
        <v>18</v>
      </c>
      <c r="F205" t="str" cm="1">
        <f t="array" ref="F205">_xlfn.SWITCH(Sheet5!C205,FALSE,"NO",TRUE,"YES")</f>
        <v>NO</v>
      </c>
      <c r="G205" t="str" cm="1">
        <f t="array" ref="G205">_xlfn.SWITCH(Sheet5!B205,0,"Sunday",1,"Monday",2,"Tuesday",3,"Wednesday",4,"Thursday",5,"Friday",6,"Saturday")</f>
        <v>Sunday</v>
      </c>
      <c r="H205" t="str" cm="1">
        <f t="array" ref="H205">_xlfn.SWITCH(Sheet5!D205, 1, "Clear Sky", 2, "Mist", 3, "Dark Cloud",4,"Heavy Rainfall")</f>
        <v>Clear Sky</v>
      </c>
      <c r="I205" s="26">
        <f>Sheet5!E205*41</f>
        <v>6.5600000000000005</v>
      </c>
      <c r="J205" s="27">
        <v>0.4</v>
      </c>
      <c r="K205">
        <v>0.32840000000000003</v>
      </c>
      <c r="L205">
        <v>4</v>
      </c>
      <c r="M205">
        <v>44</v>
      </c>
      <c r="N205">
        <v>48</v>
      </c>
    </row>
    <row r="206" spans="1:14" x14ac:dyDescent="0.3">
      <c r="A206">
        <v>205</v>
      </c>
      <c r="B206" s="21">
        <v>40552</v>
      </c>
      <c r="C206" s="25" t="s">
        <v>16</v>
      </c>
      <c r="D206" s="25" t="str" cm="1">
        <f t="array" ref="D206">_xlfn.SWITCH(Sheet5!A206,1,"JANUARY",2,"FEBRUARY")</f>
        <v>JANUARY</v>
      </c>
      <c r="E206">
        <v>19</v>
      </c>
      <c r="F206" t="str" cm="1">
        <f t="array" ref="F206">_xlfn.SWITCH(Sheet5!C206,FALSE,"NO",TRUE,"YES")</f>
        <v>NO</v>
      </c>
      <c r="G206" t="str" cm="1">
        <f t="array" ref="G206">_xlfn.SWITCH(Sheet5!B206,0,"Sunday",1,"Monday",2,"Tuesday",3,"Wednesday",4,"Thursday",5,"Friday",6,"Saturday")</f>
        <v>Sunday</v>
      </c>
      <c r="H206" t="str" cm="1">
        <f t="array" ref="H206">_xlfn.SWITCH(Sheet5!D206, 1, "Clear Sky", 2, "Mist", 3, "Dark Cloud",4,"Heavy Rainfall")</f>
        <v>Clear Sky</v>
      </c>
      <c r="I206" s="26">
        <f>Sheet5!E206*41</f>
        <v>6.5600000000000005</v>
      </c>
      <c r="J206" s="27">
        <v>0.43</v>
      </c>
      <c r="K206">
        <v>0.32840000000000003</v>
      </c>
      <c r="L206">
        <v>1</v>
      </c>
      <c r="M206">
        <v>40</v>
      </c>
      <c r="N206">
        <v>41</v>
      </c>
    </row>
    <row r="207" spans="1:14" x14ac:dyDescent="0.3">
      <c r="A207">
        <v>206</v>
      </c>
      <c r="B207" s="21">
        <v>40552</v>
      </c>
      <c r="C207" s="25" t="s">
        <v>16</v>
      </c>
      <c r="D207" s="25" t="str" cm="1">
        <f t="array" ref="D207">_xlfn.SWITCH(Sheet5!A207,1,"JANUARY",2,"FEBRUARY")</f>
        <v>JANUARY</v>
      </c>
      <c r="E207">
        <v>20</v>
      </c>
      <c r="F207" t="str" cm="1">
        <f t="array" ref="F207">_xlfn.SWITCH(Sheet5!C207,FALSE,"NO",TRUE,"YES")</f>
        <v>NO</v>
      </c>
      <c r="G207" t="str" cm="1">
        <f t="array" ref="G207">_xlfn.SWITCH(Sheet5!B207,0,"Sunday",1,"Monday",2,"Tuesday",3,"Wednesday",4,"Thursday",5,"Friday",6,"Saturday")</f>
        <v>Sunday</v>
      </c>
      <c r="H207" t="str" cm="1">
        <f t="array" ref="H207">_xlfn.SWITCH(Sheet5!D207, 1, "Clear Sky", 2, "Mist", 3, "Dark Cloud",4,"Heavy Rainfall")</f>
        <v>Clear Sky</v>
      </c>
      <c r="I207" s="26">
        <f>Sheet5!E207*41</f>
        <v>5.74</v>
      </c>
      <c r="J207" s="27">
        <v>0.46</v>
      </c>
      <c r="K207">
        <v>0.25369999999999998</v>
      </c>
      <c r="L207">
        <v>0</v>
      </c>
      <c r="M207">
        <v>38</v>
      </c>
      <c r="N207">
        <v>38</v>
      </c>
    </row>
    <row r="208" spans="1:14" x14ac:dyDescent="0.3">
      <c r="A208">
        <v>207</v>
      </c>
      <c r="B208" s="21">
        <v>40552</v>
      </c>
      <c r="C208" s="25" t="s">
        <v>16</v>
      </c>
      <c r="D208" s="25" t="str" cm="1">
        <f t="array" ref="D208">_xlfn.SWITCH(Sheet5!A208,1,"JANUARY",2,"FEBRUARY")</f>
        <v>JANUARY</v>
      </c>
      <c r="E208">
        <v>21</v>
      </c>
      <c r="F208" t="str" cm="1">
        <f t="array" ref="F208">_xlfn.SWITCH(Sheet5!C208,FALSE,"NO",TRUE,"YES")</f>
        <v>NO</v>
      </c>
      <c r="G208" t="str" cm="1">
        <f t="array" ref="G208">_xlfn.SWITCH(Sheet5!B208,0,"Sunday",1,"Monday",2,"Tuesday",3,"Wednesday",4,"Thursday",5,"Friday",6,"Saturday")</f>
        <v>Sunday</v>
      </c>
      <c r="H208" t="str" cm="1">
        <f t="array" ref="H208">_xlfn.SWITCH(Sheet5!D208, 1, "Clear Sky", 2, "Mist", 3, "Dark Cloud",4,"Heavy Rainfall")</f>
        <v>Clear Sky</v>
      </c>
      <c r="I208" s="26">
        <f>Sheet5!E208*41</f>
        <v>5.74</v>
      </c>
      <c r="J208" s="27">
        <v>0.46</v>
      </c>
      <c r="K208">
        <v>0.41789999999999999</v>
      </c>
      <c r="L208">
        <v>1</v>
      </c>
      <c r="M208">
        <v>19</v>
      </c>
      <c r="N208">
        <v>20</v>
      </c>
    </row>
    <row r="209" spans="1:14" x14ac:dyDescent="0.3">
      <c r="A209">
        <v>208</v>
      </c>
      <c r="B209" s="21">
        <v>40552</v>
      </c>
      <c r="C209" s="25" t="s">
        <v>16</v>
      </c>
      <c r="D209" s="25" t="str" cm="1">
        <f t="array" ref="D209">_xlfn.SWITCH(Sheet5!A209,1,"JANUARY",2,"FEBRUARY")</f>
        <v>JANUARY</v>
      </c>
      <c r="E209">
        <v>22</v>
      </c>
      <c r="F209" t="str" cm="1">
        <f t="array" ref="F209">_xlfn.SWITCH(Sheet5!C209,FALSE,"NO",TRUE,"YES")</f>
        <v>NO</v>
      </c>
      <c r="G209" t="str" cm="1">
        <f t="array" ref="G209">_xlfn.SWITCH(Sheet5!B209,0,"Sunday",1,"Monday",2,"Tuesday",3,"Wednesday",4,"Thursday",5,"Friday",6,"Saturday")</f>
        <v>Sunday</v>
      </c>
      <c r="H209" t="str" cm="1">
        <f t="array" ref="H209">_xlfn.SWITCH(Sheet5!D209, 1, "Clear Sky", 2, "Mist", 3, "Dark Cloud",4,"Heavy Rainfall")</f>
        <v>Clear Sky</v>
      </c>
      <c r="I209" s="26">
        <f>Sheet5!E209*41</f>
        <v>5.74</v>
      </c>
      <c r="J209" s="27">
        <v>0.46</v>
      </c>
      <c r="K209">
        <v>0.29849999999999999</v>
      </c>
      <c r="L209">
        <v>5</v>
      </c>
      <c r="M209">
        <v>10</v>
      </c>
      <c r="N209">
        <v>15</v>
      </c>
    </row>
    <row r="210" spans="1:14" x14ac:dyDescent="0.3">
      <c r="A210">
        <v>209</v>
      </c>
      <c r="B210" s="21">
        <v>40552</v>
      </c>
      <c r="C210" s="25" t="s">
        <v>16</v>
      </c>
      <c r="D210" s="25" t="str" cm="1">
        <f t="array" ref="D210">_xlfn.SWITCH(Sheet5!A210,1,"JANUARY",2,"FEBRUARY")</f>
        <v>JANUARY</v>
      </c>
      <c r="E210">
        <v>23</v>
      </c>
      <c r="F210" t="str" cm="1">
        <f t="array" ref="F210">_xlfn.SWITCH(Sheet5!C210,FALSE,"NO",TRUE,"YES")</f>
        <v>NO</v>
      </c>
      <c r="G210" t="str" cm="1">
        <f t="array" ref="G210">_xlfn.SWITCH(Sheet5!B210,0,"Sunday",1,"Monday",2,"Tuesday",3,"Wednesday",4,"Thursday",5,"Friday",6,"Saturday")</f>
        <v>Sunday</v>
      </c>
      <c r="H210" t="str" cm="1">
        <f t="array" ref="H210">_xlfn.SWITCH(Sheet5!D210, 1, "Clear Sky", 2, "Mist", 3, "Dark Cloud",4,"Heavy Rainfall")</f>
        <v>Clear Sky</v>
      </c>
      <c r="I210" s="26">
        <f>Sheet5!E210*41</f>
        <v>4.92</v>
      </c>
      <c r="J210" s="27">
        <v>0.5</v>
      </c>
      <c r="K210">
        <v>0.19400000000000001</v>
      </c>
      <c r="L210">
        <v>0</v>
      </c>
      <c r="M210">
        <v>6</v>
      </c>
      <c r="N210">
        <v>6</v>
      </c>
    </row>
    <row r="211" spans="1:14" x14ac:dyDescent="0.3">
      <c r="A211">
        <v>210</v>
      </c>
      <c r="B211" s="21">
        <v>40553</v>
      </c>
      <c r="C211" s="25" t="s">
        <v>16</v>
      </c>
      <c r="D211" s="25" t="str" cm="1">
        <f t="array" ref="D211">_xlfn.SWITCH(Sheet5!A211,1,"JANUARY",2,"FEBRUARY")</f>
        <v>JANUARY</v>
      </c>
      <c r="E211">
        <v>0</v>
      </c>
      <c r="F211" t="str" cm="1">
        <f t="array" ref="F211">_xlfn.SWITCH(Sheet5!C211,FALSE,"NO",TRUE,"YES")</f>
        <v>NO</v>
      </c>
      <c r="G211" t="str" cm="1">
        <f t="array" ref="G211">_xlfn.SWITCH(Sheet5!B211,0,"Sunday",1,"Monday",2,"Tuesday",3,"Wednesday",4,"Thursday",5,"Friday",6,"Saturday")</f>
        <v>Monday</v>
      </c>
      <c r="H211" t="str" cm="1">
        <f t="array" ref="H211">_xlfn.SWITCH(Sheet5!D211, 1, "Clear Sky", 2, "Mist", 3, "Dark Cloud",4,"Heavy Rainfall")</f>
        <v>Clear Sky</v>
      </c>
      <c r="I211" s="26">
        <f>Sheet5!E211*41</f>
        <v>4.92</v>
      </c>
      <c r="J211" s="27">
        <v>0.5</v>
      </c>
      <c r="K211">
        <v>0.28360000000000002</v>
      </c>
      <c r="L211">
        <v>2</v>
      </c>
      <c r="M211">
        <v>3</v>
      </c>
      <c r="N211">
        <v>5</v>
      </c>
    </row>
    <row r="212" spans="1:14" x14ac:dyDescent="0.3">
      <c r="A212">
        <v>211</v>
      </c>
      <c r="B212" s="21">
        <v>40553</v>
      </c>
      <c r="C212" s="25" t="s">
        <v>16</v>
      </c>
      <c r="D212" s="25" t="str" cm="1">
        <f t="array" ref="D212">_xlfn.SWITCH(Sheet5!A212,1,"JANUARY",2,"FEBRUARY")</f>
        <v>JANUARY</v>
      </c>
      <c r="E212">
        <v>1</v>
      </c>
      <c r="F212" t="str" cm="1">
        <f t="array" ref="F212">_xlfn.SWITCH(Sheet5!C212,FALSE,"NO",TRUE,"YES")</f>
        <v>NO</v>
      </c>
      <c r="G212" t="str" cm="1">
        <f t="array" ref="G212">_xlfn.SWITCH(Sheet5!B212,0,"Sunday",1,"Monday",2,"Tuesday",3,"Wednesday",4,"Thursday",5,"Friday",6,"Saturday")</f>
        <v>Monday</v>
      </c>
      <c r="H212" t="str" cm="1">
        <f t="array" ref="H212">_xlfn.SWITCH(Sheet5!D212, 1, "Clear Sky", 2, "Mist", 3, "Dark Cloud",4,"Heavy Rainfall")</f>
        <v>Clear Sky</v>
      </c>
      <c r="I212" s="26">
        <f>Sheet5!E212*41</f>
        <v>4.92</v>
      </c>
      <c r="J212" s="27">
        <v>0.5</v>
      </c>
      <c r="K212">
        <v>0.28360000000000002</v>
      </c>
      <c r="L212">
        <v>1</v>
      </c>
      <c r="M212">
        <v>0</v>
      </c>
      <c r="N212">
        <v>1</v>
      </c>
    </row>
    <row r="213" spans="1:14" x14ac:dyDescent="0.3">
      <c r="A213">
        <v>212</v>
      </c>
      <c r="B213" s="21">
        <v>40553</v>
      </c>
      <c r="C213" s="25" t="s">
        <v>16</v>
      </c>
      <c r="D213" s="25" t="str" cm="1">
        <f t="array" ref="D213">_xlfn.SWITCH(Sheet5!A213,1,"JANUARY",2,"FEBRUARY")</f>
        <v>JANUARY</v>
      </c>
      <c r="E213">
        <v>2</v>
      </c>
      <c r="F213" t="str" cm="1">
        <f t="array" ref="F213">_xlfn.SWITCH(Sheet5!C213,FALSE,"NO",TRUE,"YES")</f>
        <v>NO</v>
      </c>
      <c r="G213" t="str" cm="1">
        <f t="array" ref="G213">_xlfn.SWITCH(Sheet5!B213,0,"Sunday",1,"Monday",2,"Tuesday",3,"Wednesday",4,"Thursday",5,"Friday",6,"Saturday")</f>
        <v>Monday</v>
      </c>
      <c r="H213" t="str" cm="1">
        <f t="array" ref="H213">_xlfn.SWITCH(Sheet5!D213, 1, "Clear Sky", 2, "Mist", 3, "Dark Cloud",4,"Heavy Rainfall")</f>
        <v>Clear Sky</v>
      </c>
      <c r="I213" s="26">
        <f>Sheet5!E213*41</f>
        <v>4.92</v>
      </c>
      <c r="J213" s="27">
        <v>0.5</v>
      </c>
      <c r="K213">
        <v>0.22389999999999999</v>
      </c>
      <c r="L213">
        <v>0</v>
      </c>
      <c r="M213">
        <v>3</v>
      </c>
      <c r="N213">
        <v>3</v>
      </c>
    </row>
    <row r="214" spans="1:14" x14ac:dyDescent="0.3">
      <c r="A214">
        <v>213</v>
      </c>
      <c r="B214" s="21">
        <v>40553</v>
      </c>
      <c r="C214" s="25" t="s">
        <v>16</v>
      </c>
      <c r="D214" s="25" t="str" cm="1">
        <f t="array" ref="D214">_xlfn.SWITCH(Sheet5!A214,1,"JANUARY",2,"FEBRUARY")</f>
        <v>JANUARY</v>
      </c>
      <c r="E214">
        <v>3</v>
      </c>
      <c r="F214" t="str" cm="1">
        <f t="array" ref="F214">_xlfn.SWITCH(Sheet5!C214,FALSE,"NO",TRUE,"YES")</f>
        <v>NO</v>
      </c>
      <c r="G214" t="str" cm="1">
        <f t="array" ref="G214">_xlfn.SWITCH(Sheet5!B214,0,"Sunday",1,"Monday",2,"Tuesday",3,"Wednesday",4,"Thursday",5,"Friday",6,"Saturday")</f>
        <v>Monday</v>
      </c>
      <c r="H214" t="str" cm="1">
        <f t="array" ref="H214">_xlfn.SWITCH(Sheet5!D214, 1, "Clear Sky", 2, "Mist", 3, "Dark Cloud",4,"Heavy Rainfall")</f>
        <v>Clear Sky</v>
      </c>
      <c r="I214" s="26">
        <f>Sheet5!E214*41</f>
        <v>4.92</v>
      </c>
      <c r="J214" s="27">
        <v>0.5</v>
      </c>
      <c r="K214">
        <v>0.22389999999999999</v>
      </c>
      <c r="L214">
        <v>0</v>
      </c>
      <c r="M214">
        <v>1</v>
      </c>
      <c r="N214">
        <v>1</v>
      </c>
    </row>
    <row r="215" spans="1:14" x14ac:dyDescent="0.3">
      <c r="A215">
        <v>214</v>
      </c>
      <c r="B215" s="21">
        <v>40553</v>
      </c>
      <c r="C215" s="25" t="s">
        <v>16</v>
      </c>
      <c r="D215" s="25" t="str" cm="1">
        <f t="array" ref="D215">_xlfn.SWITCH(Sheet5!A215,1,"JANUARY",2,"FEBRUARY")</f>
        <v>JANUARY</v>
      </c>
      <c r="E215">
        <v>4</v>
      </c>
      <c r="F215" t="str" cm="1">
        <f t="array" ref="F215">_xlfn.SWITCH(Sheet5!C215,FALSE,"NO",TRUE,"YES")</f>
        <v>NO</v>
      </c>
      <c r="G215" t="str" cm="1">
        <f t="array" ref="G215">_xlfn.SWITCH(Sheet5!B215,0,"Sunday",1,"Monday",2,"Tuesday",3,"Wednesday",4,"Thursday",5,"Friday",6,"Saturday")</f>
        <v>Monday</v>
      </c>
      <c r="H215" t="str" cm="1">
        <f t="array" ref="H215">_xlfn.SWITCH(Sheet5!D215, 1, "Clear Sky", 2, "Mist", 3, "Dark Cloud",4,"Heavy Rainfall")</f>
        <v>Clear Sky</v>
      </c>
      <c r="I215" s="26">
        <f>Sheet5!E215*41</f>
        <v>4.1000000000000005</v>
      </c>
      <c r="J215" s="27">
        <v>0.54</v>
      </c>
      <c r="K215">
        <v>0.1343</v>
      </c>
      <c r="L215">
        <v>1</v>
      </c>
      <c r="M215">
        <v>2</v>
      </c>
      <c r="N215">
        <v>3</v>
      </c>
    </row>
    <row r="216" spans="1:14" x14ac:dyDescent="0.3">
      <c r="A216">
        <v>215</v>
      </c>
      <c r="B216" s="21">
        <v>40553</v>
      </c>
      <c r="C216" s="25" t="s">
        <v>16</v>
      </c>
      <c r="D216" s="25" t="str" cm="1">
        <f t="array" ref="D216">_xlfn.SWITCH(Sheet5!A216,1,"JANUARY",2,"FEBRUARY")</f>
        <v>JANUARY</v>
      </c>
      <c r="E216">
        <v>5</v>
      </c>
      <c r="F216" t="str" cm="1">
        <f t="array" ref="F216">_xlfn.SWITCH(Sheet5!C216,FALSE,"NO",TRUE,"YES")</f>
        <v>NO</v>
      </c>
      <c r="G216" t="str" cm="1">
        <f t="array" ref="G216">_xlfn.SWITCH(Sheet5!B216,0,"Sunday",1,"Monday",2,"Tuesday",3,"Wednesday",4,"Thursday",5,"Friday",6,"Saturday")</f>
        <v>Monday</v>
      </c>
      <c r="H216" t="str" cm="1">
        <f t="array" ref="H216">_xlfn.SWITCH(Sheet5!D216, 1, "Clear Sky", 2, "Mist", 3, "Dark Cloud",4,"Heavy Rainfall")</f>
        <v>Clear Sky</v>
      </c>
      <c r="I216" s="26">
        <f>Sheet5!E216*41</f>
        <v>4.1000000000000005</v>
      </c>
      <c r="J216" s="27">
        <v>0.54</v>
      </c>
      <c r="K216">
        <v>0.25369999999999998</v>
      </c>
      <c r="L216">
        <v>0</v>
      </c>
      <c r="M216">
        <v>3</v>
      </c>
      <c r="N216">
        <v>3</v>
      </c>
    </row>
    <row r="217" spans="1:14" x14ac:dyDescent="0.3">
      <c r="A217">
        <v>216</v>
      </c>
      <c r="B217" s="21">
        <v>40553</v>
      </c>
      <c r="C217" s="25" t="s">
        <v>16</v>
      </c>
      <c r="D217" s="25" t="str" cm="1">
        <f t="array" ref="D217">_xlfn.SWITCH(Sheet5!A217,1,"JANUARY",2,"FEBRUARY")</f>
        <v>JANUARY</v>
      </c>
      <c r="E217">
        <v>6</v>
      </c>
      <c r="F217" t="str" cm="1">
        <f t="array" ref="F217">_xlfn.SWITCH(Sheet5!C217,FALSE,"NO",TRUE,"YES")</f>
        <v>NO</v>
      </c>
      <c r="G217" t="str" cm="1">
        <f t="array" ref="G217">_xlfn.SWITCH(Sheet5!B217,0,"Sunday",1,"Monday",2,"Tuesday",3,"Wednesday",4,"Thursday",5,"Friday",6,"Saturday")</f>
        <v>Monday</v>
      </c>
      <c r="H217" t="str" cm="1">
        <f t="array" ref="H217">_xlfn.SWITCH(Sheet5!D217, 1, "Clear Sky", 2, "Mist", 3, "Dark Cloud",4,"Heavy Rainfall")</f>
        <v>Clear Sky</v>
      </c>
      <c r="I217" s="26">
        <f>Sheet5!E217*41</f>
        <v>4.92</v>
      </c>
      <c r="J217" s="27">
        <v>0.5</v>
      </c>
      <c r="K217">
        <v>0.28360000000000002</v>
      </c>
      <c r="L217">
        <v>0</v>
      </c>
      <c r="M217">
        <v>31</v>
      </c>
      <c r="N217">
        <v>31</v>
      </c>
    </row>
    <row r="218" spans="1:14" x14ac:dyDescent="0.3">
      <c r="A218">
        <v>217</v>
      </c>
      <c r="B218" s="21">
        <v>40553</v>
      </c>
      <c r="C218" s="25" t="s">
        <v>16</v>
      </c>
      <c r="D218" s="25" t="str" cm="1">
        <f t="array" ref="D218">_xlfn.SWITCH(Sheet5!A218,1,"JANUARY",2,"FEBRUARY")</f>
        <v>JANUARY</v>
      </c>
      <c r="E218">
        <v>7</v>
      </c>
      <c r="F218" t="str" cm="1">
        <f t="array" ref="F218">_xlfn.SWITCH(Sheet5!C218,FALSE,"NO",TRUE,"YES")</f>
        <v>NO</v>
      </c>
      <c r="G218" t="str" cm="1">
        <f t="array" ref="G218">_xlfn.SWITCH(Sheet5!B218,0,"Sunday",1,"Monday",2,"Tuesday",3,"Wednesday",4,"Thursday",5,"Friday",6,"Saturday")</f>
        <v>Monday</v>
      </c>
      <c r="H218" t="str" cm="1">
        <f t="array" ref="H218">_xlfn.SWITCH(Sheet5!D218, 1, "Clear Sky", 2, "Mist", 3, "Dark Cloud",4,"Heavy Rainfall")</f>
        <v>Clear Sky</v>
      </c>
      <c r="I218" s="26">
        <f>Sheet5!E218*41</f>
        <v>4.92</v>
      </c>
      <c r="J218" s="27">
        <v>0.5</v>
      </c>
      <c r="K218">
        <v>0.22389999999999999</v>
      </c>
      <c r="L218">
        <v>2</v>
      </c>
      <c r="M218">
        <v>75</v>
      </c>
      <c r="N218">
        <v>77</v>
      </c>
    </row>
    <row r="219" spans="1:14" x14ac:dyDescent="0.3">
      <c r="A219">
        <v>218</v>
      </c>
      <c r="B219" s="21">
        <v>40553</v>
      </c>
      <c r="C219" s="25" t="s">
        <v>16</v>
      </c>
      <c r="D219" s="25" t="str" cm="1">
        <f t="array" ref="D219">_xlfn.SWITCH(Sheet5!A219,1,"JANUARY",2,"FEBRUARY")</f>
        <v>JANUARY</v>
      </c>
      <c r="E219">
        <v>8</v>
      </c>
      <c r="F219" t="str" cm="1">
        <f t="array" ref="F219">_xlfn.SWITCH(Sheet5!C219,FALSE,"NO",TRUE,"YES")</f>
        <v>NO</v>
      </c>
      <c r="G219" t="str" cm="1">
        <f t="array" ref="G219">_xlfn.SWITCH(Sheet5!B219,0,"Sunday",1,"Monday",2,"Tuesday",3,"Wednesday",4,"Thursday",5,"Friday",6,"Saturday")</f>
        <v>Monday</v>
      </c>
      <c r="H219" t="str" cm="1">
        <f t="array" ref="H219">_xlfn.SWITCH(Sheet5!D219, 1, "Clear Sky", 2, "Mist", 3, "Dark Cloud",4,"Heavy Rainfall")</f>
        <v>Mist</v>
      </c>
      <c r="I219" s="26">
        <f>Sheet5!E219*41</f>
        <v>4.92</v>
      </c>
      <c r="J219" s="27">
        <v>0.5</v>
      </c>
      <c r="K219">
        <v>0.28360000000000002</v>
      </c>
      <c r="L219">
        <v>4</v>
      </c>
      <c r="M219">
        <v>184</v>
      </c>
      <c r="N219">
        <v>188</v>
      </c>
    </row>
    <row r="220" spans="1:14" x14ac:dyDescent="0.3">
      <c r="A220">
        <v>219</v>
      </c>
      <c r="B220" s="21">
        <v>40553</v>
      </c>
      <c r="C220" s="25" t="s">
        <v>16</v>
      </c>
      <c r="D220" s="25" t="str" cm="1">
        <f t="array" ref="D220">_xlfn.SWITCH(Sheet5!A220,1,"JANUARY",2,"FEBRUARY")</f>
        <v>JANUARY</v>
      </c>
      <c r="E220">
        <v>9</v>
      </c>
      <c r="F220" t="str" cm="1">
        <f t="array" ref="F220">_xlfn.SWITCH(Sheet5!C220,FALSE,"NO",TRUE,"YES")</f>
        <v>NO</v>
      </c>
      <c r="G220" t="str" cm="1">
        <f t="array" ref="G220">_xlfn.SWITCH(Sheet5!B220,0,"Sunday",1,"Monday",2,"Tuesday",3,"Wednesday",4,"Thursday",5,"Friday",6,"Saturday")</f>
        <v>Monday</v>
      </c>
      <c r="H220" t="str" cm="1">
        <f t="array" ref="H220">_xlfn.SWITCH(Sheet5!D220, 1, "Clear Sky", 2, "Mist", 3, "Dark Cloud",4,"Heavy Rainfall")</f>
        <v>Mist</v>
      </c>
      <c r="I220" s="26">
        <f>Sheet5!E220*41</f>
        <v>5.74</v>
      </c>
      <c r="J220" s="27">
        <v>0.5</v>
      </c>
      <c r="K220">
        <v>0.25369999999999998</v>
      </c>
      <c r="L220">
        <v>2</v>
      </c>
      <c r="M220">
        <v>92</v>
      </c>
      <c r="N220">
        <v>94</v>
      </c>
    </row>
    <row r="221" spans="1:14" x14ac:dyDescent="0.3">
      <c r="A221">
        <v>220</v>
      </c>
      <c r="B221" s="21">
        <v>40553</v>
      </c>
      <c r="C221" s="25" t="s">
        <v>16</v>
      </c>
      <c r="D221" s="25" t="str" cm="1">
        <f t="array" ref="D221">_xlfn.SWITCH(Sheet5!A221,1,"JANUARY",2,"FEBRUARY")</f>
        <v>JANUARY</v>
      </c>
      <c r="E221">
        <v>10</v>
      </c>
      <c r="F221" t="str" cm="1">
        <f t="array" ref="F221">_xlfn.SWITCH(Sheet5!C221,FALSE,"NO",TRUE,"YES")</f>
        <v>NO</v>
      </c>
      <c r="G221" t="str" cm="1">
        <f t="array" ref="G221">_xlfn.SWITCH(Sheet5!B221,0,"Sunday",1,"Monday",2,"Tuesday",3,"Wednesday",4,"Thursday",5,"Friday",6,"Saturday")</f>
        <v>Monday</v>
      </c>
      <c r="H221" t="str" cm="1">
        <f t="array" ref="H221">_xlfn.SWITCH(Sheet5!D221, 1, "Clear Sky", 2, "Mist", 3, "Dark Cloud",4,"Heavy Rainfall")</f>
        <v>Mist</v>
      </c>
      <c r="I221" s="26">
        <f>Sheet5!E221*41</f>
        <v>5.74</v>
      </c>
      <c r="J221" s="27">
        <v>0.5</v>
      </c>
      <c r="K221">
        <v>0.29849999999999999</v>
      </c>
      <c r="L221">
        <v>0</v>
      </c>
      <c r="M221">
        <v>31</v>
      </c>
      <c r="N221">
        <v>31</v>
      </c>
    </row>
    <row r="222" spans="1:14" x14ac:dyDescent="0.3">
      <c r="A222">
        <v>221</v>
      </c>
      <c r="B222" s="21">
        <v>40553</v>
      </c>
      <c r="C222" s="25" t="s">
        <v>16</v>
      </c>
      <c r="D222" s="25" t="str" cm="1">
        <f t="array" ref="D222">_xlfn.SWITCH(Sheet5!A222,1,"JANUARY",2,"FEBRUARY")</f>
        <v>JANUARY</v>
      </c>
      <c r="E222">
        <v>11</v>
      </c>
      <c r="F222" t="str" cm="1">
        <f t="array" ref="F222">_xlfn.SWITCH(Sheet5!C222,FALSE,"NO",TRUE,"YES")</f>
        <v>NO</v>
      </c>
      <c r="G222" t="str" cm="1">
        <f t="array" ref="G222">_xlfn.SWITCH(Sheet5!B222,0,"Sunday",1,"Monday",2,"Tuesday",3,"Wednesday",4,"Thursday",5,"Friday",6,"Saturday")</f>
        <v>Monday</v>
      </c>
      <c r="H222" t="str" cm="1">
        <f t="array" ref="H222">_xlfn.SWITCH(Sheet5!D222, 1, "Clear Sky", 2, "Mist", 3, "Dark Cloud",4,"Heavy Rainfall")</f>
        <v>Mist</v>
      </c>
      <c r="I222" s="26">
        <f>Sheet5!E222*41</f>
        <v>6.5600000000000005</v>
      </c>
      <c r="J222" s="27">
        <v>0.47</v>
      </c>
      <c r="K222">
        <v>0.28360000000000002</v>
      </c>
      <c r="L222">
        <v>2</v>
      </c>
      <c r="M222">
        <v>28</v>
      </c>
      <c r="N222">
        <v>30</v>
      </c>
    </row>
    <row r="223" spans="1:14" x14ac:dyDescent="0.3">
      <c r="A223">
        <v>222</v>
      </c>
      <c r="B223" s="21">
        <v>40553</v>
      </c>
      <c r="C223" s="25" t="s">
        <v>16</v>
      </c>
      <c r="D223" s="25" t="str" cm="1">
        <f t="array" ref="D223">_xlfn.SWITCH(Sheet5!A223,1,"JANUARY",2,"FEBRUARY")</f>
        <v>JANUARY</v>
      </c>
      <c r="E223">
        <v>12</v>
      </c>
      <c r="F223" t="str" cm="1">
        <f t="array" ref="F223">_xlfn.SWITCH(Sheet5!C223,FALSE,"NO",TRUE,"YES")</f>
        <v>NO</v>
      </c>
      <c r="G223" t="str" cm="1">
        <f t="array" ref="G223">_xlfn.SWITCH(Sheet5!B223,0,"Sunday",1,"Monday",2,"Tuesday",3,"Wednesday",4,"Thursday",5,"Friday",6,"Saturday")</f>
        <v>Monday</v>
      </c>
      <c r="H223" t="str" cm="1">
        <f t="array" ref="H223">_xlfn.SWITCH(Sheet5!D223, 1, "Clear Sky", 2, "Mist", 3, "Dark Cloud",4,"Heavy Rainfall")</f>
        <v>Mist</v>
      </c>
      <c r="I223" s="26">
        <f>Sheet5!E223*41</f>
        <v>8.2000000000000011</v>
      </c>
      <c r="J223" s="27">
        <v>0.4</v>
      </c>
      <c r="K223">
        <v>0.28360000000000002</v>
      </c>
      <c r="L223">
        <v>5</v>
      </c>
      <c r="M223">
        <v>47</v>
      </c>
      <c r="N223">
        <v>52</v>
      </c>
    </row>
    <row r="224" spans="1:14" x14ac:dyDescent="0.3">
      <c r="A224">
        <v>223</v>
      </c>
      <c r="B224" s="21">
        <v>40553</v>
      </c>
      <c r="C224" s="25" t="s">
        <v>16</v>
      </c>
      <c r="D224" s="25" t="str" cm="1">
        <f t="array" ref="D224">_xlfn.SWITCH(Sheet5!A224,1,"JANUARY",2,"FEBRUARY")</f>
        <v>JANUARY</v>
      </c>
      <c r="E224">
        <v>13</v>
      </c>
      <c r="F224" t="str" cm="1">
        <f t="array" ref="F224">_xlfn.SWITCH(Sheet5!C224,FALSE,"NO",TRUE,"YES")</f>
        <v>NO</v>
      </c>
      <c r="G224" t="str" cm="1">
        <f t="array" ref="G224">_xlfn.SWITCH(Sheet5!B224,0,"Sunday",1,"Monday",2,"Tuesday",3,"Wednesday",4,"Thursday",5,"Friday",6,"Saturday")</f>
        <v>Monday</v>
      </c>
      <c r="H224" t="str" cm="1">
        <f t="array" ref="H224">_xlfn.SWITCH(Sheet5!D224, 1, "Clear Sky", 2, "Mist", 3, "Dark Cloud",4,"Heavy Rainfall")</f>
        <v>Mist</v>
      </c>
      <c r="I224" s="26">
        <f>Sheet5!E224*41</f>
        <v>8.2000000000000011</v>
      </c>
      <c r="J224" s="27">
        <v>0.4</v>
      </c>
      <c r="K224">
        <v>0.28360000000000002</v>
      </c>
      <c r="L224">
        <v>4</v>
      </c>
      <c r="M224">
        <v>50</v>
      </c>
      <c r="N224">
        <v>54</v>
      </c>
    </row>
    <row r="225" spans="1:14" x14ac:dyDescent="0.3">
      <c r="A225">
        <v>224</v>
      </c>
      <c r="B225" s="21">
        <v>40553</v>
      </c>
      <c r="C225" s="25" t="s">
        <v>16</v>
      </c>
      <c r="D225" s="25" t="str" cm="1">
        <f t="array" ref="D225">_xlfn.SWITCH(Sheet5!A225,1,"JANUARY",2,"FEBRUARY")</f>
        <v>JANUARY</v>
      </c>
      <c r="E225">
        <v>14</v>
      </c>
      <c r="F225" t="str" cm="1">
        <f t="array" ref="F225">_xlfn.SWITCH(Sheet5!C225,FALSE,"NO",TRUE,"YES")</f>
        <v>NO</v>
      </c>
      <c r="G225" t="str" cm="1">
        <f t="array" ref="G225">_xlfn.SWITCH(Sheet5!B225,0,"Sunday",1,"Monday",2,"Tuesday",3,"Wednesday",4,"Thursday",5,"Friday",6,"Saturday")</f>
        <v>Monday</v>
      </c>
      <c r="H225" t="str" cm="1">
        <f t="array" ref="H225">_xlfn.SWITCH(Sheet5!D225, 1, "Clear Sky", 2, "Mist", 3, "Dark Cloud",4,"Heavy Rainfall")</f>
        <v>Mist</v>
      </c>
      <c r="I225" s="26">
        <f>Sheet5!E225*41</f>
        <v>8.2000000000000011</v>
      </c>
      <c r="J225" s="27">
        <v>0.4</v>
      </c>
      <c r="K225">
        <v>0.22389999999999999</v>
      </c>
      <c r="L225">
        <v>0</v>
      </c>
      <c r="M225">
        <v>47</v>
      </c>
      <c r="N225">
        <v>47</v>
      </c>
    </row>
    <row r="226" spans="1:14" x14ac:dyDescent="0.3">
      <c r="A226">
        <v>225</v>
      </c>
      <c r="B226" s="21">
        <v>40553</v>
      </c>
      <c r="C226" s="25" t="s">
        <v>16</v>
      </c>
      <c r="D226" s="25" t="str" cm="1">
        <f t="array" ref="D226">_xlfn.SWITCH(Sheet5!A226,1,"JANUARY",2,"FEBRUARY")</f>
        <v>JANUARY</v>
      </c>
      <c r="E226">
        <v>15</v>
      </c>
      <c r="F226" t="str" cm="1">
        <f t="array" ref="F226">_xlfn.SWITCH(Sheet5!C226,FALSE,"NO",TRUE,"YES")</f>
        <v>NO</v>
      </c>
      <c r="G226" t="str" cm="1">
        <f t="array" ref="G226">_xlfn.SWITCH(Sheet5!B226,0,"Sunday",1,"Monday",2,"Tuesday",3,"Wednesday",4,"Thursday",5,"Friday",6,"Saturday")</f>
        <v>Monday</v>
      </c>
      <c r="H226" t="str" cm="1">
        <f t="array" ref="H226">_xlfn.SWITCH(Sheet5!D226, 1, "Clear Sky", 2, "Mist", 3, "Dark Cloud",4,"Heavy Rainfall")</f>
        <v>Mist</v>
      </c>
      <c r="I226" s="26">
        <f>Sheet5!E226*41</f>
        <v>8.2000000000000011</v>
      </c>
      <c r="J226" s="27">
        <v>0.4</v>
      </c>
      <c r="K226">
        <v>0.22389999999999999</v>
      </c>
      <c r="L226">
        <v>2</v>
      </c>
      <c r="M226">
        <v>43</v>
      </c>
      <c r="N226">
        <v>45</v>
      </c>
    </row>
    <row r="227" spans="1:14" x14ac:dyDescent="0.3">
      <c r="A227">
        <v>226</v>
      </c>
      <c r="B227" s="21">
        <v>40553</v>
      </c>
      <c r="C227" s="25" t="s">
        <v>16</v>
      </c>
      <c r="D227" s="25" t="str" cm="1">
        <f t="array" ref="D227">_xlfn.SWITCH(Sheet5!A227,1,"JANUARY",2,"FEBRUARY")</f>
        <v>JANUARY</v>
      </c>
      <c r="E227">
        <v>16</v>
      </c>
      <c r="F227" t="str" cm="1">
        <f t="array" ref="F227">_xlfn.SWITCH(Sheet5!C227,FALSE,"NO",TRUE,"YES")</f>
        <v>NO</v>
      </c>
      <c r="G227" t="str" cm="1">
        <f t="array" ref="G227">_xlfn.SWITCH(Sheet5!B227,0,"Sunday",1,"Monday",2,"Tuesday",3,"Wednesday",4,"Thursday",5,"Friday",6,"Saturday")</f>
        <v>Monday</v>
      </c>
      <c r="H227" t="str" cm="1">
        <f t="array" ref="H227">_xlfn.SWITCH(Sheet5!D227, 1, "Clear Sky", 2, "Mist", 3, "Dark Cloud",4,"Heavy Rainfall")</f>
        <v>Clear Sky</v>
      </c>
      <c r="I227" s="26">
        <f>Sheet5!E227*41</f>
        <v>8.2000000000000011</v>
      </c>
      <c r="J227" s="27">
        <v>0.4</v>
      </c>
      <c r="K227">
        <v>0.1343</v>
      </c>
      <c r="L227">
        <v>4</v>
      </c>
      <c r="M227">
        <v>70</v>
      </c>
      <c r="N227">
        <v>74</v>
      </c>
    </row>
    <row r="228" spans="1:14" x14ac:dyDescent="0.3">
      <c r="A228">
        <v>227</v>
      </c>
      <c r="B228" s="21">
        <v>40553</v>
      </c>
      <c r="C228" s="25" t="s">
        <v>16</v>
      </c>
      <c r="D228" s="25" t="str" cm="1">
        <f t="array" ref="D228">_xlfn.SWITCH(Sheet5!A228,1,"JANUARY",2,"FEBRUARY")</f>
        <v>JANUARY</v>
      </c>
      <c r="E228">
        <v>17</v>
      </c>
      <c r="F228" t="str" cm="1">
        <f t="array" ref="F228">_xlfn.SWITCH(Sheet5!C228,FALSE,"NO",TRUE,"YES")</f>
        <v>NO</v>
      </c>
      <c r="G228" t="str" cm="1">
        <f t="array" ref="G228">_xlfn.SWITCH(Sheet5!B228,0,"Sunday",1,"Monday",2,"Tuesday",3,"Wednesday",4,"Thursday",5,"Friday",6,"Saturday")</f>
        <v>Monday</v>
      </c>
      <c r="H228" t="str" cm="1">
        <f t="array" ref="H228">_xlfn.SWITCH(Sheet5!D228, 1, "Clear Sky", 2, "Mist", 3, "Dark Cloud",4,"Heavy Rainfall")</f>
        <v>Clear Sky</v>
      </c>
      <c r="I228" s="26">
        <f>Sheet5!E228*41</f>
        <v>8.2000000000000011</v>
      </c>
      <c r="J228" s="27">
        <v>0.4</v>
      </c>
      <c r="K228">
        <v>0.1045</v>
      </c>
      <c r="L228">
        <v>4</v>
      </c>
      <c r="M228">
        <v>174</v>
      </c>
      <c r="N228">
        <v>178</v>
      </c>
    </row>
    <row r="229" spans="1:14" x14ac:dyDescent="0.3">
      <c r="A229">
        <v>228</v>
      </c>
      <c r="B229" s="21">
        <v>40553</v>
      </c>
      <c r="C229" s="25" t="s">
        <v>16</v>
      </c>
      <c r="D229" s="25" t="str" cm="1">
        <f t="array" ref="D229">_xlfn.SWITCH(Sheet5!A229,1,"JANUARY",2,"FEBRUARY")</f>
        <v>JANUARY</v>
      </c>
      <c r="E229">
        <v>18</v>
      </c>
      <c r="F229" t="str" cm="1">
        <f t="array" ref="F229">_xlfn.SWITCH(Sheet5!C229,FALSE,"NO",TRUE,"YES")</f>
        <v>NO</v>
      </c>
      <c r="G229" t="str" cm="1">
        <f t="array" ref="G229">_xlfn.SWITCH(Sheet5!B229,0,"Sunday",1,"Monday",2,"Tuesday",3,"Wednesday",4,"Thursday",5,"Friday",6,"Saturday")</f>
        <v>Monday</v>
      </c>
      <c r="H229" t="str" cm="1">
        <f t="array" ref="H229">_xlfn.SWITCH(Sheet5!D229, 1, "Clear Sky", 2, "Mist", 3, "Dark Cloud",4,"Heavy Rainfall")</f>
        <v>Clear Sky</v>
      </c>
      <c r="I229" s="26">
        <f>Sheet5!E229*41</f>
        <v>8.2000000000000011</v>
      </c>
      <c r="J229" s="27">
        <v>0.4</v>
      </c>
      <c r="K229">
        <v>0.22389999999999999</v>
      </c>
      <c r="L229">
        <v>1</v>
      </c>
      <c r="M229">
        <v>154</v>
      </c>
      <c r="N229">
        <v>155</v>
      </c>
    </row>
    <row r="230" spans="1:14" x14ac:dyDescent="0.3">
      <c r="A230">
        <v>229</v>
      </c>
      <c r="B230" s="21">
        <v>40553</v>
      </c>
      <c r="C230" s="25" t="s">
        <v>16</v>
      </c>
      <c r="D230" s="25" t="str" cm="1">
        <f t="array" ref="D230">_xlfn.SWITCH(Sheet5!A230,1,"JANUARY",2,"FEBRUARY")</f>
        <v>JANUARY</v>
      </c>
      <c r="E230">
        <v>19</v>
      </c>
      <c r="F230" t="str" cm="1">
        <f t="array" ref="F230">_xlfn.SWITCH(Sheet5!C230,FALSE,"NO",TRUE,"YES")</f>
        <v>NO</v>
      </c>
      <c r="G230" t="str" cm="1">
        <f t="array" ref="G230">_xlfn.SWITCH(Sheet5!B230,0,"Sunday",1,"Monday",2,"Tuesday",3,"Wednesday",4,"Thursday",5,"Friday",6,"Saturday")</f>
        <v>Monday</v>
      </c>
      <c r="H230" t="str" cm="1">
        <f t="array" ref="H230">_xlfn.SWITCH(Sheet5!D230, 1, "Clear Sky", 2, "Mist", 3, "Dark Cloud",4,"Heavy Rainfall")</f>
        <v>Clear Sky</v>
      </c>
      <c r="I230" s="26">
        <f>Sheet5!E230*41</f>
        <v>6.5600000000000005</v>
      </c>
      <c r="J230" s="27">
        <v>0.47</v>
      </c>
      <c r="K230">
        <v>0.16420000000000001</v>
      </c>
      <c r="L230">
        <v>3</v>
      </c>
      <c r="M230">
        <v>92</v>
      </c>
      <c r="N230">
        <v>95</v>
      </c>
    </row>
    <row r="231" spans="1:14" x14ac:dyDescent="0.3">
      <c r="A231">
        <v>230</v>
      </c>
      <c r="B231" s="21">
        <v>40553</v>
      </c>
      <c r="C231" s="25" t="s">
        <v>16</v>
      </c>
      <c r="D231" s="25" t="str" cm="1">
        <f t="array" ref="D231">_xlfn.SWITCH(Sheet5!A231,1,"JANUARY",2,"FEBRUARY")</f>
        <v>JANUARY</v>
      </c>
      <c r="E231">
        <v>20</v>
      </c>
      <c r="F231" t="str" cm="1">
        <f t="array" ref="F231">_xlfn.SWITCH(Sheet5!C231,FALSE,"NO",TRUE,"YES")</f>
        <v>NO</v>
      </c>
      <c r="G231" t="str" cm="1">
        <f t="array" ref="G231">_xlfn.SWITCH(Sheet5!B231,0,"Sunday",1,"Monday",2,"Tuesday",3,"Wednesday",4,"Thursday",5,"Friday",6,"Saturday")</f>
        <v>Monday</v>
      </c>
      <c r="H231" t="str" cm="1">
        <f t="array" ref="H231">_xlfn.SWITCH(Sheet5!D231, 1, "Clear Sky", 2, "Mist", 3, "Dark Cloud",4,"Heavy Rainfall")</f>
        <v>Clear Sky</v>
      </c>
      <c r="I231" s="26">
        <f>Sheet5!E231*41</f>
        <v>6.5600000000000005</v>
      </c>
      <c r="J231" s="27">
        <v>0.5</v>
      </c>
      <c r="K231">
        <v>0.16420000000000001</v>
      </c>
      <c r="L231">
        <v>1</v>
      </c>
      <c r="M231">
        <v>73</v>
      </c>
      <c r="N231">
        <v>74</v>
      </c>
    </row>
    <row r="232" spans="1:14" x14ac:dyDescent="0.3">
      <c r="A232">
        <v>231</v>
      </c>
      <c r="B232" s="21">
        <v>40553</v>
      </c>
      <c r="C232" s="25" t="s">
        <v>16</v>
      </c>
      <c r="D232" s="25" t="str" cm="1">
        <f t="array" ref="D232">_xlfn.SWITCH(Sheet5!A232,1,"JANUARY",2,"FEBRUARY")</f>
        <v>JANUARY</v>
      </c>
      <c r="E232">
        <v>21</v>
      </c>
      <c r="F232" t="str" cm="1">
        <f t="array" ref="F232">_xlfn.SWITCH(Sheet5!C232,FALSE,"NO",TRUE,"YES")</f>
        <v>NO</v>
      </c>
      <c r="G232" t="str" cm="1">
        <f t="array" ref="G232">_xlfn.SWITCH(Sheet5!B232,0,"Sunday",1,"Monday",2,"Tuesday",3,"Wednesday",4,"Thursday",5,"Friday",6,"Saturday")</f>
        <v>Monday</v>
      </c>
      <c r="H232" t="str" cm="1">
        <f t="array" ref="H232">_xlfn.SWITCH(Sheet5!D232, 1, "Clear Sky", 2, "Mist", 3, "Dark Cloud",4,"Heavy Rainfall")</f>
        <v>Clear Sky</v>
      </c>
      <c r="I232" s="26">
        <f>Sheet5!E232*41</f>
        <v>5.74</v>
      </c>
      <c r="J232" s="27">
        <v>0.59</v>
      </c>
      <c r="K232">
        <v>0.19400000000000001</v>
      </c>
      <c r="L232">
        <v>1</v>
      </c>
      <c r="M232">
        <v>37</v>
      </c>
      <c r="N232">
        <v>38</v>
      </c>
    </row>
    <row r="233" spans="1:14" x14ac:dyDescent="0.3">
      <c r="A233">
        <v>232</v>
      </c>
      <c r="B233" s="21">
        <v>40553</v>
      </c>
      <c r="C233" s="25" t="s">
        <v>16</v>
      </c>
      <c r="D233" s="25" t="str" cm="1">
        <f t="array" ref="D233">_xlfn.SWITCH(Sheet5!A233,1,"JANUARY",2,"FEBRUARY")</f>
        <v>JANUARY</v>
      </c>
      <c r="E233">
        <v>22</v>
      </c>
      <c r="F233" t="str" cm="1">
        <f t="array" ref="F233">_xlfn.SWITCH(Sheet5!C233,FALSE,"NO",TRUE,"YES")</f>
        <v>NO</v>
      </c>
      <c r="G233" t="str" cm="1">
        <f t="array" ref="G233">_xlfn.SWITCH(Sheet5!B233,0,"Sunday",1,"Monday",2,"Tuesday",3,"Wednesday",4,"Thursday",5,"Friday",6,"Saturday")</f>
        <v>Monday</v>
      </c>
      <c r="H233" t="str" cm="1">
        <f t="array" ref="H233">_xlfn.SWITCH(Sheet5!D233, 1, "Clear Sky", 2, "Mist", 3, "Dark Cloud",4,"Heavy Rainfall")</f>
        <v>Clear Sky</v>
      </c>
      <c r="I233" s="26">
        <f>Sheet5!E233*41</f>
        <v>5.74</v>
      </c>
      <c r="J233" s="27">
        <v>0.59</v>
      </c>
      <c r="K233">
        <v>0.16420000000000001</v>
      </c>
      <c r="L233">
        <v>2</v>
      </c>
      <c r="M233">
        <v>22</v>
      </c>
      <c r="N233">
        <v>24</v>
      </c>
    </row>
    <row r="234" spans="1:14" x14ac:dyDescent="0.3">
      <c r="A234">
        <v>233</v>
      </c>
      <c r="B234" s="21">
        <v>40553</v>
      </c>
      <c r="C234" s="25" t="s">
        <v>16</v>
      </c>
      <c r="D234" s="25" t="str" cm="1">
        <f t="array" ref="D234">_xlfn.SWITCH(Sheet5!A234,1,"JANUARY",2,"FEBRUARY")</f>
        <v>JANUARY</v>
      </c>
      <c r="E234">
        <v>23</v>
      </c>
      <c r="F234" t="str" cm="1">
        <f t="array" ref="F234">_xlfn.SWITCH(Sheet5!C234,FALSE,"NO",TRUE,"YES")</f>
        <v>NO</v>
      </c>
      <c r="G234" t="str" cm="1">
        <f t="array" ref="G234">_xlfn.SWITCH(Sheet5!B234,0,"Sunday",1,"Monday",2,"Tuesday",3,"Wednesday",4,"Thursday",5,"Friday",6,"Saturday")</f>
        <v>Monday</v>
      </c>
      <c r="H234" t="str" cm="1">
        <f t="array" ref="H234">_xlfn.SWITCH(Sheet5!D234, 1, "Clear Sky", 2, "Mist", 3, "Dark Cloud",4,"Heavy Rainfall")</f>
        <v>Clear Sky</v>
      </c>
      <c r="I234" s="26">
        <f>Sheet5!E234*41</f>
        <v>5.74</v>
      </c>
      <c r="J234" s="27">
        <v>0.59</v>
      </c>
      <c r="K234">
        <v>0.16420000000000001</v>
      </c>
      <c r="L234">
        <v>0</v>
      </c>
      <c r="M234">
        <v>18</v>
      </c>
      <c r="N234">
        <v>18</v>
      </c>
    </row>
    <row r="235" spans="1:14" x14ac:dyDescent="0.3">
      <c r="A235">
        <v>234</v>
      </c>
      <c r="B235" s="21">
        <v>40554</v>
      </c>
      <c r="C235" s="25" t="s">
        <v>16</v>
      </c>
      <c r="D235" s="25" t="str" cm="1">
        <f t="array" ref="D235">_xlfn.SWITCH(Sheet5!A235,1,"JANUARY",2,"FEBRUARY")</f>
        <v>JANUARY</v>
      </c>
      <c r="E235">
        <v>0</v>
      </c>
      <c r="F235" t="str" cm="1">
        <f t="array" ref="F235">_xlfn.SWITCH(Sheet5!C235,FALSE,"NO",TRUE,"YES")</f>
        <v>NO</v>
      </c>
      <c r="G235" t="str" cm="1">
        <f t="array" ref="G235">_xlfn.SWITCH(Sheet5!B235,0,"Sunday",1,"Monday",2,"Tuesday",3,"Wednesday",4,"Thursday",5,"Friday",6,"Saturday")</f>
        <v>Tuesday</v>
      </c>
      <c r="H235" t="str" cm="1">
        <f t="array" ref="H235">_xlfn.SWITCH(Sheet5!D235, 1, "Clear Sky", 2, "Mist", 3, "Dark Cloud",4,"Heavy Rainfall")</f>
        <v>Clear Sky</v>
      </c>
      <c r="I235" s="26">
        <f>Sheet5!E235*41</f>
        <v>5.74</v>
      </c>
      <c r="J235" s="27">
        <v>0.59</v>
      </c>
      <c r="K235">
        <v>0.1045</v>
      </c>
      <c r="L235">
        <v>2</v>
      </c>
      <c r="M235">
        <v>10</v>
      </c>
      <c r="N235">
        <v>12</v>
      </c>
    </row>
    <row r="236" spans="1:14" x14ac:dyDescent="0.3">
      <c r="A236">
        <v>235</v>
      </c>
      <c r="B236" s="21">
        <v>40554</v>
      </c>
      <c r="C236" s="25" t="s">
        <v>16</v>
      </c>
      <c r="D236" s="25" t="str" cm="1">
        <f t="array" ref="D236">_xlfn.SWITCH(Sheet5!A236,1,"JANUARY",2,"FEBRUARY")</f>
        <v>JANUARY</v>
      </c>
      <c r="E236">
        <v>1</v>
      </c>
      <c r="F236" t="str" cm="1">
        <f t="array" ref="F236">_xlfn.SWITCH(Sheet5!C236,FALSE,"NO",TRUE,"YES")</f>
        <v>NO</v>
      </c>
      <c r="G236" t="str" cm="1">
        <f t="array" ref="G236">_xlfn.SWITCH(Sheet5!B236,0,"Sunday",1,"Monday",2,"Tuesday",3,"Wednesday",4,"Thursday",5,"Friday",6,"Saturday")</f>
        <v>Tuesday</v>
      </c>
      <c r="H236" t="str" cm="1">
        <f t="array" ref="H236">_xlfn.SWITCH(Sheet5!D236, 1, "Clear Sky", 2, "Mist", 3, "Dark Cloud",4,"Heavy Rainfall")</f>
        <v>Clear Sky</v>
      </c>
      <c r="I236" s="26">
        <f>Sheet5!E236*41</f>
        <v>5.74</v>
      </c>
      <c r="J236" s="27">
        <v>0.59</v>
      </c>
      <c r="K236">
        <v>0.16420000000000001</v>
      </c>
      <c r="L236">
        <v>0</v>
      </c>
      <c r="M236">
        <v>3</v>
      </c>
      <c r="N236">
        <v>3</v>
      </c>
    </row>
    <row r="237" spans="1:14" x14ac:dyDescent="0.3">
      <c r="A237">
        <v>236</v>
      </c>
      <c r="B237" s="21">
        <v>40554</v>
      </c>
      <c r="C237" s="25" t="s">
        <v>16</v>
      </c>
      <c r="D237" s="25" t="str" cm="1">
        <f t="array" ref="D237">_xlfn.SWITCH(Sheet5!A237,1,"JANUARY",2,"FEBRUARY")</f>
        <v>JANUARY</v>
      </c>
      <c r="E237">
        <v>2</v>
      </c>
      <c r="F237" t="str" cm="1">
        <f t="array" ref="F237">_xlfn.SWITCH(Sheet5!C237,FALSE,"NO",TRUE,"YES")</f>
        <v>NO</v>
      </c>
      <c r="G237" t="str" cm="1">
        <f t="array" ref="G237">_xlfn.SWITCH(Sheet5!B237,0,"Sunday",1,"Monday",2,"Tuesday",3,"Wednesday",4,"Thursday",5,"Friday",6,"Saturday")</f>
        <v>Tuesday</v>
      </c>
      <c r="H237" t="str" cm="1">
        <f t="array" ref="H237">_xlfn.SWITCH(Sheet5!D237, 1, "Clear Sky", 2, "Mist", 3, "Dark Cloud",4,"Heavy Rainfall")</f>
        <v>Mist</v>
      </c>
      <c r="I237" s="26">
        <f>Sheet5!E237*41</f>
        <v>6.5600000000000005</v>
      </c>
      <c r="J237" s="27">
        <v>0.55000000000000004</v>
      </c>
      <c r="K237">
        <v>0.19400000000000001</v>
      </c>
      <c r="L237">
        <v>0</v>
      </c>
      <c r="M237">
        <v>3</v>
      </c>
      <c r="N237">
        <v>3</v>
      </c>
    </row>
    <row r="238" spans="1:14" x14ac:dyDescent="0.3">
      <c r="A238">
        <v>237</v>
      </c>
      <c r="B238" s="21">
        <v>40554</v>
      </c>
      <c r="C238" s="25" t="s">
        <v>16</v>
      </c>
      <c r="D238" s="25" t="str" cm="1">
        <f t="array" ref="D238">_xlfn.SWITCH(Sheet5!A238,1,"JANUARY",2,"FEBRUARY")</f>
        <v>JANUARY</v>
      </c>
      <c r="E238">
        <v>5</v>
      </c>
      <c r="F238" t="str" cm="1">
        <f t="array" ref="F238">_xlfn.SWITCH(Sheet5!C238,FALSE,"NO",TRUE,"YES")</f>
        <v>NO</v>
      </c>
      <c r="G238" t="str" cm="1">
        <f t="array" ref="G238">_xlfn.SWITCH(Sheet5!B238,0,"Sunday",1,"Monday",2,"Tuesday",3,"Wednesday",4,"Thursday",5,"Friday",6,"Saturday")</f>
        <v>Tuesday</v>
      </c>
      <c r="H238" t="str" cm="1">
        <f t="array" ref="H238">_xlfn.SWITCH(Sheet5!D238, 1, "Clear Sky", 2, "Mist", 3, "Dark Cloud",4,"Heavy Rainfall")</f>
        <v>Mist</v>
      </c>
      <c r="I238" s="26">
        <f>Sheet5!E238*41</f>
        <v>6.5600000000000005</v>
      </c>
      <c r="J238" s="27">
        <v>0.55000000000000004</v>
      </c>
      <c r="K238">
        <v>0.1343</v>
      </c>
      <c r="L238">
        <v>0</v>
      </c>
      <c r="M238">
        <v>6</v>
      </c>
      <c r="N238">
        <v>6</v>
      </c>
    </row>
    <row r="239" spans="1:14" x14ac:dyDescent="0.3">
      <c r="A239">
        <v>238</v>
      </c>
      <c r="B239" s="21">
        <v>40554</v>
      </c>
      <c r="C239" s="25" t="s">
        <v>16</v>
      </c>
      <c r="D239" s="25" t="str" cm="1">
        <f t="array" ref="D239">_xlfn.SWITCH(Sheet5!A239,1,"JANUARY",2,"FEBRUARY")</f>
        <v>JANUARY</v>
      </c>
      <c r="E239">
        <v>6</v>
      </c>
      <c r="F239" t="str" cm="1">
        <f t="array" ref="F239">_xlfn.SWITCH(Sheet5!C239,FALSE,"NO",TRUE,"YES")</f>
        <v>NO</v>
      </c>
      <c r="G239" t="str" cm="1">
        <f t="array" ref="G239">_xlfn.SWITCH(Sheet5!B239,0,"Sunday",1,"Monday",2,"Tuesday",3,"Wednesday",4,"Thursday",5,"Friday",6,"Saturday")</f>
        <v>Tuesday</v>
      </c>
      <c r="H239" t="str" cm="1">
        <f t="array" ref="H239">_xlfn.SWITCH(Sheet5!D239, 1, "Clear Sky", 2, "Mist", 3, "Dark Cloud",4,"Heavy Rainfall")</f>
        <v>Mist</v>
      </c>
      <c r="I239" s="26">
        <f>Sheet5!E239*41</f>
        <v>6.5600000000000005</v>
      </c>
      <c r="J239" s="27">
        <v>0.55000000000000004</v>
      </c>
      <c r="K239">
        <v>0.1343</v>
      </c>
      <c r="L239">
        <v>0</v>
      </c>
      <c r="M239">
        <v>27</v>
      </c>
      <c r="N239">
        <v>27</v>
      </c>
    </row>
    <row r="240" spans="1:14" x14ac:dyDescent="0.3">
      <c r="A240">
        <v>239</v>
      </c>
      <c r="B240" s="21">
        <v>40554</v>
      </c>
      <c r="C240" s="25" t="s">
        <v>16</v>
      </c>
      <c r="D240" s="25" t="str" cm="1">
        <f t="array" ref="D240">_xlfn.SWITCH(Sheet5!A240,1,"JANUARY",2,"FEBRUARY")</f>
        <v>JANUARY</v>
      </c>
      <c r="E240">
        <v>7</v>
      </c>
      <c r="F240" t="str" cm="1">
        <f t="array" ref="F240">_xlfn.SWITCH(Sheet5!C240,FALSE,"NO",TRUE,"YES")</f>
        <v>NO</v>
      </c>
      <c r="G240" t="str" cm="1">
        <f t="array" ref="G240">_xlfn.SWITCH(Sheet5!B240,0,"Sunday",1,"Monday",2,"Tuesday",3,"Wednesday",4,"Thursday",5,"Friday",6,"Saturday")</f>
        <v>Tuesday</v>
      </c>
      <c r="H240" t="str" cm="1">
        <f t="array" ref="H240">_xlfn.SWITCH(Sheet5!D240, 1, "Clear Sky", 2, "Mist", 3, "Dark Cloud",4,"Heavy Rainfall")</f>
        <v>Mist</v>
      </c>
      <c r="I240" s="26">
        <f>Sheet5!E240*41</f>
        <v>6.5600000000000005</v>
      </c>
      <c r="J240" s="27">
        <v>0.55000000000000004</v>
      </c>
      <c r="K240">
        <v>0</v>
      </c>
      <c r="L240">
        <v>2</v>
      </c>
      <c r="M240">
        <v>97</v>
      </c>
      <c r="N240">
        <v>99</v>
      </c>
    </row>
    <row r="241" spans="1:14" x14ac:dyDescent="0.3">
      <c r="A241">
        <v>240</v>
      </c>
      <c r="B241" s="21">
        <v>40554</v>
      </c>
      <c r="C241" s="25" t="s">
        <v>16</v>
      </c>
      <c r="D241" s="25" t="str" cm="1">
        <f t="array" ref="D241">_xlfn.SWITCH(Sheet5!A241,1,"JANUARY",2,"FEBRUARY")</f>
        <v>JANUARY</v>
      </c>
      <c r="E241">
        <v>8</v>
      </c>
      <c r="F241" t="str" cm="1">
        <f t="array" ref="F241">_xlfn.SWITCH(Sheet5!C241,FALSE,"NO",TRUE,"YES")</f>
        <v>NO</v>
      </c>
      <c r="G241" t="str" cm="1">
        <f t="array" ref="G241">_xlfn.SWITCH(Sheet5!B241,0,"Sunday",1,"Monday",2,"Tuesday",3,"Wednesday",4,"Thursday",5,"Friday",6,"Saturday")</f>
        <v>Tuesday</v>
      </c>
      <c r="H241" t="str" cm="1">
        <f t="array" ref="H241">_xlfn.SWITCH(Sheet5!D241, 1, "Clear Sky", 2, "Mist", 3, "Dark Cloud",4,"Heavy Rainfall")</f>
        <v>Mist</v>
      </c>
      <c r="I241" s="26">
        <f>Sheet5!E241*41</f>
        <v>7.38</v>
      </c>
      <c r="J241" s="27">
        <v>0.51</v>
      </c>
      <c r="K241">
        <v>8.9599999999999999E-2</v>
      </c>
      <c r="L241">
        <v>3</v>
      </c>
      <c r="M241">
        <v>214</v>
      </c>
      <c r="N241">
        <v>217</v>
      </c>
    </row>
    <row r="242" spans="1:14" x14ac:dyDescent="0.3">
      <c r="A242">
        <v>241</v>
      </c>
      <c r="B242" s="21">
        <v>40554</v>
      </c>
      <c r="C242" s="25" t="s">
        <v>16</v>
      </c>
      <c r="D242" s="25" t="str" cm="1">
        <f t="array" ref="D242">_xlfn.SWITCH(Sheet5!A242,1,"JANUARY",2,"FEBRUARY")</f>
        <v>JANUARY</v>
      </c>
      <c r="E242">
        <v>9</v>
      </c>
      <c r="F242" t="str" cm="1">
        <f t="array" ref="F242">_xlfn.SWITCH(Sheet5!C242,FALSE,"NO",TRUE,"YES")</f>
        <v>NO</v>
      </c>
      <c r="G242" t="str" cm="1">
        <f t="array" ref="G242">_xlfn.SWITCH(Sheet5!B242,0,"Sunday",1,"Monday",2,"Tuesday",3,"Wednesday",4,"Thursday",5,"Friday",6,"Saturday")</f>
        <v>Tuesday</v>
      </c>
      <c r="H242" t="str" cm="1">
        <f t="array" ref="H242">_xlfn.SWITCH(Sheet5!D242, 1, "Clear Sky", 2, "Mist", 3, "Dark Cloud",4,"Heavy Rainfall")</f>
        <v>Mist</v>
      </c>
      <c r="I242" s="26">
        <f>Sheet5!E242*41</f>
        <v>7.38</v>
      </c>
      <c r="J242" s="27">
        <v>0.51</v>
      </c>
      <c r="K242">
        <v>0.16420000000000001</v>
      </c>
      <c r="L242">
        <v>3</v>
      </c>
      <c r="M242">
        <v>127</v>
      </c>
      <c r="N242">
        <v>130</v>
      </c>
    </row>
    <row r="243" spans="1:14" x14ac:dyDescent="0.3">
      <c r="A243">
        <v>242</v>
      </c>
      <c r="B243" s="21">
        <v>40554</v>
      </c>
      <c r="C243" s="25" t="s">
        <v>16</v>
      </c>
      <c r="D243" s="25" t="str" cm="1">
        <f t="array" ref="D243">_xlfn.SWITCH(Sheet5!A243,1,"JANUARY",2,"FEBRUARY")</f>
        <v>JANUARY</v>
      </c>
      <c r="E243">
        <v>10</v>
      </c>
      <c r="F243" t="str" cm="1">
        <f t="array" ref="F243">_xlfn.SWITCH(Sheet5!C243,FALSE,"NO",TRUE,"YES")</f>
        <v>NO</v>
      </c>
      <c r="G243" t="str" cm="1">
        <f t="array" ref="G243">_xlfn.SWITCH(Sheet5!B243,0,"Sunday",1,"Monday",2,"Tuesday",3,"Wednesday",4,"Thursday",5,"Friday",6,"Saturday")</f>
        <v>Tuesday</v>
      </c>
      <c r="H243" t="str" cm="1">
        <f t="array" ref="H243">_xlfn.SWITCH(Sheet5!D243, 1, "Clear Sky", 2, "Mist", 3, "Dark Cloud",4,"Heavy Rainfall")</f>
        <v>Mist</v>
      </c>
      <c r="I243" s="26">
        <f>Sheet5!E243*41</f>
        <v>8.2000000000000011</v>
      </c>
      <c r="J243" s="27">
        <v>0.51</v>
      </c>
      <c r="K243">
        <v>0.16420000000000001</v>
      </c>
      <c r="L243">
        <v>3</v>
      </c>
      <c r="M243">
        <v>51</v>
      </c>
      <c r="N243">
        <v>54</v>
      </c>
    </row>
    <row r="244" spans="1:14" x14ac:dyDescent="0.3">
      <c r="A244">
        <v>243</v>
      </c>
      <c r="B244" s="21">
        <v>40554</v>
      </c>
      <c r="C244" s="25" t="s">
        <v>16</v>
      </c>
      <c r="D244" s="25" t="str" cm="1">
        <f t="array" ref="D244">_xlfn.SWITCH(Sheet5!A244,1,"JANUARY",2,"FEBRUARY")</f>
        <v>JANUARY</v>
      </c>
      <c r="E244">
        <v>11</v>
      </c>
      <c r="F244" t="str" cm="1">
        <f t="array" ref="F244">_xlfn.SWITCH(Sheet5!C244,FALSE,"NO",TRUE,"YES")</f>
        <v>NO</v>
      </c>
      <c r="G244" t="str" cm="1">
        <f t="array" ref="G244">_xlfn.SWITCH(Sheet5!B244,0,"Sunday",1,"Monday",2,"Tuesday",3,"Wednesday",4,"Thursday",5,"Friday",6,"Saturday")</f>
        <v>Tuesday</v>
      </c>
      <c r="H244" t="str" cm="1">
        <f t="array" ref="H244">_xlfn.SWITCH(Sheet5!D244, 1, "Clear Sky", 2, "Mist", 3, "Dark Cloud",4,"Heavy Rainfall")</f>
        <v>Mist</v>
      </c>
      <c r="I244" s="26">
        <f>Sheet5!E244*41</f>
        <v>8.2000000000000011</v>
      </c>
      <c r="J244" s="27">
        <v>0.47</v>
      </c>
      <c r="K244">
        <v>0.1343</v>
      </c>
      <c r="L244">
        <v>4</v>
      </c>
      <c r="M244">
        <v>31</v>
      </c>
      <c r="N244">
        <v>35</v>
      </c>
    </row>
    <row r="245" spans="1:14" x14ac:dyDescent="0.3">
      <c r="A245">
        <v>244</v>
      </c>
      <c r="B245" s="21">
        <v>40554</v>
      </c>
      <c r="C245" s="25" t="s">
        <v>16</v>
      </c>
      <c r="D245" s="25" t="str" cm="1">
        <f t="array" ref="D245">_xlfn.SWITCH(Sheet5!A245,1,"JANUARY",2,"FEBRUARY")</f>
        <v>JANUARY</v>
      </c>
      <c r="E245">
        <v>12</v>
      </c>
      <c r="F245" t="str" cm="1">
        <f t="array" ref="F245">_xlfn.SWITCH(Sheet5!C245,FALSE,"NO",TRUE,"YES")</f>
        <v>NO</v>
      </c>
      <c r="G245" t="str" cm="1">
        <f t="array" ref="G245">_xlfn.SWITCH(Sheet5!B245,0,"Sunday",1,"Monday",2,"Tuesday",3,"Wednesday",4,"Thursday",5,"Friday",6,"Saturday")</f>
        <v>Tuesday</v>
      </c>
      <c r="H245" t="str" cm="1">
        <f t="array" ref="H245">_xlfn.SWITCH(Sheet5!D245, 1, "Clear Sky", 2, "Mist", 3, "Dark Cloud",4,"Heavy Rainfall")</f>
        <v>Mist</v>
      </c>
      <c r="I245" s="26">
        <f>Sheet5!E245*41</f>
        <v>8.2000000000000011</v>
      </c>
      <c r="J245" s="27">
        <v>0.51</v>
      </c>
      <c r="K245">
        <v>0.1045</v>
      </c>
      <c r="L245">
        <v>2</v>
      </c>
      <c r="M245">
        <v>55</v>
      </c>
      <c r="N245">
        <v>57</v>
      </c>
    </row>
    <row r="246" spans="1:14" x14ac:dyDescent="0.3">
      <c r="A246">
        <v>245</v>
      </c>
      <c r="B246" s="21">
        <v>40554</v>
      </c>
      <c r="C246" s="25" t="s">
        <v>16</v>
      </c>
      <c r="D246" s="25" t="str" cm="1">
        <f t="array" ref="D246">_xlfn.SWITCH(Sheet5!A246,1,"JANUARY",2,"FEBRUARY")</f>
        <v>JANUARY</v>
      </c>
      <c r="E246">
        <v>13</v>
      </c>
      <c r="F246" t="str" cm="1">
        <f t="array" ref="F246">_xlfn.SWITCH(Sheet5!C246,FALSE,"NO",TRUE,"YES")</f>
        <v>NO</v>
      </c>
      <c r="G246" t="str" cm="1">
        <f t="array" ref="G246">_xlfn.SWITCH(Sheet5!B246,0,"Sunday",1,"Monday",2,"Tuesday",3,"Wednesday",4,"Thursday",5,"Friday",6,"Saturday")</f>
        <v>Tuesday</v>
      </c>
      <c r="H246" t="str" cm="1">
        <f t="array" ref="H246">_xlfn.SWITCH(Sheet5!D246, 1, "Clear Sky", 2, "Mist", 3, "Dark Cloud",4,"Heavy Rainfall")</f>
        <v>Mist</v>
      </c>
      <c r="I246" s="26">
        <f>Sheet5!E246*41</f>
        <v>8.2000000000000011</v>
      </c>
      <c r="J246" s="27">
        <v>0.59</v>
      </c>
      <c r="K246">
        <v>8.9599999999999999E-2</v>
      </c>
      <c r="L246">
        <v>6</v>
      </c>
      <c r="M246">
        <v>46</v>
      </c>
      <c r="N246">
        <v>52</v>
      </c>
    </row>
    <row r="247" spans="1:14" x14ac:dyDescent="0.3">
      <c r="A247">
        <v>246</v>
      </c>
      <c r="B247" s="21">
        <v>40554</v>
      </c>
      <c r="C247" s="25" t="s">
        <v>16</v>
      </c>
      <c r="D247" s="25" t="str" cm="1">
        <f t="array" ref="D247">_xlfn.SWITCH(Sheet5!A247,1,"JANUARY",2,"FEBRUARY")</f>
        <v>JANUARY</v>
      </c>
      <c r="E247">
        <v>14</v>
      </c>
      <c r="F247" t="str" cm="1">
        <f t="array" ref="F247">_xlfn.SWITCH(Sheet5!C247,FALSE,"NO",TRUE,"YES")</f>
        <v>NO</v>
      </c>
      <c r="G247" t="str" cm="1">
        <f t="array" ref="G247">_xlfn.SWITCH(Sheet5!B247,0,"Sunday",1,"Monday",2,"Tuesday",3,"Wednesday",4,"Thursday",5,"Friday",6,"Saturday")</f>
        <v>Tuesday</v>
      </c>
      <c r="H247" t="str" cm="1">
        <f t="array" ref="H247">_xlfn.SWITCH(Sheet5!D247, 1, "Clear Sky", 2, "Mist", 3, "Dark Cloud",4,"Heavy Rainfall")</f>
        <v>Mist</v>
      </c>
      <c r="I247" s="26">
        <f>Sheet5!E247*41</f>
        <v>8.2000000000000011</v>
      </c>
      <c r="J247" s="27">
        <v>0.59</v>
      </c>
      <c r="K247">
        <v>8.9599999999999999E-2</v>
      </c>
      <c r="L247">
        <v>3</v>
      </c>
      <c r="M247">
        <v>60</v>
      </c>
      <c r="N247">
        <v>63</v>
      </c>
    </row>
    <row r="248" spans="1:14" x14ac:dyDescent="0.3">
      <c r="A248">
        <v>247</v>
      </c>
      <c r="B248" s="21">
        <v>40554</v>
      </c>
      <c r="C248" s="25" t="s">
        <v>16</v>
      </c>
      <c r="D248" s="25" t="str" cm="1">
        <f t="array" ref="D248">_xlfn.SWITCH(Sheet5!A248,1,"JANUARY",2,"FEBRUARY")</f>
        <v>JANUARY</v>
      </c>
      <c r="E248">
        <v>15</v>
      </c>
      <c r="F248" t="str" cm="1">
        <f t="array" ref="F248">_xlfn.SWITCH(Sheet5!C248,FALSE,"NO",TRUE,"YES")</f>
        <v>NO</v>
      </c>
      <c r="G248" t="str" cm="1">
        <f t="array" ref="G248">_xlfn.SWITCH(Sheet5!B248,0,"Sunday",1,"Monday",2,"Tuesday",3,"Wednesday",4,"Thursday",5,"Friday",6,"Saturday")</f>
        <v>Tuesday</v>
      </c>
      <c r="H248" t="str" cm="1">
        <f t="array" ref="H248">_xlfn.SWITCH(Sheet5!D248, 1, "Clear Sky", 2, "Mist", 3, "Dark Cloud",4,"Heavy Rainfall")</f>
        <v>Mist</v>
      </c>
      <c r="I248" s="26">
        <f>Sheet5!E248*41</f>
        <v>6.5600000000000005</v>
      </c>
      <c r="J248" s="27">
        <v>0.8</v>
      </c>
      <c r="K248">
        <v>8.9599999999999999E-2</v>
      </c>
      <c r="L248">
        <v>2</v>
      </c>
      <c r="M248">
        <v>45</v>
      </c>
      <c r="N248">
        <v>47</v>
      </c>
    </row>
    <row r="249" spans="1:14" x14ac:dyDescent="0.3">
      <c r="A249">
        <v>248</v>
      </c>
      <c r="B249" s="21">
        <v>40554</v>
      </c>
      <c r="C249" s="25" t="s">
        <v>16</v>
      </c>
      <c r="D249" s="25" t="str" cm="1">
        <f t="array" ref="D249">_xlfn.SWITCH(Sheet5!A249,1,"JANUARY",2,"FEBRUARY")</f>
        <v>JANUARY</v>
      </c>
      <c r="E249">
        <v>16</v>
      </c>
      <c r="F249" t="str" cm="1">
        <f t="array" ref="F249">_xlfn.SWITCH(Sheet5!C249,FALSE,"NO",TRUE,"YES")</f>
        <v>NO</v>
      </c>
      <c r="G249" t="str" cm="1">
        <f t="array" ref="G249">_xlfn.SWITCH(Sheet5!B249,0,"Sunday",1,"Monday",2,"Tuesday",3,"Wednesday",4,"Thursday",5,"Friday",6,"Saturday")</f>
        <v>Tuesday</v>
      </c>
      <c r="H249" t="str" cm="1">
        <f t="array" ref="H249">_xlfn.SWITCH(Sheet5!D249, 1, "Clear Sky", 2, "Mist", 3, "Dark Cloud",4,"Heavy Rainfall")</f>
        <v>Mist</v>
      </c>
      <c r="I249" s="26">
        <f>Sheet5!E249*41</f>
        <v>6.5600000000000005</v>
      </c>
      <c r="J249" s="27">
        <v>0.86</v>
      </c>
      <c r="K249">
        <v>0.22389999999999999</v>
      </c>
      <c r="L249">
        <v>4</v>
      </c>
      <c r="M249">
        <v>72</v>
      </c>
      <c r="N249">
        <v>76</v>
      </c>
    </row>
    <row r="250" spans="1:14" x14ac:dyDescent="0.3">
      <c r="A250">
        <v>249</v>
      </c>
      <c r="B250" s="21">
        <v>40554</v>
      </c>
      <c r="C250" s="25" t="s">
        <v>16</v>
      </c>
      <c r="D250" s="25" t="str" cm="1">
        <f t="array" ref="D250">_xlfn.SWITCH(Sheet5!A250,1,"JANUARY",2,"FEBRUARY")</f>
        <v>JANUARY</v>
      </c>
      <c r="E250">
        <v>17</v>
      </c>
      <c r="F250" t="str" cm="1">
        <f t="array" ref="F250">_xlfn.SWITCH(Sheet5!C250,FALSE,"NO",TRUE,"YES")</f>
        <v>NO</v>
      </c>
      <c r="G250" t="str" cm="1">
        <f t="array" ref="G250">_xlfn.SWITCH(Sheet5!B250,0,"Sunday",1,"Monday",2,"Tuesday",3,"Wednesday",4,"Thursday",5,"Friday",6,"Saturday")</f>
        <v>Tuesday</v>
      </c>
      <c r="H250" t="str" cm="1">
        <f t="array" ref="H250">_xlfn.SWITCH(Sheet5!D250, 1, "Clear Sky", 2, "Mist", 3, "Dark Cloud",4,"Heavy Rainfall")</f>
        <v>Mist</v>
      </c>
      <c r="I250" s="26">
        <f>Sheet5!E250*41</f>
        <v>6.5600000000000005</v>
      </c>
      <c r="J250" s="27">
        <v>0.86</v>
      </c>
      <c r="K250">
        <v>0.22389999999999999</v>
      </c>
      <c r="L250">
        <v>6</v>
      </c>
      <c r="M250">
        <v>130</v>
      </c>
      <c r="N250">
        <v>136</v>
      </c>
    </row>
    <row r="251" spans="1:14" x14ac:dyDescent="0.3">
      <c r="A251">
        <v>250</v>
      </c>
      <c r="B251" s="21">
        <v>40554</v>
      </c>
      <c r="C251" s="25" t="s">
        <v>16</v>
      </c>
      <c r="D251" s="25" t="str" cm="1">
        <f t="array" ref="D251">_xlfn.SWITCH(Sheet5!A251,1,"JANUARY",2,"FEBRUARY")</f>
        <v>JANUARY</v>
      </c>
      <c r="E251">
        <v>18</v>
      </c>
      <c r="F251" t="str" cm="1">
        <f t="array" ref="F251">_xlfn.SWITCH(Sheet5!C251,FALSE,"NO",TRUE,"YES")</f>
        <v>NO</v>
      </c>
      <c r="G251" t="str" cm="1">
        <f t="array" ref="G251">_xlfn.SWITCH(Sheet5!B251,0,"Sunday",1,"Monday",2,"Tuesday",3,"Wednesday",4,"Thursday",5,"Friday",6,"Saturday")</f>
        <v>Tuesday</v>
      </c>
      <c r="H251" t="str" cm="1">
        <f t="array" ref="H251">_xlfn.SWITCH(Sheet5!D251, 1, "Clear Sky", 2, "Mist", 3, "Dark Cloud",4,"Heavy Rainfall")</f>
        <v>Dark Cloud</v>
      </c>
      <c r="I251" s="26">
        <f>Sheet5!E251*41</f>
        <v>6.5600000000000005</v>
      </c>
      <c r="J251" s="27">
        <v>0.93</v>
      </c>
      <c r="K251">
        <v>0.1045</v>
      </c>
      <c r="L251">
        <v>1</v>
      </c>
      <c r="M251">
        <v>94</v>
      </c>
      <c r="N251">
        <v>95</v>
      </c>
    </row>
    <row r="252" spans="1:14" x14ac:dyDescent="0.3">
      <c r="A252">
        <v>251</v>
      </c>
      <c r="B252" s="21">
        <v>40554</v>
      </c>
      <c r="C252" s="25" t="s">
        <v>16</v>
      </c>
      <c r="D252" s="25" t="str" cm="1">
        <f t="array" ref="D252">_xlfn.SWITCH(Sheet5!A252,1,"JANUARY",2,"FEBRUARY")</f>
        <v>JANUARY</v>
      </c>
      <c r="E252">
        <v>19</v>
      </c>
      <c r="F252" t="str" cm="1">
        <f t="array" ref="F252">_xlfn.SWITCH(Sheet5!C252,FALSE,"NO",TRUE,"YES")</f>
        <v>NO</v>
      </c>
      <c r="G252" t="str" cm="1">
        <f t="array" ref="G252">_xlfn.SWITCH(Sheet5!B252,0,"Sunday",1,"Monday",2,"Tuesday",3,"Wednesday",4,"Thursday",5,"Friday",6,"Saturday")</f>
        <v>Tuesday</v>
      </c>
      <c r="H252" t="str" cm="1">
        <f t="array" ref="H252">_xlfn.SWITCH(Sheet5!D252, 1, "Clear Sky", 2, "Mist", 3, "Dark Cloud",4,"Heavy Rainfall")</f>
        <v>Dark Cloud</v>
      </c>
      <c r="I252" s="26">
        <f>Sheet5!E252*41</f>
        <v>6.5600000000000005</v>
      </c>
      <c r="J252" s="27">
        <v>0.93</v>
      </c>
      <c r="K252">
        <v>0</v>
      </c>
      <c r="L252">
        <v>0</v>
      </c>
      <c r="M252">
        <v>51</v>
      </c>
      <c r="N252">
        <v>51</v>
      </c>
    </row>
    <row r="253" spans="1:14" x14ac:dyDescent="0.3">
      <c r="A253">
        <v>252</v>
      </c>
      <c r="B253" s="21">
        <v>40554</v>
      </c>
      <c r="C253" s="25" t="s">
        <v>16</v>
      </c>
      <c r="D253" s="25" t="str" cm="1">
        <f t="array" ref="D253">_xlfn.SWITCH(Sheet5!A253,1,"JANUARY",2,"FEBRUARY")</f>
        <v>JANUARY</v>
      </c>
      <c r="E253">
        <v>20</v>
      </c>
      <c r="F253" t="str" cm="1">
        <f t="array" ref="F253">_xlfn.SWITCH(Sheet5!C253,FALSE,"NO",TRUE,"YES")</f>
        <v>NO</v>
      </c>
      <c r="G253" t="str" cm="1">
        <f t="array" ref="G253">_xlfn.SWITCH(Sheet5!B253,0,"Sunday",1,"Monday",2,"Tuesday",3,"Wednesday",4,"Thursday",5,"Friday",6,"Saturday")</f>
        <v>Tuesday</v>
      </c>
      <c r="H253" t="str" cm="1">
        <f t="array" ref="H253">_xlfn.SWITCH(Sheet5!D253, 1, "Clear Sky", 2, "Mist", 3, "Dark Cloud",4,"Heavy Rainfall")</f>
        <v>Dark Cloud</v>
      </c>
      <c r="I253" s="26">
        <f>Sheet5!E253*41</f>
        <v>6.5600000000000005</v>
      </c>
      <c r="J253" s="27">
        <v>0.93</v>
      </c>
      <c r="K253">
        <v>0.19400000000000001</v>
      </c>
      <c r="L253">
        <v>0</v>
      </c>
      <c r="M253">
        <v>32</v>
      </c>
      <c r="N253">
        <v>32</v>
      </c>
    </row>
    <row r="254" spans="1:14" x14ac:dyDescent="0.3">
      <c r="A254">
        <v>253</v>
      </c>
      <c r="B254" s="21">
        <v>40554</v>
      </c>
      <c r="C254" s="25" t="s">
        <v>16</v>
      </c>
      <c r="D254" s="25" t="str" cm="1">
        <f t="array" ref="D254">_xlfn.SWITCH(Sheet5!A254,1,"JANUARY",2,"FEBRUARY")</f>
        <v>JANUARY</v>
      </c>
      <c r="E254">
        <v>21</v>
      </c>
      <c r="F254" t="str" cm="1">
        <f t="array" ref="F254">_xlfn.SWITCH(Sheet5!C254,FALSE,"NO",TRUE,"YES")</f>
        <v>NO</v>
      </c>
      <c r="G254" t="str" cm="1">
        <f t="array" ref="G254">_xlfn.SWITCH(Sheet5!B254,0,"Sunday",1,"Monday",2,"Tuesday",3,"Wednesday",4,"Thursday",5,"Friday",6,"Saturday")</f>
        <v>Tuesday</v>
      </c>
      <c r="H254" t="str" cm="1">
        <f t="array" ref="H254">_xlfn.SWITCH(Sheet5!D254, 1, "Clear Sky", 2, "Mist", 3, "Dark Cloud",4,"Heavy Rainfall")</f>
        <v>Dark Cloud</v>
      </c>
      <c r="I254" s="26">
        <f>Sheet5!E254*41</f>
        <v>6.5600000000000005</v>
      </c>
      <c r="J254" s="27">
        <v>0.86</v>
      </c>
      <c r="K254">
        <v>8.9599999999999999E-2</v>
      </c>
      <c r="L254">
        <v>0</v>
      </c>
      <c r="M254">
        <v>20</v>
      </c>
      <c r="N254">
        <v>20</v>
      </c>
    </row>
    <row r="255" spans="1:14" x14ac:dyDescent="0.3">
      <c r="A255">
        <v>254</v>
      </c>
      <c r="B255" s="21">
        <v>40554</v>
      </c>
      <c r="C255" s="25" t="s">
        <v>16</v>
      </c>
      <c r="D255" s="25" t="str" cm="1">
        <f t="array" ref="D255">_xlfn.SWITCH(Sheet5!A255,1,"JANUARY",2,"FEBRUARY")</f>
        <v>JANUARY</v>
      </c>
      <c r="E255">
        <v>22</v>
      </c>
      <c r="F255" t="str" cm="1">
        <f t="array" ref="F255">_xlfn.SWITCH(Sheet5!C255,FALSE,"NO",TRUE,"YES")</f>
        <v>NO</v>
      </c>
      <c r="G255" t="str" cm="1">
        <f t="array" ref="G255">_xlfn.SWITCH(Sheet5!B255,0,"Sunday",1,"Monday",2,"Tuesday",3,"Wednesday",4,"Thursday",5,"Friday",6,"Saturday")</f>
        <v>Tuesday</v>
      </c>
      <c r="H255" t="str" cm="1">
        <f t="array" ref="H255">_xlfn.SWITCH(Sheet5!D255, 1, "Clear Sky", 2, "Mist", 3, "Dark Cloud",4,"Heavy Rainfall")</f>
        <v>Dark Cloud</v>
      </c>
      <c r="I255" s="26">
        <f>Sheet5!E255*41</f>
        <v>6.5600000000000005</v>
      </c>
      <c r="J255" s="27">
        <v>0.93</v>
      </c>
      <c r="K255">
        <v>0.1045</v>
      </c>
      <c r="L255">
        <v>1</v>
      </c>
      <c r="M255">
        <v>28</v>
      </c>
      <c r="N255">
        <v>29</v>
      </c>
    </row>
    <row r="256" spans="1:14" x14ac:dyDescent="0.3">
      <c r="A256">
        <v>255</v>
      </c>
      <c r="B256" s="21">
        <v>40554</v>
      </c>
      <c r="C256" s="25" t="s">
        <v>16</v>
      </c>
      <c r="D256" s="25" t="str" cm="1">
        <f t="array" ref="D256">_xlfn.SWITCH(Sheet5!A256,1,"JANUARY",2,"FEBRUARY")</f>
        <v>JANUARY</v>
      </c>
      <c r="E256">
        <v>23</v>
      </c>
      <c r="F256" t="str" cm="1">
        <f t="array" ref="F256">_xlfn.SWITCH(Sheet5!C256,FALSE,"NO",TRUE,"YES")</f>
        <v>NO</v>
      </c>
      <c r="G256" t="str" cm="1">
        <f t="array" ref="G256">_xlfn.SWITCH(Sheet5!B256,0,"Sunday",1,"Monday",2,"Tuesday",3,"Wednesday",4,"Thursday",5,"Friday",6,"Saturday")</f>
        <v>Tuesday</v>
      </c>
      <c r="H256" t="str" cm="1">
        <f t="array" ref="H256">_xlfn.SWITCH(Sheet5!D256, 1, "Clear Sky", 2, "Mist", 3, "Dark Cloud",4,"Heavy Rainfall")</f>
        <v>Dark Cloud</v>
      </c>
      <c r="I256" s="26">
        <f>Sheet5!E256*41</f>
        <v>6.5600000000000005</v>
      </c>
      <c r="J256" s="27">
        <v>0.93</v>
      </c>
      <c r="K256">
        <v>8.9599999999999999E-2</v>
      </c>
      <c r="L256">
        <v>1</v>
      </c>
      <c r="M256">
        <v>18</v>
      </c>
      <c r="N256">
        <v>19</v>
      </c>
    </row>
    <row r="257" spans="1:14" x14ac:dyDescent="0.3">
      <c r="A257">
        <v>256</v>
      </c>
      <c r="B257" s="21">
        <v>40555</v>
      </c>
      <c r="C257" s="25" t="s">
        <v>16</v>
      </c>
      <c r="D257" s="25" t="str" cm="1">
        <f t="array" ref="D257">_xlfn.SWITCH(Sheet5!A257,1,"JANUARY",2,"FEBRUARY")</f>
        <v>JANUARY</v>
      </c>
      <c r="E257">
        <v>0</v>
      </c>
      <c r="F257" t="str" cm="1">
        <f t="array" ref="F257">_xlfn.SWITCH(Sheet5!C257,FALSE,"NO",TRUE,"YES")</f>
        <v>NO</v>
      </c>
      <c r="G257" t="str" cm="1">
        <f t="array" ref="G257">_xlfn.SWITCH(Sheet5!B257,0,"Sunday",1,"Monday",2,"Tuesday",3,"Wednesday",4,"Thursday",5,"Friday",6,"Saturday")</f>
        <v>Wednesday</v>
      </c>
      <c r="H257" t="str" cm="1">
        <f t="array" ref="H257">_xlfn.SWITCH(Sheet5!D257, 1, "Clear Sky", 2, "Mist", 3, "Dark Cloud",4,"Heavy Rainfall")</f>
        <v>Mist</v>
      </c>
      <c r="I257" s="26">
        <f>Sheet5!E257*41</f>
        <v>6.5600000000000005</v>
      </c>
      <c r="J257" s="27">
        <v>0.86</v>
      </c>
      <c r="K257">
        <v>8.9599999999999999E-2</v>
      </c>
      <c r="L257">
        <v>0</v>
      </c>
      <c r="M257">
        <v>7</v>
      </c>
      <c r="N257">
        <v>7</v>
      </c>
    </row>
    <row r="258" spans="1:14" x14ac:dyDescent="0.3">
      <c r="A258">
        <v>257</v>
      </c>
      <c r="B258" s="21">
        <v>40555</v>
      </c>
      <c r="C258" s="25" t="s">
        <v>16</v>
      </c>
      <c r="D258" s="25" t="str" cm="1">
        <f t="array" ref="D258">_xlfn.SWITCH(Sheet5!A258,1,"JANUARY",2,"FEBRUARY")</f>
        <v>JANUARY</v>
      </c>
      <c r="E258">
        <v>1</v>
      </c>
      <c r="F258" t="str" cm="1">
        <f t="array" ref="F258">_xlfn.SWITCH(Sheet5!C258,FALSE,"NO",TRUE,"YES")</f>
        <v>NO</v>
      </c>
      <c r="G258" t="str" cm="1">
        <f t="array" ref="G258">_xlfn.SWITCH(Sheet5!B258,0,"Sunday",1,"Monday",2,"Tuesday",3,"Wednesday",4,"Thursday",5,"Friday",6,"Saturday")</f>
        <v>Wednesday</v>
      </c>
      <c r="H258" t="str" cm="1">
        <f t="array" ref="H258">_xlfn.SWITCH(Sheet5!D258, 1, "Clear Sky", 2, "Mist", 3, "Dark Cloud",4,"Heavy Rainfall")</f>
        <v>Mist</v>
      </c>
      <c r="I258" s="26">
        <f>Sheet5!E258*41</f>
        <v>6.5600000000000005</v>
      </c>
      <c r="J258" s="27">
        <v>0.86</v>
      </c>
      <c r="K258">
        <v>0.1045</v>
      </c>
      <c r="L258">
        <v>0</v>
      </c>
      <c r="M258">
        <v>6</v>
      </c>
      <c r="N258">
        <v>6</v>
      </c>
    </row>
    <row r="259" spans="1:14" x14ac:dyDescent="0.3">
      <c r="A259">
        <v>258</v>
      </c>
      <c r="B259" s="21">
        <v>40555</v>
      </c>
      <c r="C259" s="25" t="s">
        <v>16</v>
      </c>
      <c r="D259" s="25" t="str" cm="1">
        <f t="array" ref="D259">_xlfn.SWITCH(Sheet5!A259,1,"JANUARY",2,"FEBRUARY")</f>
        <v>JANUARY</v>
      </c>
      <c r="E259">
        <v>2</v>
      </c>
      <c r="F259" t="str" cm="1">
        <f t="array" ref="F259">_xlfn.SWITCH(Sheet5!C259,FALSE,"NO",TRUE,"YES")</f>
        <v>NO</v>
      </c>
      <c r="G259" t="str" cm="1">
        <f t="array" ref="G259">_xlfn.SWITCH(Sheet5!B259,0,"Sunday",1,"Monday",2,"Tuesday",3,"Wednesday",4,"Thursday",5,"Friday",6,"Saturday")</f>
        <v>Wednesday</v>
      </c>
      <c r="H259" t="str" cm="1">
        <f t="array" ref="H259">_xlfn.SWITCH(Sheet5!D259, 1, "Clear Sky", 2, "Mist", 3, "Dark Cloud",4,"Heavy Rainfall")</f>
        <v>Clear Sky</v>
      </c>
      <c r="I259" s="26">
        <f>Sheet5!E259*41</f>
        <v>5.74</v>
      </c>
      <c r="J259" s="27">
        <v>0.86</v>
      </c>
      <c r="K259">
        <v>0.1343</v>
      </c>
      <c r="L259">
        <v>0</v>
      </c>
      <c r="M259">
        <v>1</v>
      </c>
      <c r="N259">
        <v>1</v>
      </c>
    </row>
    <row r="260" spans="1:14" x14ac:dyDescent="0.3">
      <c r="A260">
        <v>259</v>
      </c>
      <c r="B260" s="21">
        <v>40555</v>
      </c>
      <c r="C260" s="25" t="s">
        <v>16</v>
      </c>
      <c r="D260" s="25" t="str" cm="1">
        <f t="array" ref="D260">_xlfn.SWITCH(Sheet5!A260,1,"JANUARY",2,"FEBRUARY")</f>
        <v>JANUARY</v>
      </c>
      <c r="E260">
        <v>5</v>
      </c>
      <c r="F260" t="str" cm="1">
        <f t="array" ref="F260">_xlfn.SWITCH(Sheet5!C260,FALSE,"NO",TRUE,"YES")</f>
        <v>NO</v>
      </c>
      <c r="G260" t="str" cm="1">
        <f t="array" ref="G260">_xlfn.SWITCH(Sheet5!B260,0,"Sunday",1,"Monday",2,"Tuesday",3,"Wednesday",4,"Thursday",5,"Friday",6,"Saturday")</f>
        <v>Wednesday</v>
      </c>
      <c r="H260" t="str" cm="1">
        <f t="array" ref="H260">_xlfn.SWITCH(Sheet5!D260, 1, "Clear Sky", 2, "Mist", 3, "Dark Cloud",4,"Heavy Rainfall")</f>
        <v>Clear Sky</v>
      </c>
      <c r="I260" s="26">
        <f>Sheet5!E260*41</f>
        <v>5.74</v>
      </c>
      <c r="J260" s="27">
        <v>0.86</v>
      </c>
      <c r="K260">
        <v>0.16420000000000001</v>
      </c>
      <c r="L260">
        <v>0</v>
      </c>
      <c r="M260">
        <v>5</v>
      </c>
      <c r="N260">
        <v>5</v>
      </c>
    </row>
    <row r="261" spans="1:14" x14ac:dyDescent="0.3">
      <c r="A261">
        <v>260</v>
      </c>
      <c r="B261" s="21">
        <v>40555</v>
      </c>
      <c r="C261" s="25" t="s">
        <v>16</v>
      </c>
      <c r="D261" s="25" t="str" cm="1">
        <f t="array" ref="D261">_xlfn.SWITCH(Sheet5!A261,1,"JANUARY",2,"FEBRUARY")</f>
        <v>JANUARY</v>
      </c>
      <c r="E261">
        <v>6</v>
      </c>
      <c r="F261" t="str" cm="1">
        <f t="array" ref="F261">_xlfn.SWITCH(Sheet5!C261,FALSE,"NO",TRUE,"YES")</f>
        <v>NO</v>
      </c>
      <c r="G261" t="str" cm="1">
        <f t="array" ref="G261">_xlfn.SWITCH(Sheet5!B261,0,"Sunday",1,"Monday",2,"Tuesday",3,"Wednesday",4,"Thursday",5,"Friday",6,"Saturday")</f>
        <v>Wednesday</v>
      </c>
      <c r="H261" t="str" cm="1">
        <f t="array" ref="H261">_xlfn.SWITCH(Sheet5!D261, 1, "Clear Sky", 2, "Mist", 3, "Dark Cloud",4,"Heavy Rainfall")</f>
        <v>Clear Sky</v>
      </c>
      <c r="I261" s="26">
        <f>Sheet5!E261*41</f>
        <v>4.92</v>
      </c>
      <c r="J261" s="27">
        <v>0.93</v>
      </c>
      <c r="K261">
        <v>0.1343</v>
      </c>
      <c r="L261">
        <v>0</v>
      </c>
      <c r="M261">
        <v>16</v>
      </c>
      <c r="N261">
        <v>16</v>
      </c>
    </row>
    <row r="262" spans="1:14" x14ac:dyDescent="0.3">
      <c r="A262">
        <v>261</v>
      </c>
      <c r="B262" s="21">
        <v>40555</v>
      </c>
      <c r="C262" s="25" t="s">
        <v>16</v>
      </c>
      <c r="D262" s="25" t="str" cm="1">
        <f t="array" ref="D262">_xlfn.SWITCH(Sheet5!A262,1,"JANUARY",2,"FEBRUARY")</f>
        <v>JANUARY</v>
      </c>
      <c r="E262">
        <v>7</v>
      </c>
      <c r="F262" t="str" cm="1">
        <f t="array" ref="F262">_xlfn.SWITCH(Sheet5!C262,FALSE,"NO",TRUE,"YES")</f>
        <v>NO</v>
      </c>
      <c r="G262" t="str" cm="1">
        <f t="array" ref="G262">_xlfn.SWITCH(Sheet5!B262,0,"Sunday",1,"Monday",2,"Tuesday",3,"Wednesday",4,"Thursday",5,"Friday",6,"Saturday")</f>
        <v>Wednesday</v>
      </c>
      <c r="H262" t="str" cm="1">
        <f t="array" ref="H262">_xlfn.SWITCH(Sheet5!D262, 1, "Clear Sky", 2, "Mist", 3, "Dark Cloud",4,"Heavy Rainfall")</f>
        <v>Clear Sky</v>
      </c>
      <c r="I262" s="26">
        <f>Sheet5!E262*41</f>
        <v>5.74</v>
      </c>
      <c r="J262" s="27">
        <v>0.69</v>
      </c>
      <c r="K262">
        <v>0.1343</v>
      </c>
      <c r="L262">
        <v>0</v>
      </c>
      <c r="M262">
        <v>54</v>
      </c>
      <c r="N262">
        <v>54</v>
      </c>
    </row>
    <row r="263" spans="1:14" x14ac:dyDescent="0.3">
      <c r="A263">
        <v>262</v>
      </c>
      <c r="B263" s="21">
        <v>40555</v>
      </c>
      <c r="C263" s="25" t="s">
        <v>16</v>
      </c>
      <c r="D263" s="25" t="str" cm="1">
        <f t="array" ref="D263">_xlfn.SWITCH(Sheet5!A263,1,"JANUARY",2,"FEBRUARY")</f>
        <v>JANUARY</v>
      </c>
      <c r="E263">
        <v>8</v>
      </c>
      <c r="F263" t="str" cm="1">
        <f t="array" ref="F263">_xlfn.SWITCH(Sheet5!C263,FALSE,"NO",TRUE,"YES")</f>
        <v>NO</v>
      </c>
      <c r="G263" t="str" cm="1">
        <f t="array" ref="G263">_xlfn.SWITCH(Sheet5!B263,0,"Sunday",1,"Monday",2,"Tuesday",3,"Wednesday",4,"Thursday",5,"Friday",6,"Saturday")</f>
        <v>Wednesday</v>
      </c>
      <c r="H263" t="str" cm="1">
        <f t="array" ref="H263">_xlfn.SWITCH(Sheet5!D263, 1, "Clear Sky", 2, "Mist", 3, "Dark Cloud",4,"Heavy Rainfall")</f>
        <v>Clear Sky</v>
      </c>
      <c r="I263" s="26">
        <f>Sheet5!E263*41</f>
        <v>6.5600000000000005</v>
      </c>
      <c r="J263" s="27">
        <v>0.59</v>
      </c>
      <c r="K263">
        <v>0.16420000000000001</v>
      </c>
      <c r="L263">
        <v>3</v>
      </c>
      <c r="M263">
        <v>125</v>
      </c>
      <c r="N263">
        <v>128</v>
      </c>
    </row>
    <row r="264" spans="1:14" x14ac:dyDescent="0.3">
      <c r="A264">
        <v>263</v>
      </c>
      <c r="B264" s="21">
        <v>40555</v>
      </c>
      <c r="C264" s="25" t="s">
        <v>16</v>
      </c>
      <c r="D264" s="25" t="str" cm="1">
        <f t="array" ref="D264">_xlfn.SWITCH(Sheet5!A264,1,"JANUARY",2,"FEBRUARY")</f>
        <v>JANUARY</v>
      </c>
      <c r="E264">
        <v>9</v>
      </c>
      <c r="F264" t="str" cm="1">
        <f t="array" ref="F264">_xlfn.SWITCH(Sheet5!C264,FALSE,"NO",TRUE,"YES")</f>
        <v>NO</v>
      </c>
      <c r="G264" t="str" cm="1">
        <f t="array" ref="G264">_xlfn.SWITCH(Sheet5!B264,0,"Sunday",1,"Monday",2,"Tuesday",3,"Wednesday",4,"Thursday",5,"Friday",6,"Saturday")</f>
        <v>Wednesday</v>
      </c>
      <c r="H264" t="str" cm="1">
        <f t="array" ref="H264">_xlfn.SWITCH(Sheet5!D264, 1, "Clear Sky", 2, "Mist", 3, "Dark Cloud",4,"Heavy Rainfall")</f>
        <v>Clear Sky</v>
      </c>
      <c r="I264" s="26">
        <f>Sheet5!E264*41</f>
        <v>6.5600000000000005</v>
      </c>
      <c r="J264" s="27">
        <v>0.59</v>
      </c>
      <c r="K264">
        <v>0.32840000000000003</v>
      </c>
      <c r="L264">
        <v>3</v>
      </c>
      <c r="M264">
        <v>78</v>
      </c>
      <c r="N264">
        <v>81</v>
      </c>
    </row>
    <row r="265" spans="1:14" x14ac:dyDescent="0.3">
      <c r="A265">
        <v>264</v>
      </c>
      <c r="B265" s="21">
        <v>40555</v>
      </c>
      <c r="C265" s="25" t="s">
        <v>16</v>
      </c>
      <c r="D265" s="25" t="str" cm="1">
        <f t="array" ref="D265">_xlfn.SWITCH(Sheet5!A265,1,"JANUARY",2,"FEBRUARY")</f>
        <v>JANUARY</v>
      </c>
      <c r="E265">
        <v>10</v>
      </c>
      <c r="F265" t="str" cm="1">
        <f t="array" ref="F265">_xlfn.SWITCH(Sheet5!C265,FALSE,"NO",TRUE,"YES")</f>
        <v>NO</v>
      </c>
      <c r="G265" t="str" cm="1">
        <f t="array" ref="G265">_xlfn.SWITCH(Sheet5!B265,0,"Sunday",1,"Monday",2,"Tuesday",3,"Wednesday",4,"Thursday",5,"Friday",6,"Saturday")</f>
        <v>Wednesday</v>
      </c>
      <c r="H265" t="str" cm="1">
        <f t="array" ref="H265">_xlfn.SWITCH(Sheet5!D265, 1, "Clear Sky", 2, "Mist", 3, "Dark Cloud",4,"Heavy Rainfall")</f>
        <v>Clear Sky</v>
      </c>
      <c r="I265" s="26">
        <f>Sheet5!E265*41</f>
        <v>7.38</v>
      </c>
      <c r="J265" s="27">
        <v>0.55000000000000004</v>
      </c>
      <c r="K265">
        <v>0.22389999999999999</v>
      </c>
      <c r="L265">
        <v>0</v>
      </c>
      <c r="M265">
        <v>39</v>
      </c>
      <c r="N265">
        <v>39</v>
      </c>
    </row>
    <row r="266" spans="1:14" x14ac:dyDescent="0.3">
      <c r="A266">
        <v>265</v>
      </c>
      <c r="B266" s="21">
        <v>40555</v>
      </c>
      <c r="C266" s="25" t="s">
        <v>16</v>
      </c>
      <c r="D266" s="25" t="str" cm="1">
        <f t="array" ref="D266">_xlfn.SWITCH(Sheet5!A266,1,"JANUARY",2,"FEBRUARY")</f>
        <v>JANUARY</v>
      </c>
      <c r="E266">
        <v>11</v>
      </c>
      <c r="F266" t="str" cm="1">
        <f t="array" ref="F266">_xlfn.SWITCH(Sheet5!C266,FALSE,"NO",TRUE,"YES")</f>
        <v>NO</v>
      </c>
      <c r="G266" t="str" cm="1">
        <f t="array" ref="G266">_xlfn.SWITCH(Sheet5!B266,0,"Sunday",1,"Monday",2,"Tuesday",3,"Wednesday",4,"Thursday",5,"Friday",6,"Saturday")</f>
        <v>Wednesday</v>
      </c>
      <c r="H266" t="str" cm="1">
        <f t="array" ref="H266">_xlfn.SWITCH(Sheet5!D266, 1, "Clear Sky", 2, "Mist", 3, "Dark Cloud",4,"Heavy Rainfall")</f>
        <v>Clear Sky</v>
      </c>
      <c r="I266" s="26">
        <f>Sheet5!E266*41</f>
        <v>8.2000000000000011</v>
      </c>
      <c r="J266" s="27">
        <v>0.51</v>
      </c>
      <c r="K266">
        <v>0.3881</v>
      </c>
      <c r="L266">
        <v>3</v>
      </c>
      <c r="M266">
        <v>32</v>
      </c>
      <c r="N266">
        <v>35</v>
      </c>
    </row>
    <row r="267" spans="1:14" x14ac:dyDescent="0.3">
      <c r="A267">
        <v>266</v>
      </c>
      <c r="B267" s="21">
        <v>40555</v>
      </c>
      <c r="C267" s="25" t="s">
        <v>16</v>
      </c>
      <c r="D267" s="25" t="str" cm="1">
        <f t="array" ref="D267">_xlfn.SWITCH(Sheet5!A267,1,"JANUARY",2,"FEBRUARY")</f>
        <v>JANUARY</v>
      </c>
      <c r="E267">
        <v>12</v>
      </c>
      <c r="F267" t="str" cm="1">
        <f t="array" ref="F267">_xlfn.SWITCH(Sheet5!C267,FALSE,"NO",TRUE,"YES")</f>
        <v>NO</v>
      </c>
      <c r="G267" t="str" cm="1">
        <f t="array" ref="G267">_xlfn.SWITCH(Sheet5!B267,0,"Sunday",1,"Monday",2,"Tuesday",3,"Wednesday",4,"Thursday",5,"Friday",6,"Saturday")</f>
        <v>Wednesday</v>
      </c>
      <c r="H267" t="str" cm="1">
        <f t="array" ref="H267">_xlfn.SWITCH(Sheet5!D267, 1, "Clear Sky", 2, "Mist", 3, "Dark Cloud",4,"Heavy Rainfall")</f>
        <v>Clear Sky</v>
      </c>
      <c r="I267" s="26">
        <f>Sheet5!E267*41</f>
        <v>8.2000000000000011</v>
      </c>
      <c r="J267" s="27">
        <v>0.47</v>
      </c>
      <c r="K267">
        <v>0.58209999999999995</v>
      </c>
      <c r="L267">
        <v>3</v>
      </c>
      <c r="M267">
        <v>52</v>
      </c>
      <c r="N267">
        <v>55</v>
      </c>
    </row>
    <row r="268" spans="1:14" x14ac:dyDescent="0.3">
      <c r="A268">
        <v>267</v>
      </c>
      <c r="B268" s="21">
        <v>40555</v>
      </c>
      <c r="C268" s="25" t="s">
        <v>16</v>
      </c>
      <c r="D268" s="25" t="str" cm="1">
        <f t="array" ref="D268">_xlfn.SWITCH(Sheet5!A268,1,"JANUARY",2,"FEBRUARY")</f>
        <v>JANUARY</v>
      </c>
      <c r="E268">
        <v>13</v>
      </c>
      <c r="F268" t="str" cm="1">
        <f t="array" ref="F268">_xlfn.SWITCH(Sheet5!C268,FALSE,"NO",TRUE,"YES")</f>
        <v>NO</v>
      </c>
      <c r="G268" t="str" cm="1">
        <f t="array" ref="G268">_xlfn.SWITCH(Sheet5!B268,0,"Sunday",1,"Monday",2,"Tuesday",3,"Wednesday",4,"Thursday",5,"Friday",6,"Saturday")</f>
        <v>Wednesday</v>
      </c>
      <c r="H268" t="str" cm="1">
        <f t="array" ref="H268">_xlfn.SWITCH(Sheet5!D268, 1, "Clear Sky", 2, "Mist", 3, "Dark Cloud",4,"Heavy Rainfall")</f>
        <v>Clear Sky</v>
      </c>
      <c r="I268" s="26">
        <f>Sheet5!E268*41</f>
        <v>9.02</v>
      </c>
      <c r="J268" s="27">
        <v>0.44</v>
      </c>
      <c r="K268">
        <v>0.35820000000000002</v>
      </c>
      <c r="L268">
        <v>0</v>
      </c>
      <c r="M268">
        <v>49</v>
      </c>
      <c r="N268">
        <v>49</v>
      </c>
    </row>
    <row r="269" spans="1:14" x14ac:dyDescent="0.3">
      <c r="A269">
        <v>268</v>
      </c>
      <c r="B269" s="21">
        <v>40555</v>
      </c>
      <c r="C269" s="25" t="s">
        <v>16</v>
      </c>
      <c r="D269" s="25" t="str" cm="1">
        <f t="array" ref="D269">_xlfn.SWITCH(Sheet5!A269,1,"JANUARY",2,"FEBRUARY")</f>
        <v>JANUARY</v>
      </c>
      <c r="E269">
        <v>14</v>
      </c>
      <c r="F269" t="str" cm="1">
        <f t="array" ref="F269">_xlfn.SWITCH(Sheet5!C269,FALSE,"NO",TRUE,"YES")</f>
        <v>NO</v>
      </c>
      <c r="G269" t="str" cm="1">
        <f t="array" ref="G269">_xlfn.SWITCH(Sheet5!B269,0,"Sunday",1,"Monday",2,"Tuesday",3,"Wednesday",4,"Thursday",5,"Friday",6,"Saturday")</f>
        <v>Wednesday</v>
      </c>
      <c r="H269" t="str" cm="1">
        <f t="array" ref="H269">_xlfn.SWITCH(Sheet5!D269, 1, "Clear Sky", 2, "Mist", 3, "Dark Cloud",4,"Heavy Rainfall")</f>
        <v>Clear Sky</v>
      </c>
      <c r="I269" s="26">
        <f>Sheet5!E269*41</f>
        <v>8.2000000000000011</v>
      </c>
      <c r="J269" s="27">
        <v>0.47</v>
      </c>
      <c r="K269">
        <v>0.32840000000000003</v>
      </c>
      <c r="L269">
        <v>0</v>
      </c>
      <c r="M269">
        <v>44</v>
      </c>
      <c r="N269">
        <v>44</v>
      </c>
    </row>
    <row r="270" spans="1:14" x14ac:dyDescent="0.3">
      <c r="A270">
        <v>269</v>
      </c>
      <c r="B270" s="21">
        <v>40555</v>
      </c>
      <c r="C270" s="25" t="s">
        <v>16</v>
      </c>
      <c r="D270" s="25" t="str" cm="1">
        <f t="array" ref="D270">_xlfn.SWITCH(Sheet5!A270,1,"JANUARY",2,"FEBRUARY")</f>
        <v>JANUARY</v>
      </c>
      <c r="E270">
        <v>15</v>
      </c>
      <c r="F270" t="str" cm="1">
        <f t="array" ref="F270">_xlfn.SWITCH(Sheet5!C270,FALSE,"NO",TRUE,"YES")</f>
        <v>NO</v>
      </c>
      <c r="G270" t="str" cm="1">
        <f t="array" ref="G270">_xlfn.SWITCH(Sheet5!B270,0,"Sunday",1,"Monday",2,"Tuesday",3,"Wednesday",4,"Thursday",5,"Friday",6,"Saturday")</f>
        <v>Wednesday</v>
      </c>
      <c r="H270" t="str" cm="1">
        <f t="array" ref="H270">_xlfn.SWITCH(Sheet5!D270, 1, "Clear Sky", 2, "Mist", 3, "Dark Cloud",4,"Heavy Rainfall")</f>
        <v>Clear Sky</v>
      </c>
      <c r="I270" s="26">
        <f>Sheet5!E270*41</f>
        <v>8.2000000000000011</v>
      </c>
      <c r="J270" s="27">
        <v>0.47</v>
      </c>
      <c r="K270">
        <v>0.41789999999999999</v>
      </c>
      <c r="L270">
        <v>1</v>
      </c>
      <c r="M270">
        <v>48</v>
      </c>
      <c r="N270">
        <v>49</v>
      </c>
    </row>
    <row r="271" spans="1:14" x14ac:dyDescent="0.3">
      <c r="A271">
        <v>270</v>
      </c>
      <c r="B271" s="21">
        <v>40555</v>
      </c>
      <c r="C271" s="25" t="s">
        <v>16</v>
      </c>
      <c r="D271" s="25" t="str" cm="1">
        <f t="array" ref="D271">_xlfn.SWITCH(Sheet5!A271,1,"JANUARY",2,"FEBRUARY")</f>
        <v>JANUARY</v>
      </c>
      <c r="E271">
        <v>16</v>
      </c>
      <c r="F271" t="str" cm="1">
        <f t="array" ref="F271">_xlfn.SWITCH(Sheet5!C271,FALSE,"NO",TRUE,"YES")</f>
        <v>NO</v>
      </c>
      <c r="G271" t="str" cm="1">
        <f t="array" ref="G271">_xlfn.SWITCH(Sheet5!B271,0,"Sunday",1,"Monday",2,"Tuesday",3,"Wednesday",4,"Thursday",5,"Friday",6,"Saturday")</f>
        <v>Wednesday</v>
      </c>
      <c r="H271" t="str" cm="1">
        <f t="array" ref="H271">_xlfn.SWITCH(Sheet5!D271, 1, "Clear Sky", 2, "Mist", 3, "Dark Cloud",4,"Heavy Rainfall")</f>
        <v>Clear Sky</v>
      </c>
      <c r="I271" s="26">
        <f>Sheet5!E271*41</f>
        <v>9.02</v>
      </c>
      <c r="J271" s="27">
        <v>0.44</v>
      </c>
      <c r="K271">
        <v>0.32840000000000003</v>
      </c>
      <c r="L271">
        <v>5</v>
      </c>
      <c r="M271">
        <v>63</v>
      </c>
      <c r="N271">
        <v>68</v>
      </c>
    </row>
    <row r="272" spans="1:14" x14ac:dyDescent="0.3">
      <c r="A272">
        <v>271</v>
      </c>
      <c r="B272" s="21">
        <v>40555</v>
      </c>
      <c r="C272" s="25" t="s">
        <v>16</v>
      </c>
      <c r="D272" s="25" t="str" cm="1">
        <f t="array" ref="D272">_xlfn.SWITCH(Sheet5!A272,1,"JANUARY",2,"FEBRUARY")</f>
        <v>JANUARY</v>
      </c>
      <c r="E272">
        <v>17</v>
      </c>
      <c r="F272" t="str" cm="1">
        <f t="array" ref="F272">_xlfn.SWITCH(Sheet5!C272,FALSE,"NO",TRUE,"YES")</f>
        <v>NO</v>
      </c>
      <c r="G272" t="str" cm="1">
        <f t="array" ref="G272">_xlfn.SWITCH(Sheet5!B272,0,"Sunday",1,"Monday",2,"Tuesday",3,"Wednesday",4,"Thursday",5,"Friday",6,"Saturday")</f>
        <v>Wednesday</v>
      </c>
      <c r="H272" t="str" cm="1">
        <f t="array" ref="H272">_xlfn.SWITCH(Sheet5!D272, 1, "Clear Sky", 2, "Mist", 3, "Dark Cloud",4,"Heavy Rainfall")</f>
        <v>Clear Sky</v>
      </c>
      <c r="I272" s="26">
        <f>Sheet5!E272*41</f>
        <v>8.2000000000000011</v>
      </c>
      <c r="J272" s="27">
        <v>0.47</v>
      </c>
      <c r="K272">
        <v>0.35820000000000002</v>
      </c>
      <c r="L272">
        <v>0</v>
      </c>
      <c r="M272">
        <v>139</v>
      </c>
      <c r="N272">
        <v>139</v>
      </c>
    </row>
    <row r="273" spans="1:14" x14ac:dyDescent="0.3">
      <c r="A273">
        <v>272</v>
      </c>
      <c r="B273" s="21">
        <v>40555</v>
      </c>
      <c r="C273" s="25" t="s">
        <v>16</v>
      </c>
      <c r="D273" s="25" t="str" cm="1">
        <f t="array" ref="D273">_xlfn.SWITCH(Sheet5!A273,1,"JANUARY",2,"FEBRUARY")</f>
        <v>JANUARY</v>
      </c>
      <c r="E273">
        <v>18</v>
      </c>
      <c r="F273" t="str" cm="1">
        <f t="array" ref="F273">_xlfn.SWITCH(Sheet5!C273,FALSE,"NO",TRUE,"YES")</f>
        <v>NO</v>
      </c>
      <c r="G273" t="str" cm="1">
        <f t="array" ref="G273">_xlfn.SWITCH(Sheet5!B273,0,"Sunday",1,"Monday",2,"Tuesday",3,"Wednesday",4,"Thursday",5,"Friday",6,"Saturday")</f>
        <v>Wednesday</v>
      </c>
      <c r="H273" t="str" cm="1">
        <f t="array" ref="H273">_xlfn.SWITCH(Sheet5!D273, 1, "Clear Sky", 2, "Mist", 3, "Dark Cloud",4,"Heavy Rainfall")</f>
        <v>Clear Sky</v>
      </c>
      <c r="I273" s="26">
        <f>Sheet5!E273*41</f>
        <v>8.2000000000000011</v>
      </c>
      <c r="J273" s="27">
        <v>0.47</v>
      </c>
      <c r="K273">
        <v>0.52239999999999998</v>
      </c>
      <c r="L273">
        <v>2</v>
      </c>
      <c r="M273">
        <v>135</v>
      </c>
      <c r="N273">
        <v>137</v>
      </c>
    </row>
    <row r="274" spans="1:14" x14ac:dyDescent="0.3">
      <c r="A274">
        <v>273</v>
      </c>
      <c r="B274" s="21">
        <v>40555</v>
      </c>
      <c r="C274" s="25" t="s">
        <v>16</v>
      </c>
      <c r="D274" s="25" t="str" cm="1">
        <f t="array" ref="D274">_xlfn.SWITCH(Sheet5!A274,1,"JANUARY",2,"FEBRUARY")</f>
        <v>JANUARY</v>
      </c>
      <c r="E274">
        <v>19</v>
      </c>
      <c r="F274" t="str" cm="1">
        <f t="array" ref="F274">_xlfn.SWITCH(Sheet5!C274,FALSE,"NO",TRUE,"YES")</f>
        <v>NO</v>
      </c>
      <c r="G274" t="str" cm="1">
        <f t="array" ref="G274">_xlfn.SWITCH(Sheet5!B274,0,"Sunday",1,"Monday",2,"Tuesday",3,"Wednesday",4,"Thursday",5,"Friday",6,"Saturday")</f>
        <v>Wednesday</v>
      </c>
      <c r="H274" t="str" cm="1">
        <f t="array" ref="H274">_xlfn.SWITCH(Sheet5!D274, 1, "Clear Sky", 2, "Mist", 3, "Dark Cloud",4,"Heavy Rainfall")</f>
        <v>Clear Sky</v>
      </c>
      <c r="I274" s="26">
        <f>Sheet5!E274*41</f>
        <v>7.38</v>
      </c>
      <c r="J274" s="27">
        <v>0.47</v>
      </c>
      <c r="K274">
        <v>0.41789999999999999</v>
      </c>
      <c r="L274">
        <v>1</v>
      </c>
      <c r="M274">
        <v>82</v>
      </c>
      <c r="N274">
        <v>83</v>
      </c>
    </row>
    <row r="275" spans="1:14" x14ac:dyDescent="0.3">
      <c r="A275">
        <v>274</v>
      </c>
      <c r="B275" s="21">
        <v>40555</v>
      </c>
      <c r="C275" s="25" t="s">
        <v>16</v>
      </c>
      <c r="D275" s="25" t="str" cm="1">
        <f t="array" ref="D275">_xlfn.SWITCH(Sheet5!A275,1,"JANUARY",2,"FEBRUARY")</f>
        <v>JANUARY</v>
      </c>
      <c r="E275">
        <v>20</v>
      </c>
      <c r="F275" t="str" cm="1">
        <f t="array" ref="F275">_xlfn.SWITCH(Sheet5!C275,FALSE,"NO",TRUE,"YES")</f>
        <v>NO</v>
      </c>
      <c r="G275" t="str" cm="1">
        <f t="array" ref="G275">_xlfn.SWITCH(Sheet5!B275,0,"Sunday",1,"Monday",2,"Tuesday",3,"Wednesday",4,"Thursday",5,"Friday",6,"Saturday")</f>
        <v>Wednesday</v>
      </c>
      <c r="H275" t="str" cm="1">
        <f t="array" ref="H275">_xlfn.SWITCH(Sheet5!D275, 1, "Clear Sky", 2, "Mist", 3, "Dark Cloud",4,"Heavy Rainfall")</f>
        <v>Clear Sky</v>
      </c>
      <c r="I275" s="26">
        <f>Sheet5!E275*41</f>
        <v>6.5600000000000005</v>
      </c>
      <c r="J275" s="27">
        <v>0.5</v>
      </c>
      <c r="K275">
        <v>0.32840000000000003</v>
      </c>
      <c r="L275">
        <v>2</v>
      </c>
      <c r="M275">
        <v>54</v>
      </c>
      <c r="N275">
        <v>56</v>
      </c>
    </row>
    <row r="276" spans="1:14" x14ac:dyDescent="0.3">
      <c r="A276">
        <v>275</v>
      </c>
      <c r="B276" s="21">
        <v>40555</v>
      </c>
      <c r="C276" s="25" t="s">
        <v>16</v>
      </c>
      <c r="D276" s="25" t="str" cm="1">
        <f t="array" ref="D276">_xlfn.SWITCH(Sheet5!A276,1,"JANUARY",2,"FEBRUARY")</f>
        <v>JANUARY</v>
      </c>
      <c r="E276">
        <v>21</v>
      </c>
      <c r="F276" t="str" cm="1">
        <f t="array" ref="F276">_xlfn.SWITCH(Sheet5!C276,FALSE,"NO",TRUE,"YES")</f>
        <v>NO</v>
      </c>
      <c r="G276" t="str" cm="1">
        <f t="array" ref="G276">_xlfn.SWITCH(Sheet5!B276,0,"Sunday",1,"Monday",2,"Tuesday",3,"Wednesday",4,"Thursday",5,"Friday",6,"Saturday")</f>
        <v>Wednesday</v>
      </c>
      <c r="H276" t="str" cm="1">
        <f t="array" ref="H276">_xlfn.SWITCH(Sheet5!D276, 1, "Clear Sky", 2, "Mist", 3, "Dark Cloud",4,"Heavy Rainfall")</f>
        <v>Clear Sky</v>
      </c>
      <c r="I276" s="26">
        <f>Sheet5!E276*41</f>
        <v>6.5600000000000005</v>
      </c>
      <c r="J276" s="27">
        <v>0.55000000000000004</v>
      </c>
      <c r="K276">
        <v>0.32840000000000003</v>
      </c>
      <c r="L276">
        <v>0</v>
      </c>
      <c r="M276">
        <v>57</v>
      </c>
      <c r="N276">
        <v>57</v>
      </c>
    </row>
    <row r="277" spans="1:14" x14ac:dyDescent="0.3">
      <c r="A277">
        <v>276</v>
      </c>
      <c r="B277" s="21">
        <v>40555</v>
      </c>
      <c r="C277" s="25" t="s">
        <v>16</v>
      </c>
      <c r="D277" s="25" t="str" cm="1">
        <f t="array" ref="D277">_xlfn.SWITCH(Sheet5!A277,1,"JANUARY",2,"FEBRUARY")</f>
        <v>JANUARY</v>
      </c>
      <c r="E277">
        <v>22</v>
      </c>
      <c r="F277" t="str" cm="1">
        <f t="array" ref="F277">_xlfn.SWITCH(Sheet5!C277,FALSE,"NO",TRUE,"YES")</f>
        <v>NO</v>
      </c>
      <c r="G277" t="str" cm="1">
        <f t="array" ref="G277">_xlfn.SWITCH(Sheet5!B277,0,"Sunday",1,"Monday",2,"Tuesday",3,"Wednesday",4,"Thursday",5,"Friday",6,"Saturday")</f>
        <v>Wednesday</v>
      </c>
      <c r="H277" t="str" cm="1">
        <f t="array" ref="H277">_xlfn.SWITCH(Sheet5!D277, 1, "Clear Sky", 2, "Mist", 3, "Dark Cloud",4,"Heavy Rainfall")</f>
        <v>Clear Sky</v>
      </c>
      <c r="I277" s="26">
        <f>Sheet5!E277*41</f>
        <v>6.5600000000000005</v>
      </c>
      <c r="J277" s="27">
        <v>0.55000000000000004</v>
      </c>
      <c r="K277">
        <v>0.44779999999999998</v>
      </c>
      <c r="L277">
        <v>1</v>
      </c>
      <c r="M277">
        <v>32</v>
      </c>
      <c r="N277">
        <v>33</v>
      </c>
    </row>
    <row r="278" spans="1:14" x14ac:dyDescent="0.3">
      <c r="A278">
        <v>277</v>
      </c>
      <c r="B278" s="21">
        <v>40555</v>
      </c>
      <c r="C278" s="25" t="s">
        <v>16</v>
      </c>
      <c r="D278" s="25" t="str" cm="1">
        <f t="array" ref="D278">_xlfn.SWITCH(Sheet5!A278,1,"JANUARY",2,"FEBRUARY")</f>
        <v>JANUARY</v>
      </c>
      <c r="E278">
        <v>23</v>
      </c>
      <c r="F278" t="str" cm="1">
        <f t="array" ref="F278">_xlfn.SWITCH(Sheet5!C278,FALSE,"NO",TRUE,"YES")</f>
        <v>NO</v>
      </c>
      <c r="G278" t="str" cm="1">
        <f t="array" ref="G278">_xlfn.SWITCH(Sheet5!B278,0,"Sunday",1,"Monday",2,"Tuesday",3,"Wednesday",4,"Thursday",5,"Friday",6,"Saturday")</f>
        <v>Wednesday</v>
      </c>
      <c r="H278" t="str" cm="1">
        <f t="array" ref="H278">_xlfn.SWITCH(Sheet5!D278, 1, "Clear Sky", 2, "Mist", 3, "Dark Cloud",4,"Heavy Rainfall")</f>
        <v>Clear Sky</v>
      </c>
      <c r="I278" s="26">
        <f>Sheet5!E278*41</f>
        <v>5.74</v>
      </c>
      <c r="J278" s="27">
        <v>0.59</v>
      </c>
      <c r="K278">
        <v>0.41789999999999999</v>
      </c>
      <c r="L278">
        <v>1</v>
      </c>
      <c r="M278">
        <v>19</v>
      </c>
      <c r="N278">
        <v>20</v>
      </c>
    </row>
    <row r="279" spans="1:14" x14ac:dyDescent="0.3">
      <c r="A279">
        <v>278</v>
      </c>
      <c r="B279" s="21">
        <v>40556</v>
      </c>
      <c r="C279" s="25" t="s">
        <v>16</v>
      </c>
      <c r="D279" s="25" t="str" cm="1">
        <f t="array" ref="D279">_xlfn.SWITCH(Sheet5!A279,1,"JANUARY",2,"FEBRUARY")</f>
        <v>JANUARY</v>
      </c>
      <c r="E279">
        <v>0</v>
      </c>
      <c r="F279" t="str" cm="1">
        <f t="array" ref="F279">_xlfn.SWITCH(Sheet5!C279,FALSE,"NO",TRUE,"YES")</f>
        <v>NO</v>
      </c>
      <c r="G279" t="str" cm="1">
        <f t="array" ref="G279">_xlfn.SWITCH(Sheet5!B279,0,"Sunday",1,"Monday",2,"Tuesday",3,"Wednesday",4,"Thursday",5,"Friday",6,"Saturday")</f>
        <v>Thursday</v>
      </c>
      <c r="H279" t="str" cm="1">
        <f t="array" ref="H279">_xlfn.SWITCH(Sheet5!D279, 1, "Clear Sky", 2, "Mist", 3, "Dark Cloud",4,"Heavy Rainfall")</f>
        <v>Clear Sky</v>
      </c>
      <c r="I279" s="26">
        <f>Sheet5!E279*41</f>
        <v>5.74</v>
      </c>
      <c r="J279" s="27">
        <v>0.59</v>
      </c>
      <c r="K279">
        <v>0.28360000000000002</v>
      </c>
      <c r="L279">
        <v>1</v>
      </c>
      <c r="M279">
        <v>6</v>
      </c>
      <c r="N279">
        <v>7</v>
      </c>
    </row>
    <row r="280" spans="1:14" x14ac:dyDescent="0.3">
      <c r="A280">
        <v>279</v>
      </c>
      <c r="B280" s="21">
        <v>40556</v>
      </c>
      <c r="C280" s="25" t="s">
        <v>16</v>
      </c>
      <c r="D280" s="25" t="str" cm="1">
        <f t="array" ref="D280">_xlfn.SWITCH(Sheet5!A280,1,"JANUARY",2,"FEBRUARY")</f>
        <v>JANUARY</v>
      </c>
      <c r="E280">
        <v>1</v>
      </c>
      <c r="F280" t="str" cm="1">
        <f t="array" ref="F280">_xlfn.SWITCH(Sheet5!C280,FALSE,"NO",TRUE,"YES")</f>
        <v>NO</v>
      </c>
      <c r="G280" t="str" cm="1">
        <f t="array" ref="G280">_xlfn.SWITCH(Sheet5!B280,0,"Sunday",1,"Monday",2,"Tuesday",3,"Wednesday",4,"Thursday",5,"Friday",6,"Saturday")</f>
        <v>Thursday</v>
      </c>
      <c r="H280" t="str" cm="1">
        <f t="array" ref="H280">_xlfn.SWITCH(Sheet5!D280, 1, "Clear Sky", 2, "Mist", 3, "Dark Cloud",4,"Heavy Rainfall")</f>
        <v>Clear Sky</v>
      </c>
      <c r="I280" s="26">
        <f>Sheet5!E280*41</f>
        <v>5.74</v>
      </c>
      <c r="J280" s="27">
        <v>0.5</v>
      </c>
      <c r="K280">
        <v>0.28360000000000002</v>
      </c>
      <c r="L280">
        <v>0</v>
      </c>
      <c r="M280">
        <v>2</v>
      </c>
      <c r="N280">
        <v>2</v>
      </c>
    </row>
    <row r="281" spans="1:14" x14ac:dyDescent="0.3">
      <c r="A281">
        <v>280</v>
      </c>
      <c r="B281" s="21">
        <v>40556</v>
      </c>
      <c r="C281" s="25" t="s">
        <v>16</v>
      </c>
      <c r="D281" s="25" t="str" cm="1">
        <f t="array" ref="D281">_xlfn.SWITCH(Sheet5!A281,1,"JANUARY",2,"FEBRUARY")</f>
        <v>JANUARY</v>
      </c>
      <c r="E281">
        <v>2</v>
      </c>
      <c r="F281" t="str" cm="1">
        <f t="array" ref="F281">_xlfn.SWITCH(Sheet5!C281,FALSE,"NO",TRUE,"YES")</f>
        <v>NO</v>
      </c>
      <c r="G281" t="str" cm="1">
        <f t="array" ref="G281">_xlfn.SWITCH(Sheet5!B281,0,"Sunday",1,"Monday",2,"Tuesday",3,"Wednesday",4,"Thursday",5,"Friday",6,"Saturday")</f>
        <v>Thursday</v>
      </c>
      <c r="H281" t="str" cm="1">
        <f t="array" ref="H281">_xlfn.SWITCH(Sheet5!D281, 1, "Clear Sky", 2, "Mist", 3, "Dark Cloud",4,"Heavy Rainfall")</f>
        <v>Clear Sky</v>
      </c>
      <c r="I281" s="26">
        <f>Sheet5!E281*41</f>
        <v>5.74</v>
      </c>
      <c r="J281" s="27">
        <v>0.5</v>
      </c>
      <c r="K281">
        <v>0.35820000000000002</v>
      </c>
      <c r="L281">
        <v>0</v>
      </c>
      <c r="M281">
        <v>2</v>
      </c>
      <c r="N281">
        <v>2</v>
      </c>
    </row>
    <row r="282" spans="1:14" x14ac:dyDescent="0.3">
      <c r="A282">
        <v>281</v>
      </c>
      <c r="B282" s="21">
        <v>40556</v>
      </c>
      <c r="C282" s="25" t="s">
        <v>16</v>
      </c>
      <c r="D282" s="25" t="str" cm="1">
        <f t="array" ref="D282">_xlfn.SWITCH(Sheet5!A282,1,"JANUARY",2,"FEBRUARY")</f>
        <v>JANUARY</v>
      </c>
      <c r="E282">
        <v>3</v>
      </c>
      <c r="F282" t="str" cm="1">
        <f t="array" ref="F282">_xlfn.SWITCH(Sheet5!C282,FALSE,"NO",TRUE,"YES")</f>
        <v>NO</v>
      </c>
      <c r="G282" t="str" cm="1">
        <f t="array" ref="G282">_xlfn.SWITCH(Sheet5!B282,0,"Sunday",1,"Monday",2,"Tuesday",3,"Wednesday",4,"Thursday",5,"Friday",6,"Saturday")</f>
        <v>Thursday</v>
      </c>
      <c r="H282" t="str" cm="1">
        <f t="array" ref="H282">_xlfn.SWITCH(Sheet5!D282, 1, "Clear Sky", 2, "Mist", 3, "Dark Cloud",4,"Heavy Rainfall")</f>
        <v>Clear Sky</v>
      </c>
      <c r="I282" s="26">
        <f>Sheet5!E282*41</f>
        <v>5.74</v>
      </c>
      <c r="J282" s="27">
        <v>0.5</v>
      </c>
      <c r="K282">
        <v>0.32840000000000003</v>
      </c>
      <c r="L282">
        <v>0</v>
      </c>
      <c r="M282">
        <v>3</v>
      </c>
      <c r="N282">
        <v>3</v>
      </c>
    </row>
    <row r="283" spans="1:14" x14ac:dyDescent="0.3">
      <c r="A283">
        <v>282</v>
      </c>
      <c r="B283" s="21">
        <v>40556</v>
      </c>
      <c r="C283" s="25" t="s">
        <v>16</v>
      </c>
      <c r="D283" s="25" t="str" cm="1">
        <f t="array" ref="D283">_xlfn.SWITCH(Sheet5!A283,1,"JANUARY",2,"FEBRUARY")</f>
        <v>JANUARY</v>
      </c>
      <c r="E283">
        <v>4</v>
      </c>
      <c r="F283" t="str" cm="1">
        <f t="array" ref="F283">_xlfn.SWITCH(Sheet5!C283,FALSE,"NO",TRUE,"YES")</f>
        <v>NO</v>
      </c>
      <c r="G283" t="str" cm="1">
        <f t="array" ref="G283">_xlfn.SWITCH(Sheet5!B283,0,"Sunday",1,"Monday",2,"Tuesday",3,"Wednesday",4,"Thursday",5,"Friday",6,"Saturday")</f>
        <v>Thursday</v>
      </c>
      <c r="H283" t="str" cm="1">
        <f t="array" ref="H283">_xlfn.SWITCH(Sheet5!D283, 1, "Clear Sky", 2, "Mist", 3, "Dark Cloud",4,"Heavy Rainfall")</f>
        <v>Clear Sky</v>
      </c>
      <c r="I283" s="26">
        <f>Sheet5!E283*41</f>
        <v>5.74</v>
      </c>
      <c r="J283" s="27">
        <v>0.5</v>
      </c>
      <c r="K283">
        <v>0.25369999999999998</v>
      </c>
      <c r="L283">
        <v>0</v>
      </c>
      <c r="M283">
        <v>4</v>
      </c>
      <c r="N283">
        <v>4</v>
      </c>
    </row>
    <row r="284" spans="1:14" x14ac:dyDescent="0.3">
      <c r="A284">
        <v>283</v>
      </c>
      <c r="B284" s="21">
        <v>40556</v>
      </c>
      <c r="C284" s="25" t="s">
        <v>16</v>
      </c>
      <c r="D284" s="25" t="str" cm="1">
        <f t="array" ref="D284">_xlfn.SWITCH(Sheet5!A284,1,"JANUARY",2,"FEBRUARY")</f>
        <v>JANUARY</v>
      </c>
      <c r="E284">
        <v>5</v>
      </c>
      <c r="F284" t="str" cm="1">
        <f t="array" ref="F284">_xlfn.SWITCH(Sheet5!C284,FALSE,"NO",TRUE,"YES")</f>
        <v>NO</v>
      </c>
      <c r="G284" t="str" cm="1">
        <f t="array" ref="G284">_xlfn.SWITCH(Sheet5!B284,0,"Sunday",1,"Monday",2,"Tuesday",3,"Wednesday",4,"Thursday",5,"Friday",6,"Saturday")</f>
        <v>Thursday</v>
      </c>
      <c r="H284" t="str" cm="1">
        <f t="array" ref="H284">_xlfn.SWITCH(Sheet5!D284, 1, "Clear Sky", 2, "Mist", 3, "Dark Cloud",4,"Heavy Rainfall")</f>
        <v>Clear Sky</v>
      </c>
      <c r="I284" s="26">
        <f>Sheet5!E284*41</f>
        <v>5.74</v>
      </c>
      <c r="J284" s="27">
        <v>0.5</v>
      </c>
      <c r="K284">
        <v>0.29849999999999999</v>
      </c>
      <c r="L284">
        <v>0</v>
      </c>
      <c r="M284">
        <v>3</v>
      </c>
      <c r="N284">
        <v>3</v>
      </c>
    </row>
    <row r="285" spans="1:14" x14ac:dyDescent="0.3">
      <c r="A285">
        <v>284</v>
      </c>
      <c r="B285" s="21">
        <v>40556</v>
      </c>
      <c r="C285" s="25" t="s">
        <v>16</v>
      </c>
      <c r="D285" s="25" t="str" cm="1">
        <f t="array" ref="D285">_xlfn.SWITCH(Sheet5!A285,1,"JANUARY",2,"FEBRUARY")</f>
        <v>JANUARY</v>
      </c>
      <c r="E285">
        <v>6</v>
      </c>
      <c r="F285" t="str" cm="1">
        <f t="array" ref="F285">_xlfn.SWITCH(Sheet5!C285,FALSE,"NO",TRUE,"YES")</f>
        <v>NO</v>
      </c>
      <c r="G285" t="str" cm="1">
        <f t="array" ref="G285">_xlfn.SWITCH(Sheet5!B285,0,"Sunday",1,"Monday",2,"Tuesday",3,"Wednesday",4,"Thursday",5,"Friday",6,"Saturday")</f>
        <v>Thursday</v>
      </c>
      <c r="H285" t="str" cm="1">
        <f t="array" ref="H285">_xlfn.SWITCH(Sheet5!D285, 1, "Clear Sky", 2, "Mist", 3, "Dark Cloud",4,"Heavy Rainfall")</f>
        <v>Clear Sky</v>
      </c>
      <c r="I285" s="26">
        <f>Sheet5!E285*41</f>
        <v>4.92</v>
      </c>
      <c r="J285" s="27">
        <v>0.54</v>
      </c>
      <c r="K285">
        <v>0.1343</v>
      </c>
      <c r="L285">
        <v>0</v>
      </c>
      <c r="M285">
        <v>28</v>
      </c>
      <c r="N285">
        <v>28</v>
      </c>
    </row>
    <row r="286" spans="1:14" x14ac:dyDescent="0.3">
      <c r="A286">
        <v>285</v>
      </c>
      <c r="B286" s="21">
        <v>40556</v>
      </c>
      <c r="C286" s="25" t="s">
        <v>16</v>
      </c>
      <c r="D286" s="25" t="str" cm="1">
        <f t="array" ref="D286">_xlfn.SWITCH(Sheet5!A286,1,"JANUARY",2,"FEBRUARY")</f>
        <v>JANUARY</v>
      </c>
      <c r="E286">
        <v>7</v>
      </c>
      <c r="F286" t="str" cm="1">
        <f t="array" ref="F286">_xlfn.SWITCH(Sheet5!C286,FALSE,"NO",TRUE,"YES")</f>
        <v>NO</v>
      </c>
      <c r="G286" t="str" cm="1">
        <f t="array" ref="G286">_xlfn.SWITCH(Sheet5!B286,0,"Sunday",1,"Monday",2,"Tuesday",3,"Wednesday",4,"Thursday",5,"Friday",6,"Saturday")</f>
        <v>Thursday</v>
      </c>
      <c r="H286" t="str" cm="1">
        <f t="array" ref="H286">_xlfn.SWITCH(Sheet5!D286, 1, "Clear Sky", 2, "Mist", 3, "Dark Cloud",4,"Heavy Rainfall")</f>
        <v>Clear Sky</v>
      </c>
      <c r="I286" s="26">
        <f>Sheet5!E286*41</f>
        <v>4.92</v>
      </c>
      <c r="J286" s="27">
        <v>0.54</v>
      </c>
      <c r="K286">
        <v>0.1343</v>
      </c>
      <c r="L286">
        <v>0</v>
      </c>
      <c r="M286">
        <v>72</v>
      </c>
      <c r="N286">
        <v>72</v>
      </c>
    </row>
    <row r="287" spans="1:14" x14ac:dyDescent="0.3">
      <c r="A287">
        <v>286</v>
      </c>
      <c r="B287" s="21">
        <v>40556</v>
      </c>
      <c r="C287" s="25" t="s">
        <v>16</v>
      </c>
      <c r="D287" s="25" t="str" cm="1">
        <f t="array" ref="D287">_xlfn.SWITCH(Sheet5!A287,1,"JANUARY",2,"FEBRUARY")</f>
        <v>JANUARY</v>
      </c>
      <c r="E287">
        <v>8</v>
      </c>
      <c r="F287" t="str" cm="1">
        <f t="array" ref="F287">_xlfn.SWITCH(Sheet5!C287,FALSE,"NO",TRUE,"YES")</f>
        <v>NO</v>
      </c>
      <c r="G287" t="str" cm="1">
        <f t="array" ref="G287">_xlfn.SWITCH(Sheet5!B287,0,"Sunday",1,"Monday",2,"Tuesday",3,"Wednesday",4,"Thursday",5,"Friday",6,"Saturday")</f>
        <v>Thursday</v>
      </c>
      <c r="H287" t="str" cm="1">
        <f t="array" ref="H287">_xlfn.SWITCH(Sheet5!D287, 1, "Clear Sky", 2, "Mist", 3, "Dark Cloud",4,"Heavy Rainfall")</f>
        <v>Clear Sky</v>
      </c>
      <c r="I287" s="26">
        <f>Sheet5!E287*41</f>
        <v>5.74</v>
      </c>
      <c r="J287" s="27">
        <v>0.5</v>
      </c>
      <c r="K287">
        <v>0.19400000000000001</v>
      </c>
      <c r="L287">
        <v>5</v>
      </c>
      <c r="M287">
        <v>197</v>
      </c>
      <c r="N287">
        <v>202</v>
      </c>
    </row>
    <row r="288" spans="1:14" x14ac:dyDescent="0.3">
      <c r="A288">
        <v>287</v>
      </c>
      <c r="B288" s="21">
        <v>40556</v>
      </c>
      <c r="C288" s="25" t="s">
        <v>16</v>
      </c>
      <c r="D288" s="25" t="str" cm="1">
        <f t="array" ref="D288">_xlfn.SWITCH(Sheet5!A288,1,"JANUARY",2,"FEBRUARY")</f>
        <v>JANUARY</v>
      </c>
      <c r="E288">
        <v>9</v>
      </c>
      <c r="F288" t="str" cm="1">
        <f t="array" ref="F288">_xlfn.SWITCH(Sheet5!C288,FALSE,"NO",TRUE,"YES")</f>
        <v>NO</v>
      </c>
      <c r="G288" t="str" cm="1">
        <f t="array" ref="G288">_xlfn.SWITCH(Sheet5!B288,0,"Sunday",1,"Monday",2,"Tuesday",3,"Wednesday",4,"Thursday",5,"Friday",6,"Saturday")</f>
        <v>Thursday</v>
      </c>
      <c r="H288" t="str" cm="1">
        <f t="array" ref="H288">_xlfn.SWITCH(Sheet5!D288, 1, "Clear Sky", 2, "Mist", 3, "Dark Cloud",4,"Heavy Rainfall")</f>
        <v>Clear Sky</v>
      </c>
      <c r="I288" s="26">
        <f>Sheet5!E288*41</f>
        <v>5.74</v>
      </c>
      <c r="J288" s="27">
        <v>0.5</v>
      </c>
      <c r="K288">
        <v>0.32840000000000003</v>
      </c>
      <c r="L288">
        <v>2</v>
      </c>
      <c r="M288">
        <v>137</v>
      </c>
      <c r="N288">
        <v>139</v>
      </c>
    </row>
    <row r="289" spans="1:14" x14ac:dyDescent="0.3">
      <c r="A289">
        <v>288</v>
      </c>
      <c r="B289" s="21">
        <v>40556</v>
      </c>
      <c r="C289" s="25" t="s">
        <v>16</v>
      </c>
      <c r="D289" s="25" t="str" cm="1">
        <f t="array" ref="D289">_xlfn.SWITCH(Sheet5!A289,1,"JANUARY",2,"FEBRUARY")</f>
        <v>JANUARY</v>
      </c>
      <c r="E289">
        <v>10</v>
      </c>
      <c r="F289" t="str" cm="1">
        <f t="array" ref="F289">_xlfn.SWITCH(Sheet5!C289,FALSE,"NO",TRUE,"YES")</f>
        <v>NO</v>
      </c>
      <c r="G289" t="str" cm="1">
        <f t="array" ref="G289">_xlfn.SWITCH(Sheet5!B289,0,"Sunday",1,"Monday",2,"Tuesday",3,"Wednesday",4,"Thursday",5,"Friday",6,"Saturday")</f>
        <v>Thursday</v>
      </c>
      <c r="H289" t="str" cm="1">
        <f t="array" ref="H289">_xlfn.SWITCH(Sheet5!D289, 1, "Clear Sky", 2, "Mist", 3, "Dark Cloud",4,"Heavy Rainfall")</f>
        <v>Mist</v>
      </c>
      <c r="I289" s="26">
        <f>Sheet5!E289*41</f>
        <v>6.5600000000000005</v>
      </c>
      <c r="J289" s="27">
        <v>0.5</v>
      </c>
      <c r="K289">
        <v>0.35820000000000002</v>
      </c>
      <c r="L289">
        <v>2</v>
      </c>
      <c r="M289">
        <v>36</v>
      </c>
      <c r="N289">
        <v>38</v>
      </c>
    </row>
    <row r="290" spans="1:14" x14ac:dyDescent="0.3">
      <c r="A290">
        <v>289</v>
      </c>
      <c r="B290" s="21">
        <v>40556</v>
      </c>
      <c r="C290" s="25" t="s">
        <v>16</v>
      </c>
      <c r="D290" s="25" t="str" cm="1">
        <f t="array" ref="D290">_xlfn.SWITCH(Sheet5!A290,1,"JANUARY",2,"FEBRUARY")</f>
        <v>JANUARY</v>
      </c>
      <c r="E290">
        <v>11</v>
      </c>
      <c r="F290" t="str" cm="1">
        <f t="array" ref="F290">_xlfn.SWITCH(Sheet5!C290,FALSE,"NO",TRUE,"YES")</f>
        <v>NO</v>
      </c>
      <c r="G290" t="str" cm="1">
        <f t="array" ref="G290">_xlfn.SWITCH(Sheet5!B290,0,"Sunday",1,"Monday",2,"Tuesday",3,"Wednesday",4,"Thursday",5,"Friday",6,"Saturday")</f>
        <v>Thursday</v>
      </c>
      <c r="H290" t="str" cm="1">
        <f t="array" ref="H290">_xlfn.SWITCH(Sheet5!D290, 1, "Clear Sky", 2, "Mist", 3, "Dark Cloud",4,"Heavy Rainfall")</f>
        <v>Mist</v>
      </c>
      <c r="I290" s="26">
        <f>Sheet5!E290*41</f>
        <v>8.2000000000000011</v>
      </c>
      <c r="J290" s="27">
        <v>0.44</v>
      </c>
      <c r="K290">
        <v>0.44779999999999998</v>
      </c>
      <c r="L290">
        <v>4</v>
      </c>
      <c r="M290">
        <v>33</v>
      </c>
      <c r="N290">
        <v>37</v>
      </c>
    </row>
    <row r="291" spans="1:14" x14ac:dyDescent="0.3">
      <c r="A291">
        <v>290</v>
      </c>
      <c r="B291" s="21">
        <v>40556</v>
      </c>
      <c r="C291" s="25" t="s">
        <v>16</v>
      </c>
      <c r="D291" s="25" t="str" cm="1">
        <f t="array" ref="D291">_xlfn.SWITCH(Sheet5!A291,1,"JANUARY",2,"FEBRUARY")</f>
        <v>JANUARY</v>
      </c>
      <c r="E291">
        <v>12</v>
      </c>
      <c r="F291" t="str" cm="1">
        <f t="array" ref="F291">_xlfn.SWITCH(Sheet5!C291,FALSE,"NO",TRUE,"YES")</f>
        <v>NO</v>
      </c>
      <c r="G291" t="str" cm="1">
        <f t="array" ref="G291">_xlfn.SWITCH(Sheet5!B291,0,"Sunday",1,"Monday",2,"Tuesday",3,"Wednesday",4,"Thursday",5,"Friday",6,"Saturday")</f>
        <v>Thursday</v>
      </c>
      <c r="H291" t="str" cm="1">
        <f t="array" ref="H291">_xlfn.SWITCH(Sheet5!D291, 1, "Clear Sky", 2, "Mist", 3, "Dark Cloud",4,"Heavy Rainfall")</f>
        <v>Clear Sky</v>
      </c>
      <c r="I291" s="26">
        <f>Sheet5!E291*41</f>
        <v>8.2000000000000011</v>
      </c>
      <c r="J291" s="27">
        <v>0.44</v>
      </c>
      <c r="K291">
        <v>0.41789999999999999</v>
      </c>
      <c r="L291">
        <v>3</v>
      </c>
      <c r="M291">
        <v>49</v>
      </c>
      <c r="N291">
        <v>52</v>
      </c>
    </row>
    <row r="292" spans="1:14" x14ac:dyDescent="0.3">
      <c r="A292">
        <v>291</v>
      </c>
      <c r="B292" s="21">
        <v>40556</v>
      </c>
      <c r="C292" s="25" t="s">
        <v>16</v>
      </c>
      <c r="D292" s="25" t="str" cm="1">
        <f t="array" ref="D292">_xlfn.SWITCH(Sheet5!A292,1,"JANUARY",2,"FEBRUARY")</f>
        <v>JANUARY</v>
      </c>
      <c r="E292">
        <v>13</v>
      </c>
      <c r="F292" t="str" cm="1">
        <f t="array" ref="F292">_xlfn.SWITCH(Sheet5!C292,FALSE,"NO",TRUE,"YES")</f>
        <v>NO</v>
      </c>
      <c r="G292" t="str" cm="1">
        <f t="array" ref="G292">_xlfn.SWITCH(Sheet5!B292,0,"Sunday",1,"Monday",2,"Tuesday",3,"Wednesday",4,"Thursday",5,"Friday",6,"Saturday")</f>
        <v>Thursday</v>
      </c>
      <c r="H292" t="str" cm="1">
        <f t="array" ref="H292">_xlfn.SWITCH(Sheet5!D292, 1, "Clear Sky", 2, "Mist", 3, "Dark Cloud",4,"Heavy Rainfall")</f>
        <v>Clear Sky</v>
      </c>
      <c r="I292" s="26">
        <f>Sheet5!E292*41</f>
        <v>9.02</v>
      </c>
      <c r="J292" s="27">
        <v>0.41</v>
      </c>
      <c r="K292">
        <v>0.44779999999999998</v>
      </c>
      <c r="L292">
        <v>2</v>
      </c>
      <c r="M292">
        <v>81</v>
      </c>
      <c r="N292">
        <v>83</v>
      </c>
    </row>
    <row r="293" spans="1:14" x14ac:dyDescent="0.3">
      <c r="A293">
        <v>292</v>
      </c>
      <c r="B293" s="21">
        <v>40556</v>
      </c>
      <c r="C293" s="25" t="s">
        <v>16</v>
      </c>
      <c r="D293" s="25" t="str" cm="1">
        <f t="array" ref="D293">_xlfn.SWITCH(Sheet5!A293,1,"JANUARY",2,"FEBRUARY")</f>
        <v>JANUARY</v>
      </c>
      <c r="E293">
        <v>14</v>
      </c>
      <c r="F293" t="str" cm="1">
        <f t="array" ref="F293">_xlfn.SWITCH(Sheet5!C293,FALSE,"NO",TRUE,"YES")</f>
        <v>NO</v>
      </c>
      <c r="G293" t="str" cm="1">
        <f t="array" ref="G293">_xlfn.SWITCH(Sheet5!B293,0,"Sunday",1,"Monday",2,"Tuesday",3,"Wednesday",4,"Thursday",5,"Friday",6,"Saturday")</f>
        <v>Thursday</v>
      </c>
      <c r="H293" t="str" cm="1">
        <f t="array" ref="H293">_xlfn.SWITCH(Sheet5!D293, 1, "Clear Sky", 2, "Mist", 3, "Dark Cloud",4,"Heavy Rainfall")</f>
        <v>Clear Sky</v>
      </c>
      <c r="I293" s="26">
        <f>Sheet5!E293*41</f>
        <v>9.02</v>
      </c>
      <c r="J293" s="27">
        <v>0.41</v>
      </c>
      <c r="K293">
        <v>0.3881</v>
      </c>
      <c r="L293">
        <v>3</v>
      </c>
      <c r="M293">
        <v>39</v>
      </c>
      <c r="N293">
        <v>42</v>
      </c>
    </row>
    <row r="294" spans="1:14" x14ac:dyDescent="0.3">
      <c r="A294">
        <v>293</v>
      </c>
      <c r="B294" s="21">
        <v>40556</v>
      </c>
      <c r="C294" s="25" t="s">
        <v>16</v>
      </c>
      <c r="D294" s="25" t="str" cm="1">
        <f t="array" ref="D294">_xlfn.SWITCH(Sheet5!A294,1,"JANUARY",2,"FEBRUARY")</f>
        <v>JANUARY</v>
      </c>
      <c r="E294">
        <v>15</v>
      </c>
      <c r="F294" t="str" cm="1">
        <f t="array" ref="F294">_xlfn.SWITCH(Sheet5!C294,FALSE,"NO",TRUE,"YES")</f>
        <v>NO</v>
      </c>
      <c r="G294" t="str" cm="1">
        <f t="array" ref="G294">_xlfn.SWITCH(Sheet5!B294,0,"Sunday",1,"Monday",2,"Tuesday",3,"Wednesday",4,"Thursday",5,"Friday",6,"Saturday")</f>
        <v>Thursday</v>
      </c>
      <c r="H294" t="str" cm="1">
        <f t="array" ref="H294">_xlfn.SWITCH(Sheet5!D294, 1, "Clear Sky", 2, "Mist", 3, "Dark Cloud",4,"Heavy Rainfall")</f>
        <v>Clear Sky</v>
      </c>
      <c r="I294" s="26">
        <f>Sheet5!E294*41</f>
        <v>9.84</v>
      </c>
      <c r="J294" s="27">
        <v>0.38</v>
      </c>
      <c r="K294">
        <v>0.29849999999999999</v>
      </c>
      <c r="L294">
        <v>5</v>
      </c>
      <c r="M294">
        <v>55</v>
      </c>
      <c r="N294">
        <v>60</v>
      </c>
    </row>
    <row r="295" spans="1:14" x14ac:dyDescent="0.3">
      <c r="A295">
        <v>294</v>
      </c>
      <c r="B295" s="21">
        <v>40556</v>
      </c>
      <c r="C295" s="25" t="s">
        <v>16</v>
      </c>
      <c r="D295" s="25" t="str" cm="1">
        <f t="array" ref="D295">_xlfn.SWITCH(Sheet5!A295,1,"JANUARY",2,"FEBRUARY")</f>
        <v>JANUARY</v>
      </c>
      <c r="E295">
        <v>16</v>
      </c>
      <c r="F295" t="str" cm="1">
        <f t="array" ref="F295">_xlfn.SWITCH(Sheet5!C295,FALSE,"NO",TRUE,"YES")</f>
        <v>NO</v>
      </c>
      <c r="G295" t="str" cm="1">
        <f t="array" ref="G295">_xlfn.SWITCH(Sheet5!B295,0,"Sunday",1,"Monday",2,"Tuesday",3,"Wednesday",4,"Thursday",5,"Friday",6,"Saturday")</f>
        <v>Thursday</v>
      </c>
      <c r="H295" t="str" cm="1">
        <f t="array" ref="H295">_xlfn.SWITCH(Sheet5!D295, 1, "Clear Sky", 2, "Mist", 3, "Dark Cloud",4,"Heavy Rainfall")</f>
        <v>Clear Sky</v>
      </c>
      <c r="I295" s="26">
        <f>Sheet5!E295*41</f>
        <v>9.84</v>
      </c>
      <c r="J295" s="27">
        <v>0.38</v>
      </c>
      <c r="K295">
        <v>0.35820000000000002</v>
      </c>
      <c r="L295">
        <v>2</v>
      </c>
      <c r="M295">
        <v>76</v>
      </c>
      <c r="N295">
        <v>78</v>
      </c>
    </row>
    <row r="296" spans="1:14" x14ac:dyDescent="0.3">
      <c r="A296">
        <v>295</v>
      </c>
      <c r="B296" s="21">
        <v>40556</v>
      </c>
      <c r="C296" s="25" t="s">
        <v>16</v>
      </c>
      <c r="D296" s="25" t="str" cm="1">
        <f t="array" ref="D296">_xlfn.SWITCH(Sheet5!A296,1,"JANUARY",2,"FEBRUARY")</f>
        <v>JANUARY</v>
      </c>
      <c r="E296">
        <v>17</v>
      </c>
      <c r="F296" t="str" cm="1">
        <f t="array" ref="F296">_xlfn.SWITCH(Sheet5!C296,FALSE,"NO",TRUE,"YES")</f>
        <v>NO</v>
      </c>
      <c r="G296" t="str" cm="1">
        <f t="array" ref="G296">_xlfn.SWITCH(Sheet5!B296,0,"Sunday",1,"Monday",2,"Tuesday",3,"Wednesday",4,"Thursday",5,"Friday",6,"Saturday")</f>
        <v>Thursday</v>
      </c>
      <c r="H296" t="str" cm="1">
        <f t="array" ref="H296">_xlfn.SWITCH(Sheet5!D296, 1, "Clear Sky", 2, "Mist", 3, "Dark Cloud",4,"Heavy Rainfall")</f>
        <v>Clear Sky</v>
      </c>
      <c r="I296" s="26">
        <f>Sheet5!E296*41</f>
        <v>8.2000000000000011</v>
      </c>
      <c r="J296" s="27">
        <v>0.4</v>
      </c>
      <c r="K296">
        <v>0.28360000000000002</v>
      </c>
      <c r="L296">
        <v>4</v>
      </c>
      <c r="M296">
        <v>158</v>
      </c>
      <c r="N296">
        <v>162</v>
      </c>
    </row>
    <row r="297" spans="1:14" x14ac:dyDescent="0.3">
      <c r="A297">
        <v>296</v>
      </c>
      <c r="B297" s="21">
        <v>40556</v>
      </c>
      <c r="C297" s="25" t="s">
        <v>16</v>
      </c>
      <c r="D297" s="25" t="str" cm="1">
        <f t="array" ref="D297">_xlfn.SWITCH(Sheet5!A297,1,"JANUARY",2,"FEBRUARY")</f>
        <v>JANUARY</v>
      </c>
      <c r="E297">
        <v>18</v>
      </c>
      <c r="F297" t="str" cm="1">
        <f t="array" ref="F297">_xlfn.SWITCH(Sheet5!C297,FALSE,"NO",TRUE,"YES")</f>
        <v>NO</v>
      </c>
      <c r="G297" t="str" cm="1">
        <f t="array" ref="G297">_xlfn.SWITCH(Sheet5!B297,0,"Sunday",1,"Monday",2,"Tuesday",3,"Wednesday",4,"Thursday",5,"Friday",6,"Saturday")</f>
        <v>Thursday</v>
      </c>
      <c r="H297" t="str" cm="1">
        <f t="array" ref="H297">_xlfn.SWITCH(Sheet5!D297, 1, "Clear Sky", 2, "Mist", 3, "Dark Cloud",4,"Heavy Rainfall")</f>
        <v>Clear Sky</v>
      </c>
      <c r="I297" s="26">
        <f>Sheet5!E297*41</f>
        <v>8.2000000000000011</v>
      </c>
      <c r="J297" s="27">
        <v>0.4</v>
      </c>
      <c r="K297">
        <v>0.32840000000000003</v>
      </c>
      <c r="L297">
        <v>3</v>
      </c>
      <c r="M297">
        <v>141</v>
      </c>
      <c r="N297">
        <v>144</v>
      </c>
    </row>
    <row r="298" spans="1:14" x14ac:dyDescent="0.3">
      <c r="A298">
        <v>297</v>
      </c>
      <c r="B298" s="21">
        <v>40556</v>
      </c>
      <c r="C298" s="25" t="s">
        <v>16</v>
      </c>
      <c r="D298" s="25" t="str" cm="1">
        <f t="array" ref="D298">_xlfn.SWITCH(Sheet5!A298,1,"JANUARY",2,"FEBRUARY")</f>
        <v>JANUARY</v>
      </c>
      <c r="E298">
        <v>19</v>
      </c>
      <c r="F298" t="str" cm="1">
        <f t="array" ref="F298">_xlfn.SWITCH(Sheet5!C298,FALSE,"NO",TRUE,"YES")</f>
        <v>NO</v>
      </c>
      <c r="G298" t="str" cm="1">
        <f t="array" ref="G298">_xlfn.SWITCH(Sheet5!B298,0,"Sunday",1,"Monday",2,"Tuesday",3,"Wednesday",4,"Thursday",5,"Friday",6,"Saturday")</f>
        <v>Thursday</v>
      </c>
      <c r="H298" t="str" cm="1">
        <f t="array" ref="H298">_xlfn.SWITCH(Sheet5!D298, 1, "Clear Sky", 2, "Mist", 3, "Dark Cloud",4,"Heavy Rainfall")</f>
        <v>Clear Sky</v>
      </c>
      <c r="I298" s="26">
        <f>Sheet5!E298*41</f>
        <v>6.5600000000000005</v>
      </c>
      <c r="J298" s="27">
        <v>0.47</v>
      </c>
      <c r="K298">
        <v>0.25369999999999998</v>
      </c>
      <c r="L298">
        <v>1</v>
      </c>
      <c r="M298">
        <v>98</v>
      </c>
      <c r="N298">
        <v>99</v>
      </c>
    </row>
    <row r="299" spans="1:14" x14ac:dyDescent="0.3">
      <c r="A299">
        <v>298</v>
      </c>
      <c r="B299" s="21">
        <v>40556</v>
      </c>
      <c r="C299" s="25" t="s">
        <v>16</v>
      </c>
      <c r="D299" s="25" t="str" cm="1">
        <f t="array" ref="D299">_xlfn.SWITCH(Sheet5!A299,1,"JANUARY",2,"FEBRUARY")</f>
        <v>JANUARY</v>
      </c>
      <c r="E299">
        <v>20</v>
      </c>
      <c r="F299" t="str" cm="1">
        <f t="array" ref="F299">_xlfn.SWITCH(Sheet5!C299,FALSE,"NO",TRUE,"YES")</f>
        <v>NO</v>
      </c>
      <c r="G299" t="str" cm="1">
        <f t="array" ref="G299">_xlfn.SWITCH(Sheet5!B299,0,"Sunday",1,"Monday",2,"Tuesday",3,"Wednesday",4,"Thursday",5,"Friday",6,"Saturday")</f>
        <v>Thursday</v>
      </c>
      <c r="H299" t="str" cm="1">
        <f t="array" ref="H299">_xlfn.SWITCH(Sheet5!D299, 1, "Clear Sky", 2, "Mist", 3, "Dark Cloud",4,"Heavy Rainfall")</f>
        <v>Clear Sky</v>
      </c>
      <c r="I299" s="26">
        <f>Sheet5!E299*41</f>
        <v>6.5600000000000005</v>
      </c>
      <c r="J299" s="27">
        <v>0.47</v>
      </c>
      <c r="K299">
        <v>0.22389999999999999</v>
      </c>
      <c r="L299">
        <v>0</v>
      </c>
      <c r="M299">
        <v>64</v>
      </c>
      <c r="N299">
        <v>64</v>
      </c>
    </row>
    <row r="300" spans="1:14" x14ac:dyDescent="0.3">
      <c r="A300">
        <v>299</v>
      </c>
      <c r="B300" s="21">
        <v>40556</v>
      </c>
      <c r="C300" s="25" t="s">
        <v>16</v>
      </c>
      <c r="D300" s="25" t="str" cm="1">
        <f t="array" ref="D300">_xlfn.SWITCH(Sheet5!A300,1,"JANUARY",2,"FEBRUARY")</f>
        <v>JANUARY</v>
      </c>
      <c r="E300">
        <v>21</v>
      </c>
      <c r="F300" t="str" cm="1">
        <f t="array" ref="F300">_xlfn.SWITCH(Sheet5!C300,FALSE,"NO",TRUE,"YES")</f>
        <v>NO</v>
      </c>
      <c r="G300" t="str" cm="1">
        <f t="array" ref="G300">_xlfn.SWITCH(Sheet5!B300,0,"Sunday",1,"Monday",2,"Tuesday",3,"Wednesday",4,"Thursday",5,"Friday",6,"Saturday")</f>
        <v>Thursday</v>
      </c>
      <c r="H300" t="str" cm="1">
        <f t="array" ref="H300">_xlfn.SWITCH(Sheet5!D300, 1, "Clear Sky", 2, "Mist", 3, "Dark Cloud",4,"Heavy Rainfall")</f>
        <v>Clear Sky</v>
      </c>
      <c r="I300" s="26">
        <f>Sheet5!E300*41</f>
        <v>5.74</v>
      </c>
      <c r="J300" s="27">
        <v>0.46</v>
      </c>
      <c r="K300">
        <v>0.29849999999999999</v>
      </c>
      <c r="L300">
        <v>0</v>
      </c>
      <c r="M300">
        <v>40</v>
      </c>
      <c r="N300">
        <v>40</v>
      </c>
    </row>
    <row r="301" spans="1:14" x14ac:dyDescent="0.3">
      <c r="A301">
        <v>300</v>
      </c>
      <c r="B301" s="21">
        <v>40556</v>
      </c>
      <c r="C301" s="25" t="s">
        <v>16</v>
      </c>
      <c r="D301" s="25" t="str" cm="1">
        <f t="array" ref="D301">_xlfn.SWITCH(Sheet5!A301,1,"JANUARY",2,"FEBRUARY")</f>
        <v>JANUARY</v>
      </c>
      <c r="E301">
        <v>22</v>
      </c>
      <c r="F301" t="str" cm="1">
        <f t="array" ref="F301">_xlfn.SWITCH(Sheet5!C301,FALSE,"NO",TRUE,"YES")</f>
        <v>NO</v>
      </c>
      <c r="G301" t="str" cm="1">
        <f t="array" ref="G301">_xlfn.SWITCH(Sheet5!B301,0,"Sunday",1,"Monday",2,"Tuesday",3,"Wednesday",4,"Thursday",5,"Friday",6,"Saturday")</f>
        <v>Thursday</v>
      </c>
      <c r="H301" t="str" cm="1">
        <f t="array" ref="H301">_xlfn.SWITCH(Sheet5!D301, 1, "Clear Sky", 2, "Mist", 3, "Dark Cloud",4,"Heavy Rainfall")</f>
        <v>Clear Sky</v>
      </c>
      <c r="I301" s="26">
        <f>Sheet5!E301*41</f>
        <v>5.74</v>
      </c>
      <c r="J301" s="27">
        <v>0.46</v>
      </c>
      <c r="K301">
        <v>0.32840000000000003</v>
      </c>
      <c r="L301">
        <v>0</v>
      </c>
      <c r="M301">
        <v>30</v>
      </c>
      <c r="N301">
        <v>30</v>
      </c>
    </row>
    <row r="302" spans="1:14" x14ac:dyDescent="0.3">
      <c r="A302">
        <v>301</v>
      </c>
      <c r="B302" s="21">
        <v>40556</v>
      </c>
      <c r="C302" s="25" t="s">
        <v>16</v>
      </c>
      <c r="D302" s="25" t="str" cm="1">
        <f t="array" ref="D302">_xlfn.SWITCH(Sheet5!A302,1,"JANUARY",2,"FEBRUARY")</f>
        <v>JANUARY</v>
      </c>
      <c r="E302">
        <v>23</v>
      </c>
      <c r="F302" t="str" cm="1">
        <f t="array" ref="F302">_xlfn.SWITCH(Sheet5!C302,FALSE,"NO",TRUE,"YES")</f>
        <v>NO</v>
      </c>
      <c r="G302" t="str" cm="1">
        <f t="array" ref="G302">_xlfn.SWITCH(Sheet5!B302,0,"Sunday",1,"Monday",2,"Tuesday",3,"Wednesday",4,"Thursday",5,"Friday",6,"Saturday")</f>
        <v>Thursday</v>
      </c>
      <c r="H302" t="str" cm="1">
        <f t="array" ref="H302">_xlfn.SWITCH(Sheet5!D302, 1, "Clear Sky", 2, "Mist", 3, "Dark Cloud",4,"Heavy Rainfall")</f>
        <v>Clear Sky</v>
      </c>
      <c r="I302" s="26">
        <f>Sheet5!E302*41</f>
        <v>4.92</v>
      </c>
      <c r="J302" s="27">
        <v>0.5</v>
      </c>
      <c r="K302">
        <v>0.19400000000000001</v>
      </c>
      <c r="L302">
        <v>1</v>
      </c>
      <c r="M302">
        <v>14</v>
      </c>
      <c r="N302">
        <v>15</v>
      </c>
    </row>
    <row r="303" spans="1:14" x14ac:dyDescent="0.3">
      <c r="A303">
        <v>302</v>
      </c>
      <c r="B303" s="21">
        <v>40557</v>
      </c>
      <c r="C303" s="25" t="s">
        <v>16</v>
      </c>
      <c r="D303" s="25" t="str" cm="1">
        <f t="array" ref="D303">_xlfn.SWITCH(Sheet5!A303,1,"JANUARY",2,"FEBRUARY")</f>
        <v>JANUARY</v>
      </c>
      <c r="E303">
        <v>0</v>
      </c>
      <c r="F303" t="str" cm="1">
        <f t="array" ref="F303">_xlfn.SWITCH(Sheet5!C303,FALSE,"NO",TRUE,"YES")</f>
        <v>NO</v>
      </c>
      <c r="G303" t="str" cm="1">
        <f t="array" ref="G303">_xlfn.SWITCH(Sheet5!B303,0,"Sunday",1,"Monday",2,"Tuesday",3,"Wednesday",4,"Thursday",5,"Friday",6,"Saturday")</f>
        <v>Friday</v>
      </c>
      <c r="H303" t="str" cm="1">
        <f t="array" ref="H303">_xlfn.SWITCH(Sheet5!D303, 1, "Clear Sky", 2, "Mist", 3, "Dark Cloud",4,"Heavy Rainfall")</f>
        <v>Clear Sky</v>
      </c>
      <c r="I303" s="26">
        <f>Sheet5!E303*41</f>
        <v>4.92</v>
      </c>
      <c r="J303" s="27">
        <v>0.5</v>
      </c>
      <c r="K303">
        <v>0.19400000000000001</v>
      </c>
      <c r="L303">
        <v>0</v>
      </c>
      <c r="M303">
        <v>14</v>
      </c>
      <c r="N303">
        <v>14</v>
      </c>
    </row>
    <row r="304" spans="1:14" x14ac:dyDescent="0.3">
      <c r="A304">
        <v>303</v>
      </c>
      <c r="B304" s="21">
        <v>40557</v>
      </c>
      <c r="C304" s="25" t="s">
        <v>16</v>
      </c>
      <c r="D304" s="25" t="str" cm="1">
        <f t="array" ref="D304">_xlfn.SWITCH(Sheet5!A304,1,"JANUARY",2,"FEBRUARY")</f>
        <v>JANUARY</v>
      </c>
      <c r="E304">
        <v>1</v>
      </c>
      <c r="F304" t="str" cm="1">
        <f t="array" ref="F304">_xlfn.SWITCH(Sheet5!C304,FALSE,"NO",TRUE,"YES")</f>
        <v>NO</v>
      </c>
      <c r="G304" t="str" cm="1">
        <f t="array" ref="G304">_xlfn.SWITCH(Sheet5!B304,0,"Sunday",1,"Monday",2,"Tuesday",3,"Wednesday",4,"Thursday",5,"Friday",6,"Saturday")</f>
        <v>Friday</v>
      </c>
      <c r="H304" t="str" cm="1">
        <f t="array" ref="H304">_xlfn.SWITCH(Sheet5!D304, 1, "Clear Sky", 2, "Mist", 3, "Dark Cloud",4,"Heavy Rainfall")</f>
        <v>Clear Sky</v>
      </c>
      <c r="I304" s="26">
        <f>Sheet5!E304*41</f>
        <v>4.1000000000000005</v>
      </c>
      <c r="J304" s="27">
        <v>0.54</v>
      </c>
      <c r="K304">
        <v>0.16420000000000001</v>
      </c>
      <c r="L304">
        <v>0</v>
      </c>
      <c r="M304">
        <v>5</v>
      </c>
      <c r="N304">
        <v>5</v>
      </c>
    </row>
    <row r="305" spans="1:14" x14ac:dyDescent="0.3">
      <c r="A305">
        <v>304</v>
      </c>
      <c r="B305" s="21">
        <v>40557</v>
      </c>
      <c r="C305" s="25" t="s">
        <v>16</v>
      </c>
      <c r="D305" s="25" t="str" cm="1">
        <f t="array" ref="D305">_xlfn.SWITCH(Sheet5!A305,1,"JANUARY",2,"FEBRUARY")</f>
        <v>JANUARY</v>
      </c>
      <c r="E305">
        <v>2</v>
      </c>
      <c r="F305" t="str" cm="1">
        <f t="array" ref="F305">_xlfn.SWITCH(Sheet5!C305,FALSE,"NO",TRUE,"YES")</f>
        <v>NO</v>
      </c>
      <c r="G305" t="str" cm="1">
        <f t="array" ref="G305">_xlfn.SWITCH(Sheet5!B305,0,"Sunday",1,"Monday",2,"Tuesday",3,"Wednesday",4,"Thursday",5,"Friday",6,"Saturday")</f>
        <v>Friday</v>
      </c>
      <c r="H305" t="str" cm="1">
        <f t="array" ref="H305">_xlfn.SWITCH(Sheet5!D305, 1, "Clear Sky", 2, "Mist", 3, "Dark Cloud",4,"Heavy Rainfall")</f>
        <v>Clear Sky</v>
      </c>
      <c r="I305" s="26">
        <f>Sheet5!E305*41</f>
        <v>4.1000000000000005</v>
      </c>
      <c r="J305" s="27">
        <v>0.54</v>
      </c>
      <c r="K305">
        <v>0.1343</v>
      </c>
      <c r="L305">
        <v>0</v>
      </c>
      <c r="M305">
        <v>1</v>
      </c>
      <c r="N305">
        <v>1</v>
      </c>
    </row>
    <row r="306" spans="1:14" x14ac:dyDescent="0.3">
      <c r="A306">
        <v>305</v>
      </c>
      <c r="B306" s="21">
        <v>40557</v>
      </c>
      <c r="C306" s="25" t="s">
        <v>16</v>
      </c>
      <c r="D306" s="25" t="str" cm="1">
        <f t="array" ref="D306">_xlfn.SWITCH(Sheet5!A306,1,"JANUARY",2,"FEBRUARY")</f>
        <v>JANUARY</v>
      </c>
      <c r="E306">
        <v>3</v>
      </c>
      <c r="F306" t="str" cm="1">
        <f t="array" ref="F306">_xlfn.SWITCH(Sheet5!C306,FALSE,"NO",TRUE,"YES")</f>
        <v>NO</v>
      </c>
      <c r="G306" t="str" cm="1">
        <f t="array" ref="G306">_xlfn.SWITCH(Sheet5!B306,0,"Sunday",1,"Monday",2,"Tuesday",3,"Wednesday",4,"Thursday",5,"Friday",6,"Saturday")</f>
        <v>Friday</v>
      </c>
      <c r="H306" t="str" cm="1">
        <f t="array" ref="H306">_xlfn.SWITCH(Sheet5!D306, 1, "Clear Sky", 2, "Mist", 3, "Dark Cloud",4,"Heavy Rainfall")</f>
        <v>Clear Sky</v>
      </c>
      <c r="I306" s="26">
        <f>Sheet5!E306*41</f>
        <v>4.1000000000000005</v>
      </c>
      <c r="J306" s="27">
        <v>0.54</v>
      </c>
      <c r="K306">
        <v>0.1045</v>
      </c>
      <c r="L306">
        <v>0</v>
      </c>
      <c r="M306">
        <v>1</v>
      </c>
      <c r="N306">
        <v>1</v>
      </c>
    </row>
    <row r="307" spans="1:14" x14ac:dyDescent="0.3">
      <c r="A307">
        <v>306</v>
      </c>
      <c r="B307" s="21">
        <v>40557</v>
      </c>
      <c r="C307" s="25" t="s">
        <v>16</v>
      </c>
      <c r="D307" s="25" t="str" cm="1">
        <f t="array" ref="D307">_xlfn.SWITCH(Sheet5!A307,1,"JANUARY",2,"FEBRUARY")</f>
        <v>JANUARY</v>
      </c>
      <c r="E307">
        <v>5</v>
      </c>
      <c r="F307" t="str" cm="1">
        <f t="array" ref="F307">_xlfn.SWITCH(Sheet5!C307,FALSE,"NO",TRUE,"YES")</f>
        <v>NO</v>
      </c>
      <c r="G307" t="str" cm="1">
        <f t="array" ref="G307">_xlfn.SWITCH(Sheet5!B307,0,"Sunday",1,"Monday",2,"Tuesday",3,"Wednesday",4,"Thursday",5,"Friday",6,"Saturday")</f>
        <v>Friday</v>
      </c>
      <c r="H307" t="str" cm="1">
        <f t="array" ref="H307">_xlfn.SWITCH(Sheet5!D307, 1, "Clear Sky", 2, "Mist", 3, "Dark Cloud",4,"Heavy Rainfall")</f>
        <v>Clear Sky</v>
      </c>
      <c r="I307" s="26">
        <f>Sheet5!E307*41</f>
        <v>4.1000000000000005</v>
      </c>
      <c r="J307" s="27">
        <v>0.54</v>
      </c>
      <c r="K307">
        <v>8.9599999999999999E-2</v>
      </c>
      <c r="L307">
        <v>0</v>
      </c>
      <c r="M307">
        <v>8</v>
      </c>
      <c r="N307">
        <v>8</v>
      </c>
    </row>
    <row r="308" spans="1:14" x14ac:dyDescent="0.3">
      <c r="A308">
        <v>307</v>
      </c>
      <c r="B308" s="21">
        <v>40557</v>
      </c>
      <c r="C308" s="25" t="s">
        <v>16</v>
      </c>
      <c r="D308" s="25" t="str" cm="1">
        <f t="array" ref="D308">_xlfn.SWITCH(Sheet5!A308,1,"JANUARY",2,"FEBRUARY")</f>
        <v>JANUARY</v>
      </c>
      <c r="E308">
        <v>6</v>
      </c>
      <c r="F308" t="str" cm="1">
        <f t="array" ref="F308">_xlfn.SWITCH(Sheet5!C308,FALSE,"NO",TRUE,"YES")</f>
        <v>NO</v>
      </c>
      <c r="G308" t="str" cm="1">
        <f t="array" ref="G308">_xlfn.SWITCH(Sheet5!B308,0,"Sunday",1,"Monday",2,"Tuesday",3,"Wednesday",4,"Thursday",5,"Friday",6,"Saturday")</f>
        <v>Friday</v>
      </c>
      <c r="H308" t="str" cm="1">
        <f t="array" ref="H308">_xlfn.SWITCH(Sheet5!D308, 1, "Clear Sky", 2, "Mist", 3, "Dark Cloud",4,"Heavy Rainfall")</f>
        <v>Clear Sky</v>
      </c>
      <c r="I308" s="26">
        <f>Sheet5!E308*41</f>
        <v>4.1000000000000005</v>
      </c>
      <c r="J308" s="27">
        <v>0.54</v>
      </c>
      <c r="K308">
        <v>0</v>
      </c>
      <c r="L308">
        <v>0</v>
      </c>
      <c r="M308">
        <v>17</v>
      </c>
      <c r="N308">
        <v>17</v>
      </c>
    </row>
    <row r="309" spans="1:14" x14ac:dyDescent="0.3">
      <c r="A309">
        <v>308</v>
      </c>
      <c r="B309" s="21">
        <v>40557</v>
      </c>
      <c r="C309" s="25" t="s">
        <v>16</v>
      </c>
      <c r="D309" s="25" t="str" cm="1">
        <f t="array" ref="D309">_xlfn.SWITCH(Sheet5!A309,1,"JANUARY",2,"FEBRUARY")</f>
        <v>JANUARY</v>
      </c>
      <c r="E309">
        <v>7</v>
      </c>
      <c r="F309" t="str" cm="1">
        <f t="array" ref="F309">_xlfn.SWITCH(Sheet5!C309,FALSE,"NO",TRUE,"YES")</f>
        <v>NO</v>
      </c>
      <c r="G309" t="str" cm="1">
        <f t="array" ref="G309">_xlfn.SWITCH(Sheet5!B309,0,"Sunday",1,"Monday",2,"Tuesday",3,"Wednesday",4,"Thursday",5,"Friday",6,"Saturday")</f>
        <v>Friday</v>
      </c>
      <c r="H309" t="str" cm="1">
        <f t="array" ref="H309">_xlfn.SWITCH(Sheet5!D309, 1, "Clear Sky", 2, "Mist", 3, "Dark Cloud",4,"Heavy Rainfall")</f>
        <v>Clear Sky</v>
      </c>
      <c r="I309" s="26">
        <f>Sheet5!E309*41</f>
        <v>4.1000000000000005</v>
      </c>
      <c r="J309" s="27">
        <v>0.74</v>
      </c>
      <c r="K309">
        <v>0.16420000000000001</v>
      </c>
      <c r="L309">
        <v>0</v>
      </c>
      <c r="M309">
        <v>70</v>
      </c>
      <c r="N309">
        <v>70</v>
      </c>
    </row>
    <row r="310" spans="1:14" x14ac:dyDescent="0.3">
      <c r="A310">
        <v>309</v>
      </c>
      <c r="B310" s="21">
        <v>40557</v>
      </c>
      <c r="C310" s="25" t="s">
        <v>16</v>
      </c>
      <c r="D310" s="25" t="str" cm="1">
        <f t="array" ref="D310">_xlfn.SWITCH(Sheet5!A310,1,"JANUARY",2,"FEBRUARY")</f>
        <v>JANUARY</v>
      </c>
      <c r="E310">
        <v>8</v>
      </c>
      <c r="F310" t="str" cm="1">
        <f t="array" ref="F310">_xlfn.SWITCH(Sheet5!C310,FALSE,"NO",TRUE,"YES")</f>
        <v>NO</v>
      </c>
      <c r="G310" t="str" cm="1">
        <f t="array" ref="G310">_xlfn.SWITCH(Sheet5!B310,0,"Sunday",1,"Monday",2,"Tuesday",3,"Wednesday",4,"Thursday",5,"Friday",6,"Saturday")</f>
        <v>Friday</v>
      </c>
      <c r="H310" t="str" cm="1">
        <f t="array" ref="H310">_xlfn.SWITCH(Sheet5!D310, 1, "Clear Sky", 2, "Mist", 3, "Dark Cloud",4,"Heavy Rainfall")</f>
        <v>Clear Sky</v>
      </c>
      <c r="I310" s="26">
        <f>Sheet5!E310*41</f>
        <v>4.92</v>
      </c>
      <c r="J310" s="27">
        <v>0.68</v>
      </c>
      <c r="K310">
        <v>0</v>
      </c>
      <c r="L310">
        <v>2</v>
      </c>
      <c r="M310">
        <v>156</v>
      </c>
      <c r="N310">
        <v>158</v>
      </c>
    </row>
    <row r="311" spans="1:14" x14ac:dyDescent="0.3">
      <c r="A311">
        <v>310</v>
      </c>
      <c r="B311" s="21">
        <v>40557</v>
      </c>
      <c r="C311" s="25" t="s">
        <v>16</v>
      </c>
      <c r="D311" s="25" t="str" cm="1">
        <f t="array" ref="D311">_xlfn.SWITCH(Sheet5!A311,1,"JANUARY",2,"FEBRUARY")</f>
        <v>JANUARY</v>
      </c>
      <c r="E311">
        <v>9</v>
      </c>
      <c r="F311" t="str" cm="1">
        <f t="array" ref="F311">_xlfn.SWITCH(Sheet5!C311,FALSE,"NO",TRUE,"YES")</f>
        <v>NO</v>
      </c>
      <c r="G311" t="str" cm="1">
        <f t="array" ref="G311">_xlfn.SWITCH(Sheet5!B311,0,"Sunday",1,"Monday",2,"Tuesday",3,"Wednesday",4,"Thursday",5,"Friday",6,"Saturday")</f>
        <v>Friday</v>
      </c>
      <c r="H311" t="str" cm="1">
        <f t="array" ref="H311">_xlfn.SWITCH(Sheet5!D311, 1, "Clear Sky", 2, "Mist", 3, "Dark Cloud",4,"Heavy Rainfall")</f>
        <v>Clear Sky</v>
      </c>
      <c r="I311" s="26">
        <f>Sheet5!E311*41</f>
        <v>5.74</v>
      </c>
      <c r="J311" s="27">
        <v>0.69</v>
      </c>
      <c r="K311">
        <v>0.1343</v>
      </c>
      <c r="L311">
        <v>0</v>
      </c>
      <c r="M311">
        <v>117</v>
      </c>
      <c r="N311">
        <v>117</v>
      </c>
    </row>
    <row r="312" spans="1:14" x14ac:dyDescent="0.3">
      <c r="A312">
        <v>311</v>
      </c>
      <c r="B312" s="21">
        <v>40557</v>
      </c>
      <c r="C312" s="25" t="s">
        <v>16</v>
      </c>
      <c r="D312" s="25" t="str" cm="1">
        <f t="array" ref="D312">_xlfn.SWITCH(Sheet5!A312,1,"JANUARY",2,"FEBRUARY")</f>
        <v>JANUARY</v>
      </c>
      <c r="E312">
        <v>10</v>
      </c>
      <c r="F312" t="str" cm="1">
        <f t="array" ref="F312">_xlfn.SWITCH(Sheet5!C312,FALSE,"NO",TRUE,"YES")</f>
        <v>NO</v>
      </c>
      <c r="G312" t="str" cm="1">
        <f t="array" ref="G312">_xlfn.SWITCH(Sheet5!B312,0,"Sunday",1,"Monday",2,"Tuesday",3,"Wednesday",4,"Thursday",5,"Friday",6,"Saturday")</f>
        <v>Friday</v>
      </c>
      <c r="H312" t="str" cm="1">
        <f t="array" ref="H312">_xlfn.SWITCH(Sheet5!D312, 1, "Clear Sky", 2, "Mist", 3, "Dark Cloud",4,"Heavy Rainfall")</f>
        <v>Clear Sky</v>
      </c>
      <c r="I312" s="26">
        <f>Sheet5!E312*41</f>
        <v>7.38</v>
      </c>
      <c r="J312" s="27">
        <v>0.55000000000000004</v>
      </c>
      <c r="K312">
        <v>0.19400000000000001</v>
      </c>
      <c r="L312">
        <v>4</v>
      </c>
      <c r="M312">
        <v>40</v>
      </c>
      <c r="N312">
        <v>44</v>
      </c>
    </row>
    <row r="313" spans="1:14" x14ac:dyDescent="0.3">
      <c r="A313">
        <v>312</v>
      </c>
      <c r="B313" s="21">
        <v>40557</v>
      </c>
      <c r="C313" s="25" t="s">
        <v>16</v>
      </c>
      <c r="D313" s="25" t="str" cm="1">
        <f t="array" ref="D313">_xlfn.SWITCH(Sheet5!A313,1,"JANUARY",2,"FEBRUARY")</f>
        <v>JANUARY</v>
      </c>
      <c r="E313">
        <v>11</v>
      </c>
      <c r="F313" t="str" cm="1">
        <f t="array" ref="F313">_xlfn.SWITCH(Sheet5!C313,FALSE,"NO",TRUE,"YES")</f>
        <v>NO</v>
      </c>
      <c r="G313" t="str" cm="1">
        <f t="array" ref="G313">_xlfn.SWITCH(Sheet5!B313,0,"Sunday",1,"Monday",2,"Tuesday",3,"Wednesday",4,"Thursday",5,"Friday",6,"Saturday")</f>
        <v>Friday</v>
      </c>
      <c r="H313" t="str" cm="1">
        <f t="array" ref="H313">_xlfn.SWITCH(Sheet5!D313, 1, "Clear Sky", 2, "Mist", 3, "Dark Cloud",4,"Heavy Rainfall")</f>
        <v>Clear Sky</v>
      </c>
      <c r="I313" s="26">
        <f>Sheet5!E313*41</f>
        <v>7.38</v>
      </c>
      <c r="J313" s="27">
        <v>0.51</v>
      </c>
      <c r="K313">
        <v>0.28360000000000002</v>
      </c>
      <c r="L313">
        <v>6</v>
      </c>
      <c r="M313">
        <v>47</v>
      </c>
      <c r="N313">
        <v>53</v>
      </c>
    </row>
    <row r="314" spans="1:14" x14ac:dyDescent="0.3">
      <c r="A314">
        <v>313</v>
      </c>
      <c r="B314" s="21">
        <v>40557</v>
      </c>
      <c r="C314" s="25" t="s">
        <v>16</v>
      </c>
      <c r="D314" s="25" t="str" cm="1">
        <f t="array" ref="D314">_xlfn.SWITCH(Sheet5!A314,1,"JANUARY",2,"FEBRUARY")</f>
        <v>JANUARY</v>
      </c>
      <c r="E314">
        <v>12</v>
      </c>
      <c r="F314" t="str" cm="1">
        <f t="array" ref="F314">_xlfn.SWITCH(Sheet5!C314,FALSE,"NO",TRUE,"YES")</f>
        <v>NO</v>
      </c>
      <c r="G314" t="str" cm="1">
        <f t="array" ref="G314">_xlfn.SWITCH(Sheet5!B314,0,"Sunday",1,"Monday",2,"Tuesday",3,"Wednesday",4,"Thursday",5,"Friday",6,"Saturday")</f>
        <v>Friday</v>
      </c>
      <c r="H314" t="str" cm="1">
        <f t="array" ref="H314">_xlfn.SWITCH(Sheet5!D314, 1, "Clear Sky", 2, "Mist", 3, "Dark Cloud",4,"Heavy Rainfall")</f>
        <v>Clear Sky</v>
      </c>
      <c r="I314" s="26">
        <f>Sheet5!E314*41</f>
        <v>8.2000000000000011</v>
      </c>
      <c r="J314" s="27">
        <v>0.44</v>
      </c>
      <c r="K314">
        <v>0.25369999999999998</v>
      </c>
      <c r="L314">
        <v>2</v>
      </c>
      <c r="M314">
        <v>59</v>
      </c>
      <c r="N314">
        <v>61</v>
      </c>
    </row>
    <row r="315" spans="1:14" x14ac:dyDescent="0.3">
      <c r="A315">
        <v>314</v>
      </c>
      <c r="B315" s="21">
        <v>40557</v>
      </c>
      <c r="C315" s="25" t="s">
        <v>16</v>
      </c>
      <c r="D315" s="25" t="str" cm="1">
        <f t="array" ref="D315">_xlfn.SWITCH(Sheet5!A315,1,"JANUARY",2,"FEBRUARY")</f>
        <v>JANUARY</v>
      </c>
      <c r="E315">
        <v>13</v>
      </c>
      <c r="F315" t="str" cm="1">
        <f t="array" ref="F315">_xlfn.SWITCH(Sheet5!C315,FALSE,"NO",TRUE,"YES")</f>
        <v>NO</v>
      </c>
      <c r="G315" t="str" cm="1">
        <f t="array" ref="G315">_xlfn.SWITCH(Sheet5!B315,0,"Sunday",1,"Monday",2,"Tuesday",3,"Wednesday",4,"Thursday",5,"Friday",6,"Saturday")</f>
        <v>Friday</v>
      </c>
      <c r="H315" t="str" cm="1">
        <f t="array" ref="H315">_xlfn.SWITCH(Sheet5!D315, 1, "Clear Sky", 2, "Mist", 3, "Dark Cloud",4,"Heavy Rainfall")</f>
        <v>Clear Sky</v>
      </c>
      <c r="I315" s="26">
        <f>Sheet5!E315*41</f>
        <v>9.02</v>
      </c>
      <c r="J315" s="27">
        <v>0.37</v>
      </c>
      <c r="K315">
        <v>0.3881</v>
      </c>
      <c r="L315">
        <v>4</v>
      </c>
      <c r="M315">
        <v>73</v>
      </c>
      <c r="N315">
        <v>77</v>
      </c>
    </row>
    <row r="316" spans="1:14" x14ac:dyDescent="0.3">
      <c r="A316">
        <v>315</v>
      </c>
      <c r="B316" s="21">
        <v>40557</v>
      </c>
      <c r="C316" s="25" t="s">
        <v>16</v>
      </c>
      <c r="D316" s="25" t="str" cm="1">
        <f t="array" ref="D316">_xlfn.SWITCH(Sheet5!A316,1,"JANUARY",2,"FEBRUARY")</f>
        <v>JANUARY</v>
      </c>
      <c r="E316">
        <v>14</v>
      </c>
      <c r="F316" t="str" cm="1">
        <f t="array" ref="F316">_xlfn.SWITCH(Sheet5!C316,FALSE,"NO",TRUE,"YES")</f>
        <v>NO</v>
      </c>
      <c r="G316" t="str" cm="1">
        <f t="array" ref="G316">_xlfn.SWITCH(Sheet5!B316,0,"Sunday",1,"Monday",2,"Tuesday",3,"Wednesday",4,"Thursday",5,"Friday",6,"Saturday")</f>
        <v>Friday</v>
      </c>
      <c r="H316" t="str" cm="1">
        <f t="array" ref="H316">_xlfn.SWITCH(Sheet5!D316, 1, "Clear Sky", 2, "Mist", 3, "Dark Cloud",4,"Heavy Rainfall")</f>
        <v>Clear Sky</v>
      </c>
      <c r="I316" s="26">
        <f>Sheet5!E316*41</f>
        <v>9.02</v>
      </c>
      <c r="J316" s="27">
        <v>0.41</v>
      </c>
      <c r="K316">
        <v>0.28360000000000002</v>
      </c>
      <c r="L316">
        <v>5</v>
      </c>
      <c r="M316">
        <v>59</v>
      </c>
      <c r="N316">
        <v>64</v>
      </c>
    </row>
    <row r="317" spans="1:14" x14ac:dyDescent="0.3">
      <c r="A317">
        <v>316</v>
      </c>
      <c r="B317" s="21">
        <v>40557</v>
      </c>
      <c r="C317" s="25" t="s">
        <v>16</v>
      </c>
      <c r="D317" s="25" t="str" cm="1">
        <f t="array" ref="D317">_xlfn.SWITCH(Sheet5!A317,1,"JANUARY",2,"FEBRUARY")</f>
        <v>JANUARY</v>
      </c>
      <c r="E317">
        <v>15</v>
      </c>
      <c r="F317" t="str" cm="1">
        <f t="array" ref="F317">_xlfn.SWITCH(Sheet5!C317,FALSE,"NO",TRUE,"YES")</f>
        <v>NO</v>
      </c>
      <c r="G317" t="str" cm="1">
        <f t="array" ref="G317">_xlfn.SWITCH(Sheet5!B317,0,"Sunday",1,"Monday",2,"Tuesday",3,"Wednesday",4,"Thursday",5,"Friday",6,"Saturday")</f>
        <v>Friday</v>
      </c>
      <c r="H317" t="str" cm="1">
        <f t="array" ref="H317">_xlfn.SWITCH(Sheet5!D317, 1, "Clear Sky", 2, "Mist", 3, "Dark Cloud",4,"Heavy Rainfall")</f>
        <v>Clear Sky</v>
      </c>
      <c r="I317" s="26">
        <f>Sheet5!E317*41</f>
        <v>9.84</v>
      </c>
      <c r="J317" s="27">
        <v>0.38</v>
      </c>
      <c r="K317">
        <v>0.16420000000000001</v>
      </c>
      <c r="L317">
        <v>9</v>
      </c>
      <c r="M317">
        <v>59</v>
      </c>
      <c r="N317">
        <v>68</v>
      </c>
    </row>
    <row r="318" spans="1:14" x14ac:dyDescent="0.3">
      <c r="A318">
        <v>317</v>
      </c>
      <c r="B318" s="21">
        <v>40557</v>
      </c>
      <c r="C318" s="25" t="s">
        <v>16</v>
      </c>
      <c r="D318" s="25" t="str" cm="1">
        <f t="array" ref="D318">_xlfn.SWITCH(Sheet5!A318,1,"JANUARY",2,"FEBRUARY")</f>
        <v>JANUARY</v>
      </c>
      <c r="E318">
        <v>16</v>
      </c>
      <c r="F318" t="str" cm="1">
        <f t="array" ref="F318">_xlfn.SWITCH(Sheet5!C318,FALSE,"NO",TRUE,"YES")</f>
        <v>NO</v>
      </c>
      <c r="G318" t="str" cm="1">
        <f t="array" ref="G318">_xlfn.SWITCH(Sheet5!B318,0,"Sunday",1,"Monday",2,"Tuesday",3,"Wednesday",4,"Thursday",5,"Friday",6,"Saturday")</f>
        <v>Friday</v>
      </c>
      <c r="H318" t="str" cm="1">
        <f t="array" ref="H318">_xlfn.SWITCH(Sheet5!D318, 1, "Clear Sky", 2, "Mist", 3, "Dark Cloud",4,"Heavy Rainfall")</f>
        <v>Clear Sky</v>
      </c>
      <c r="I318" s="26">
        <f>Sheet5!E318*41</f>
        <v>9.02</v>
      </c>
      <c r="J318" s="27">
        <v>0.41</v>
      </c>
      <c r="K318">
        <v>0.1045</v>
      </c>
      <c r="L318">
        <v>3</v>
      </c>
      <c r="M318">
        <v>87</v>
      </c>
      <c r="N318">
        <v>90</v>
      </c>
    </row>
    <row r="319" spans="1:14" x14ac:dyDescent="0.3">
      <c r="A319">
        <v>318</v>
      </c>
      <c r="B319" s="21">
        <v>40557</v>
      </c>
      <c r="C319" s="25" t="s">
        <v>16</v>
      </c>
      <c r="D319" s="25" t="str" cm="1">
        <f t="array" ref="D319">_xlfn.SWITCH(Sheet5!A319,1,"JANUARY",2,"FEBRUARY")</f>
        <v>JANUARY</v>
      </c>
      <c r="E319">
        <v>17</v>
      </c>
      <c r="F319" t="str" cm="1">
        <f t="array" ref="F319">_xlfn.SWITCH(Sheet5!C319,FALSE,"NO",TRUE,"YES")</f>
        <v>NO</v>
      </c>
      <c r="G319" t="str" cm="1">
        <f t="array" ref="G319">_xlfn.SWITCH(Sheet5!B319,0,"Sunday",1,"Monday",2,"Tuesday",3,"Wednesday",4,"Thursday",5,"Friday",6,"Saturday")</f>
        <v>Friday</v>
      </c>
      <c r="H319" t="str" cm="1">
        <f t="array" ref="H319">_xlfn.SWITCH(Sheet5!D319, 1, "Clear Sky", 2, "Mist", 3, "Dark Cloud",4,"Heavy Rainfall")</f>
        <v>Clear Sky</v>
      </c>
      <c r="I319" s="26">
        <f>Sheet5!E319*41</f>
        <v>9.02</v>
      </c>
      <c r="J319" s="27">
        <v>0.41</v>
      </c>
      <c r="K319">
        <v>0.16420000000000001</v>
      </c>
      <c r="L319">
        <v>4</v>
      </c>
      <c r="M319">
        <v>155</v>
      </c>
      <c r="N319">
        <v>159</v>
      </c>
    </row>
    <row r="320" spans="1:14" x14ac:dyDescent="0.3">
      <c r="A320">
        <v>319</v>
      </c>
      <c r="B320" s="21">
        <v>40557</v>
      </c>
      <c r="C320" s="25" t="s">
        <v>16</v>
      </c>
      <c r="D320" s="25" t="str" cm="1">
        <f t="array" ref="D320">_xlfn.SWITCH(Sheet5!A320,1,"JANUARY",2,"FEBRUARY")</f>
        <v>JANUARY</v>
      </c>
      <c r="E320">
        <v>18</v>
      </c>
      <c r="F320" t="str" cm="1">
        <f t="array" ref="F320">_xlfn.SWITCH(Sheet5!C320,FALSE,"NO",TRUE,"YES")</f>
        <v>NO</v>
      </c>
      <c r="G320" t="str" cm="1">
        <f t="array" ref="G320">_xlfn.SWITCH(Sheet5!B320,0,"Sunday",1,"Monday",2,"Tuesday",3,"Wednesday",4,"Thursday",5,"Friday",6,"Saturday")</f>
        <v>Friday</v>
      </c>
      <c r="H320" t="str" cm="1">
        <f t="array" ref="H320">_xlfn.SWITCH(Sheet5!D320, 1, "Clear Sky", 2, "Mist", 3, "Dark Cloud",4,"Heavy Rainfall")</f>
        <v>Clear Sky</v>
      </c>
      <c r="I320" s="26">
        <f>Sheet5!E320*41</f>
        <v>8.2000000000000011</v>
      </c>
      <c r="J320" s="27">
        <v>0.47</v>
      </c>
      <c r="K320">
        <v>0</v>
      </c>
      <c r="L320">
        <v>5</v>
      </c>
      <c r="M320">
        <v>134</v>
      </c>
      <c r="N320">
        <v>139</v>
      </c>
    </row>
    <row r="321" spans="1:14" x14ac:dyDescent="0.3">
      <c r="A321">
        <v>320</v>
      </c>
      <c r="B321" s="21">
        <v>40557</v>
      </c>
      <c r="C321" s="25" t="s">
        <v>16</v>
      </c>
      <c r="D321" s="25" t="str" cm="1">
        <f t="array" ref="D321">_xlfn.SWITCH(Sheet5!A321,1,"JANUARY",2,"FEBRUARY")</f>
        <v>JANUARY</v>
      </c>
      <c r="E321">
        <v>19</v>
      </c>
      <c r="F321" t="str" cm="1">
        <f t="array" ref="F321">_xlfn.SWITCH(Sheet5!C321,FALSE,"NO",TRUE,"YES")</f>
        <v>NO</v>
      </c>
      <c r="G321" t="str" cm="1">
        <f t="array" ref="G321">_xlfn.SWITCH(Sheet5!B321,0,"Sunday",1,"Monday",2,"Tuesday",3,"Wednesday",4,"Thursday",5,"Friday",6,"Saturday")</f>
        <v>Friday</v>
      </c>
      <c r="H321" t="str" cm="1">
        <f t="array" ref="H321">_xlfn.SWITCH(Sheet5!D321, 1, "Clear Sky", 2, "Mist", 3, "Dark Cloud",4,"Heavy Rainfall")</f>
        <v>Clear Sky</v>
      </c>
      <c r="I321" s="26">
        <f>Sheet5!E321*41</f>
        <v>6.5600000000000005</v>
      </c>
      <c r="J321" s="27">
        <v>0.59</v>
      </c>
      <c r="K321">
        <v>8.9599999999999999E-2</v>
      </c>
      <c r="L321">
        <v>3</v>
      </c>
      <c r="M321">
        <v>89</v>
      </c>
      <c r="N321">
        <v>92</v>
      </c>
    </row>
    <row r="322" spans="1:14" x14ac:dyDescent="0.3">
      <c r="A322">
        <v>321</v>
      </c>
      <c r="B322" s="21">
        <v>40557</v>
      </c>
      <c r="C322" s="25" t="s">
        <v>16</v>
      </c>
      <c r="D322" s="25" t="str" cm="1">
        <f t="array" ref="D322">_xlfn.SWITCH(Sheet5!A322,1,"JANUARY",2,"FEBRUARY")</f>
        <v>JANUARY</v>
      </c>
      <c r="E322">
        <v>20</v>
      </c>
      <c r="F322" t="str" cm="1">
        <f t="array" ref="F322">_xlfn.SWITCH(Sheet5!C322,FALSE,"NO",TRUE,"YES")</f>
        <v>NO</v>
      </c>
      <c r="G322" t="str" cm="1">
        <f t="array" ref="G322">_xlfn.SWITCH(Sheet5!B322,0,"Sunday",1,"Monday",2,"Tuesday",3,"Wednesday",4,"Thursday",5,"Friday",6,"Saturday")</f>
        <v>Friday</v>
      </c>
      <c r="H322" t="str" cm="1">
        <f t="array" ref="H322">_xlfn.SWITCH(Sheet5!D322, 1, "Clear Sky", 2, "Mist", 3, "Dark Cloud",4,"Heavy Rainfall")</f>
        <v>Clear Sky</v>
      </c>
      <c r="I322" s="26">
        <f>Sheet5!E322*41</f>
        <v>7.38</v>
      </c>
      <c r="J322" s="27">
        <v>0.59</v>
      </c>
      <c r="K322">
        <v>0</v>
      </c>
      <c r="L322">
        <v>0</v>
      </c>
      <c r="M322">
        <v>68</v>
      </c>
      <c r="N322">
        <v>68</v>
      </c>
    </row>
    <row r="323" spans="1:14" x14ac:dyDescent="0.3">
      <c r="A323">
        <v>322</v>
      </c>
      <c r="B323" s="21">
        <v>40557</v>
      </c>
      <c r="C323" s="25" t="s">
        <v>16</v>
      </c>
      <c r="D323" s="25" t="str" cm="1">
        <f t="array" ref="D323">_xlfn.SWITCH(Sheet5!A323,1,"JANUARY",2,"FEBRUARY")</f>
        <v>JANUARY</v>
      </c>
      <c r="E323">
        <v>21</v>
      </c>
      <c r="F323" t="str" cm="1">
        <f t="array" ref="F323">_xlfn.SWITCH(Sheet5!C323,FALSE,"NO",TRUE,"YES")</f>
        <v>NO</v>
      </c>
      <c r="G323" t="str" cm="1">
        <f t="array" ref="G323">_xlfn.SWITCH(Sheet5!B323,0,"Sunday",1,"Monday",2,"Tuesday",3,"Wednesday",4,"Thursday",5,"Friday",6,"Saturday")</f>
        <v>Friday</v>
      </c>
      <c r="H323" t="str" cm="1">
        <f t="array" ref="H323">_xlfn.SWITCH(Sheet5!D323, 1, "Clear Sky", 2, "Mist", 3, "Dark Cloud",4,"Heavy Rainfall")</f>
        <v>Clear Sky</v>
      </c>
      <c r="I323" s="26">
        <f>Sheet5!E323*41</f>
        <v>6.5600000000000005</v>
      </c>
      <c r="J323" s="27">
        <v>0.69</v>
      </c>
      <c r="K323">
        <v>0</v>
      </c>
      <c r="L323">
        <v>4</v>
      </c>
      <c r="M323">
        <v>48</v>
      </c>
      <c r="N323">
        <v>52</v>
      </c>
    </row>
    <row r="324" spans="1:14" x14ac:dyDescent="0.3">
      <c r="A324">
        <v>323</v>
      </c>
      <c r="B324" s="21">
        <v>40557</v>
      </c>
      <c r="C324" s="25" t="s">
        <v>16</v>
      </c>
      <c r="D324" s="25" t="str" cm="1">
        <f t="array" ref="D324">_xlfn.SWITCH(Sheet5!A324,1,"JANUARY",2,"FEBRUARY")</f>
        <v>JANUARY</v>
      </c>
      <c r="E324">
        <v>22</v>
      </c>
      <c r="F324" t="str" cm="1">
        <f t="array" ref="F324">_xlfn.SWITCH(Sheet5!C324,FALSE,"NO",TRUE,"YES")</f>
        <v>NO</v>
      </c>
      <c r="G324" t="str" cm="1">
        <f t="array" ref="G324">_xlfn.SWITCH(Sheet5!B324,0,"Sunday",1,"Monday",2,"Tuesday",3,"Wednesday",4,"Thursday",5,"Friday",6,"Saturday")</f>
        <v>Friday</v>
      </c>
      <c r="H324" t="str" cm="1">
        <f t="array" ref="H324">_xlfn.SWITCH(Sheet5!D324, 1, "Clear Sky", 2, "Mist", 3, "Dark Cloud",4,"Heavy Rainfall")</f>
        <v>Mist</v>
      </c>
      <c r="I324" s="26">
        <f>Sheet5!E324*41</f>
        <v>6.5600000000000005</v>
      </c>
      <c r="J324" s="27">
        <v>0.69</v>
      </c>
      <c r="K324">
        <v>0</v>
      </c>
      <c r="L324">
        <v>2</v>
      </c>
      <c r="M324">
        <v>34</v>
      </c>
      <c r="N324">
        <v>36</v>
      </c>
    </row>
    <row r="325" spans="1:14" x14ac:dyDescent="0.3">
      <c r="A325">
        <v>324</v>
      </c>
      <c r="B325" s="21">
        <v>40557</v>
      </c>
      <c r="C325" s="25" t="s">
        <v>16</v>
      </c>
      <c r="D325" s="25" t="str" cm="1">
        <f t="array" ref="D325">_xlfn.SWITCH(Sheet5!A325,1,"JANUARY",2,"FEBRUARY")</f>
        <v>JANUARY</v>
      </c>
      <c r="E325">
        <v>23</v>
      </c>
      <c r="F325" t="str" cm="1">
        <f t="array" ref="F325">_xlfn.SWITCH(Sheet5!C325,FALSE,"NO",TRUE,"YES")</f>
        <v>NO</v>
      </c>
      <c r="G325" t="str" cm="1">
        <f t="array" ref="G325">_xlfn.SWITCH(Sheet5!B325,0,"Sunday",1,"Monday",2,"Tuesday",3,"Wednesday",4,"Thursday",5,"Friday",6,"Saturday")</f>
        <v>Friday</v>
      </c>
      <c r="H325" t="str" cm="1">
        <f t="array" ref="H325">_xlfn.SWITCH(Sheet5!D325, 1, "Clear Sky", 2, "Mist", 3, "Dark Cloud",4,"Heavy Rainfall")</f>
        <v>Mist</v>
      </c>
      <c r="I325" s="26">
        <f>Sheet5!E325*41</f>
        <v>7.38</v>
      </c>
      <c r="J325" s="27">
        <v>0.55000000000000004</v>
      </c>
      <c r="K325">
        <v>0</v>
      </c>
      <c r="L325">
        <v>1</v>
      </c>
      <c r="M325">
        <v>26</v>
      </c>
      <c r="N325">
        <v>27</v>
      </c>
    </row>
    <row r="326" spans="1:14" x14ac:dyDescent="0.3">
      <c r="A326">
        <v>325</v>
      </c>
      <c r="B326" s="21">
        <v>40558</v>
      </c>
      <c r="C326" s="25" t="s">
        <v>16</v>
      </c>
      <c r="D326" s="25" t="str" cm="1">
        <f t="array" ref="D326">_xlfn.SWITCH(Sheet5!A326,1,"JANUARY",2,"FEBRUARY")</f>
        <v>JANUARY</v>
      </c>
      <c r="E326">
        <v>0</v>
      </c>
      <c r="F326" t="str" cm="1">
        <f t="array" ref="F326">_xlfn.SWITCH(Sheet5!C326,FALSE,"NO",TRUE,"YES")</f>
        <v>NO</v>
      </c>
      <c r="G326" t="str" cm="1">
        <f t="array" ref="G326">_xlfn.SWITCH(Sheet5!B326,0,"Sunday",1,"Monday",2,"Tuesday",3,"Wednesday",4,"Thursday",5,"Friday",6,"Saturday")</f>
        <v>Saturday</v>
      </c>
      <c r="H326" t="str" cm="1">
        <f t="array" ref="H326">_xlfn.SWITCH(Sheet5!D326, 1, "Clear Sky", 2, "Mist", 3, "Dark Cloud",4,"Heavy Rainfall")</f>
        <v>Clear Sky</v>
      </c>
      <c r="I326" s="26">
        <f>Sheet5!E326*41</f>
        <v>7.38</v>
      </c>
      <c r="J326" s="27">
        <v>0.55000000000000004</v>
      </c>
      <c r="K326">
        <v>0</v>
      </c>
      <c r="L326">
        <v>3</v>
      </c>
      <c r="M326">
        <v>25</v>
      </c>
      <c r="N326">
        <v>28</v>
      </c>
    </row>
    <row r="327" spans="1:14" x14ac:dyDescent="0.3">
      <c r="A327">
        <v>326</v>
      </c>
      <c r="B327" s="21">
        <v>40558</v>
      </c>
      <c r="C327" s="25" t="s">
        <v>16</v>
      </c>
      <c r="D327" s="25" t="str" cm="1">
        <f t="array" ref="D327">_xlfn.SWITCH(Sheet5!A327,1,"JANUARY",2,"FEBRUARY")</f>
        <v>JANUARY</v>
      </c>
      <c r="E327">
        <v>1</v>
      </c>
      <c r="F327" t="str" cm="1">
        <f t="array" ref="F327">_xlfn.SWITCH(Sheet5!C327,FALSE,"NO",TRUE,"YES")</f>
        <v>NO</v>
      </c>
      <c r="G327" t="str" cm="1">
        <f t="array" ref="G327">_xlfn.SWITCH(Sheet5!B327,0,"Sunday",1,"Monday",2,"Tuesday",3,"Wednesday",4,"Thursday",5,"Friday",6,"Saturday")</f>
        <v>Saturday</v>
      </c>
      <c r="H327" t="str" cm="1">
        <f t="array" ref="H327">_xlfn.SWITCH(Sheet5!D327, 1, "Clear Sky", 2, "Mist", 3, "Dark Cloud",4,"Heavy Rainfall")</f>
        <v>Mist</v>
      </c>
      <c r="I327" s="26">
        <f>Sheet5!E327*41</f>
        <v>6.5600000000000005</v>
      </c>
      <c r="J327" s="27">
        <v>0.59</v>
      </c>
      <c r="K327">
        <v>8.9599999999999999E-2</v>
      </c>
      <c r="L327">
        <v>2</v>
      </c>
      <c r="M327">
        <v>18</v>
      </c>
      <c r="N327">
        <v>20</v>
      </c>
    </row>
    <row r="328" spans="1:14" x14ac:dyDescent="0.3">
      <c r="A328">
        <v>327</v>
      </c>
      <c r="B328" s="21">
        <v>40558</v>
      </c>
      <c r="C328" s="25" t="s">
        <v>16</v>
      </c>
      <c r="D328" s="25" t="str" cm="1">
        <f t="array" ref="D328">_xlfn.SWITCH(Sheet5!A328,1,"JANUARY",2,"FEBRUARY")</f>
        <v>JANUARY</v>
      </c>
      <c r="E328">
        <v>2</v>
      </c>
      <c r="F328" t="str" cm="1">
        <f t="array" ref="F328">_xlfn.SWITCH(Sheet5!C328,FALSE,"NO",TRUE,"YES")</f>
        <v>NO</v>
      </c>
      <c r="G328" t="str" cm="1">
        <f t="array" ref="G328">_xlfn.SWITCH(Sheet5!B328,0,"Sunday",1,"Monday",2,"Tuesday",3,"Wednesday",4,"Thursday",5,"Friday",6,"Saturday")</f>
        <v>Saturday</v>
      </c>
      <c r="H328" t="str" cm="1">
        <f t="array" ref="H328">_xlfn.SWITCH(Sheet5!D328, 1, "Clear Sky", 2, "Mist", 3, "Dark Cloud",4,"Heavy Rainfall")</f>
        <v>Mist</v>
      </c>
      <c r="I328" s="26">
        <f>Sheet5!E328*41</f>
        <v>6.5600000000000005</v>
      </c>
      <c r="J328" s="27">
        <v>0.59</v>
      </c>
      <c r="K328">
        <v>8.9599999999999999E-2</v>
      </c>
      <c r="L328">
        <v>0</v>
      </c>
      <c r="M328">
        <v>12</v>
      </c>
      <c r="N328">
        <v>12</v>
      </c>
    </row>
    <row r="329" spans="1:14" x14ac:dyDescent="0.3">
      <c r="A329">
        <v>328</v>
      </c>
      <c r="B329" s="21">
        <v>40558</v>
      </c>
      <c r="C329" s="25" t="s">
        <v>16</v>
      </c>
      <c r="D329" s="25" t="str" cm="1">
        <f t="array" ref="D329">_xlfn.SWITCH(Sheet5!A329,1,"JANUARY",2,"FEBRUARY")</f>
        <v>JANUARY</v>
      </c>
      <c r="E329">
        <v>3</v>
      </c>
      <c r="F329" t="str" cm="1">
        <f t="array" ref="F329">_xlfn.SWITCH(Sheet5!C329,FALSE,"NO",TRUE,"YES")</f>
        <v>NO</v>
      </c>
      <c r="G329" t="str" cm="1">
        <f t="array" ref="G329">_xlfn.SWITCH(Sheet5!B329,0,"Sunday",1,"Monday",2,"Tuesday",3,"Wednesday",4,"Thursday",5,"Friday",6,"Saturday")</f>
        <v>Saturday</v>
      </c>
      <c r="H329" t="str" cm="1">
        <f t="array" ref="H329">_xlfn.SWITCH(Sheet5!D329, 1, "Clear Sky", 2, "Mist", 3, "Dark Cloud",4,"Heavy Rainfall")</f>
        <v>Mist</v>
      </c>
      <c r="I329" s="26">
        <f>Sheet5!E329*41</f>
        <v>6.5600000000000005</v>
      </c>
      <c r="J329" s="27">
        <v>0.59</v>
      </c>
      <c r="K329">
        <v>0</v>
      </c>
      <c r="L329">
        <v>1</v>
      </c>
      <c r="M329">
        <v>7</v>
      </c>
      <c r="N329">
        <v>8</v>
      </c>
    </row>
    <row r="330" spans="1:14" x14ac:dyDescent="0.3">
      <c r="A330">
        <v>329</v>
      </c>
      <c r="B330" s="21">
        <v>40558</v>
      </c>
      <c r="C330" s="25" t="s">
        <v>16</v>
      </c>
      <c r="D330" s="25" t="str" cm="1">
        <f t="array" ref="D330">_xlfn.SWITCH(Sheet5!A330,1,"JANUARY",2,"FEBRUARY")</f>
        <v>JANUARY</v>
      </c>
      <c r="E330">
        <v>4</v>
      </c>
      <c r="F330" t="str" cm="1">
        <f t="array" ref="F330">_xlfn.SWITCH(Sheet5!C330,FALSE,"NO",TRUE,"YES")</f>
        <v>NO</v>
      </c>
      <c r="G330" t="str" cm="1">
        <f t="array" ref="G330">_xlfn.SWITCH(Sheet5!B330,0,"Sunday",1,"Monday",2,"Tuesday",3,"Wednesday",4,"Thursday",5,"Friday",6,"Saturday")</f>
        <v>Saturday</v>
      </c>
      <c r="H330" t="str" cm="1">
        <f t="array" ref="H330">_xlfn.SWITCH(Sheet5!D330, 1, "Clear Sky", 2, "Mist", 3, "Dark Cloud",4,"Heavy Rainfall")</f>
        <v>Mist</v>
      </c>
      <c r="I330" s="26">
        <f>Sheet5!E330*41</f>
        <v>6.5600000000000005</v>
      </c>
      <c r="J330" s="27">
        <v>0.59</v>
      </c>
      <c r="K330">
        <v>0</v>
      </c>
      <c r="L330">
        <v>0</v>
      </c>
      <c r="M330">
        <v>5</v>
      </c>
      <c r="N330">
        <v>5</v>
      </c>
    </row>
    <row r="331" spans="1:14" x14ac:dyDescent="0.3">
      <c r="A331">
        <v>330</v>
      </c>
      <c r="B331" s="21">
        <v>40558</v>
      </c>
      <c r="C331" s="25" t="s">
        <v>16</v>
      </c>
      <c r="D331" s="25" t="str" cm="1">
        <f t="array" ref="D331">_xlfn.SWITCH(Sheet5!A331,1,"JANUARY",2,"FEBRUARY")</f>
        <v>JANUARY</v>
      </c>
      <c r="E331">
        <v>5</v>
      </c>
      <c r="F331" t="str" cm="1">
        <f t="array" ref="F331">_xlfn.SWITCH(Sheet5!C331,FALSE,"NO",TRUE,"YES")</f>
        <v>NO</v>
      </c>
      <c r="G331" t="str" cm="1">
        <f t="array" ref="G331">_xlfn.SWITCH(Sheet5!B331,0,"Sunday",1,"Monday",2,"Tuesday",3,"Wednesday",4,"Thursday",5,"Friday",6,"Saturday")</f>
        <v>Saturday</v>
      </c>
      <c r="H331" t="str" cm="1">
        <f t="array" ref="H331">_xlfn.SWITCH(Sheet5!D331, 1, "Clear Sky", 2, "Mist", 3, "Dark Cloud",4,"Heavy Rainfall")</f>
        <v>Clear Sky</v>
      </c>
      <c r="I331" s="26">
        <f>Sheet5!E331*41</f>
        <v>6.5600000000000005</v>
      </c>
      <c r="J331" s="27">
        <v>0.59</v>
      </c>
      <c r="K331">
        <v>0</v>
      </c>
      <c r="L331">
        <v>0</v>
      </c>
      <c r="M331">
        <v>1</v>
      </c>
      <c r="N331">
        <v>1</v>
      </c>
    </row>
    <row r="332" spans="1:14" x14ac:dyDescent="0.3">
      <c r="A332">
        <v>331</v>
      </c>
      <c r="B332" s="21">
        <v>40558</v>
      </c>
      <c r="C332" s="25" t="s">
        <v>16</v>
      </c>
      <c r="D332" s="25" t="str" cm="1">
        <f t="array" ref="D332">_xlfn.SWITCH(Sheet5!A332,1,"JANUARY",2,"FEBRUARY")</f>
        <v>JANUARY</v>
      </c>
      <c r="E332">
        <v>6</v>
      </c>
      <c r="F332" t="str" cm="1">
        <f t="array" ref="F332">_xlfn.SWITCH(Sheet5!C332,FALSE,"NO",TRUE,"YES")</f>
        <v>NO</v>
      </c>
      <c r="G332" t="str" cm="1">
        <f t="array" ref="G332">_xlfn.SWITCH(Sheet5!B332,0,"Sunday",1,"Monday",2,"Tuesday",3,"Wednesday",4,"Thursday",5,"Friday",6,"Saturday")</f>
        <v>Saturday</v>
      </c>
      <c r="H332" t="str" cm="1">
        <f t="array" ref="H332">_xlfn.SWITCH(Sheet5!D332, 1, "Clear Sky", 2, "Mist", 3, "Dark Cloud",4,"Heavy Rainfall")</f>
        <v>Clear Sky</v>
      </c>
      <c r="I332" s="26">
        <f>Sheet5!E332*41</f>
        <v>5.74</v>
      </c>
      <c r="J332" s="27">
        <v>0.63</v>
      </c>
      <c r="K332">
        <v>0.1045</v>
      </c>
      <c r="L332">
        <v>1</v>
      </c>
      <c r="M332">
        <v>2</v>
      </c>
      <c r="N332">
        <v>3</v>
      </c>
    </row>
    <row r="333" spans="1:14" x14ac:dyDescent="0.3">
      <c r="A333">
        <v>332</v>
      </c>
      <c r="B333" s="21">
        <v>40558</v>
      </c>
      <c r="C333" s="25" t="s">
        <v>16</v>
      </c>
      <c r="D333" s="25" t="str" cm="1">
        <f t="array" ref="D333">_xlfn.SWITCH(Sheet5!A333,1,"JANUARY",2,"FEBRUARY")</f>
        <v>JANUARY</v>
      </c>
      <c r="E333">
        <v>7</v>
      </c>
      <c r="F333" t="str" cm="1">
        <f t="array" ref="F333">_xlfn.SWITCH(Sheet5!C333,FALSE,"NO",TRUE,"YES")</f>
        <v>NO</v>
      </c>
      <c r="G333" t="str" cm="1">
        <f t="array" ref="G333">_xlfn.SWITCH(Sheet5!B333,0,"Sunday",1,"Monday",2,"Tuesday",3,"Wednesday",4,"Thursday",5,"Friday",6,"Saturday")</f>
        <v>Saturday</v>
      </c>
      <c r="H333" t="str" cm="1">
        <f t="array" ref="H333">_xlfn.SWITCH(Sheet5!D333, 1, "Clear Sky", 2, "Mist", 3, "Dark Cloud",4,"Heavy Rainfall")</f>
        <v>Clear Sky</v>
      </c>
      <c r="I333" s="26">
        <f>Sheet5!E333*41</f>
        <v>5.74</v>
      </c>
      <c r="J333" s="27">
        <v>0.63</v>
      </c>
      <c r="K333">
        <v>0</v>
      </c>
      <c r="L333">
        <v>1</v>
      </c>
      <c r="M333">
        <v>9</v>
      </c>
      <c r="N333">
        <v>10</v>
      </c>
    </row>
    <row r="334" spans="1:14" x14ac:dyDescent="0.3">
      <c r="A334">
        <v>333</v>
      </c>
      <c r="B334" s="21">
        <v>40558</v>
      </c>
      <c r="C334" s="25" t="s">
        <v>16</v>
      </c>
      <c r="D334" s="25" t="str" cm="1">
        <f t="array" ref="D334">_xlfn.SWITCH(Sheet5!A334,1,"JANUARY",2,"FEBRUARY")</f>
        <v>JANUARY</v>
      </c>
      <c r="E334">
        <v>8</v>
      </c>
      <c r="F334" t="str" cm="1">
        <f t="array" ref="F334">_xlfn.SWITCH(Sheet5!C334,FALSE,"NO",TRUE,"YES")</f>
        <v>NO</v>
      </c>
      <c r="G334" t="str" cm="1">
        <f t="array" ref="G334">_xlfn.SWITCH(Sheet5!B334,0,"Sunday",1,"Monday",2,"Tuesday",3,"Wednesday",4,"Thursday",5,"Friday",6,"Saturday")</f>
        <v>Saturday</v>
      </c>
      <c r="H334" t="str" cm="1">
        <f t="array" ref="H334">_xlfn.SWITCH(Sheet5!D334, 1, "Clear Sky", 2, "Mist", 3, "Dark Cloud",4,"Heavy Rainfall")</f>
        <v>Clear Sky</v>
      </c>
      <c r="I334" s="26">
        <f>Sheet5!E334*41</f>
        <v>5.74</v>
      </c>
      <c r="J334" s="27">
        <v>0.63</v>
      </c>
      <c r="K334">
        <v>0.1343</v>
      </c>
      <c r="L334">
        <v>1</v>
      </c>
      <c r="M334">
        <v>22</v>
      </c>
      <c r="N334">
        <v>23</v>
      </c>
    </row>
    <row r="335" spans="1:14" x14ac:dyDescent="0.3">
      <c r="A335">
        <v>334</v>
      </c>
      <c r="B335" s="21">
        <v>40558</v>
      </c>
      <c r="C335" s="25" t="s">
        <v>16</v>
      </c>
      <c r="D335" s="25" t="str" cm="1">
        <f t="array" ref="D335">_xlfn.SWITCH(Sheet5!A335,1,"JANUARY",2,"FEBRUARY")</f>
        <v>JANUARY</v>
      </c>
      <c r="E335">
        <v>9</v>
      </c>
      <c r="F335" t="str" cm="1">
        <f t="array" ref="F335">_xlfn.SWITCH(Sheet5!C335,FALSE,"NO",TRUE,"YES")</f>
        <v>NO</v>
      </c>
      <c r="G335" t="str" cm="1">
        <f t="array" ref="G335">_xlfn.SWITCH(Sheet5!B335,0,"Sunday",1,"Monday",2,"Tuesday",3,"Wednesday",4,"Thursday",5,"Friday",6,"Saturday")</f>
        <v>Saturday</v>
      </c>
      <c r="H335" t="str" cm="1">
        <f t="array" ref="H335">_xlfn.SWITCH(Sheet5!D335, 1, "Clear Sky", 2, "Mist", 3, "Dark Cloud",4,"Heavy Rainfall")</f>
        <v>Clear Sky</v>
      </c>
      <c r="I335" s="26">
        <f>Sheet5!E335*41</f>
        <v>6.5600000000000005</v>
      </c>
      <c r="J335" s="27">
        <v>0.64</v>
      </c>
      <c r="K335">
        <v>0.1343</v>
      </c>
      <c r="L335">
        <v>2</v>
      </c>
      <c r="M335">
        <v>31</v>
      </c>
      <c r="N335">
        <v>33</v>
      </c>
    </row>
    <row r="336" spans="1:14" x14ac:dyDescent="0.3">
      <c r="A336">
        <v>335</v>
      </c>
      <c r="B336" s="21">
        <v>40558</v>
      </c>
      <c r="C336" s="25" t="s">
        <v>16</v>
      </c>
      <c r="D336" s="25" t="str" cm="1">
        <f t="array" ref="D336">_xlfn.SWITCH(Sheet5!A336,1,"JANUARY",2,"FEBRUARY")</f>
        <v>JANUARY</v>
      </c>
      <c r="E336">
        <v>10</v>
      </c>
      <c r="F336" t="str" cm="1">
        <f t="array" ref="F336">_xlfn.SWITCH(Sheet5!C336,FALSE,"NO",TRUE,"YES")</f>
        <v>NO</v>
      </c>
      <c r="G336" t="str" cm="1">
        <f t="array" ref="G336">_xlfn.SWITCH(Sheet5!B336,0,"Sunday",1,"Monday",2,"Tuesday",3,"Wednesday",4,"Thursday",5,"Friday",6,"Saturday")</f>
        <v>Saturday</v>
      </c>
      <c r="H336" t="str" cm="1">
        <f t="array" ref="H336">_xlfn.SWITCH(Sheet5!D336, 1, "Clear Sky", 2, "Mist", 3, "Dark Cloud",4,"Heavy Rainfall")</f>
        <v>Clear Sky</v>
      </c>
      <c r="I336" s="26">
        <f>Sheet5!E336*41</f>
        <v>7.38</v>
      </c>
      <c r="J336" s="27">
        <v>0.59</v>
      </c>
      <c r="K336">
        <v>0.16420000000000001</v>
      </c>
      <c r="L336">
        <v>2</v>
      </c>
      <c r="M336">
        <v>57</v>
      </c>
      <c r="N336">
        <v>59</v>
      </c>
    </row>
    <row r="337" spans="1:14" x14ac:dyDescent="0.3">
      <c r="A337">
        <v>336</v>
      </c>
      <c r="B337" s="21">
        <v>40558</v>
      </c>
      <c r="C337" s="25" t="s">
        <v>16</v>
      </c>
      <c r="D337" s="25" t="str" cm="1">
        <f t="array" ref="D337">_xlfn.SWITCH(Sheet5!A337,1,"JANUARY",2,"FEBRUARY")</f>
        <v>JANUARY</v>
      </c>
      <c r="E337">
        <v>11</v>
      </c>
      <c r="F337" t="str" cm="1">
        <f t="array" ref="F337">_xlfn.SWITCH(Sheet5!C337,FALSE,"NO",TRUE,"YES")</f>
        <v>NO</v>
      </c>
      <c r="G337" t="str" cm="1">
        <f t="array" ref="G337">_xlfn.SWITCH(Sheet5!B337,0,"Sunday",1,"Monday",2,"Tuesday",3,"Wednesday",4,"Thursday",5,"Friday",6,"Saturday")</f>
        <v>Saturday</v>
      </c>
      <c r="H337" t="str" cm="1">
        <f t="array" ref="H337">_xlfn.SWITCH(Sheet5!D337, 1, "Clear Sky", 2, "Mist", 3, "Dark Cloud",4,"Heavy Rainfall")</f>
        <v>Clear Sky</v>
      </c>
      <c r="I337" s="26">
        <f>Sheet5!E337*41</f>
        <v>8.2000000000000011</v>
      </c>
      <c r="J337" s="27">
        <v>0.55000000000000004</v>
      </c>
      <c r="K337">
        <v>0.22389999999999999</v>
      </c>
      <c r="L337">
        <v>18</v>
      </c>
      <c r="M337">
        <v>54</v>
      </c>
      <c r="N337">
        <v>72</v>
      </c>
    </row>
    <row r="338" spans="1:14" x14ac:dyDescent="0.3">
      <c r="A338">
        <v>337</v>
      </c>
      <c r="B338" s="21">
        <v>40558</v>
      </c>
      <c r="C338" s="25" t="s">
        <v>16</v>
      </c>
      <c r="D338" s="25" t="str" cm="1">
        <f t="array" ref="D338">_xlfn.SWITCH(Sheet5!A338,1,"JANUARY",2,"FEBRUARY")</f>
        <v>JANUARY</v>
      </c>
      <c r="E338">
        <v>12</v>
      </c>
      <c r="F338" t="str" cm="1">
        <f t="array" ref="F338">_xlfn.SWITCH(Sheet5!C338,FALSE,"NO",TRUE,"YES")</f>
        <v>NO</v>
      </c>
      <c r="G338" t="str" cm="1">
        <f t="array" ref="G338">_xlfn.SWITCH(Sheet5!B338,0,"Sunday",1,"Monday",2,"Tuesday",3,"Wednesday",4,"Thursday",5,"Friday",6,"Saturday")</f>
        <v>Saturday</v>
      </c>
      <c r="H338" t="str" cm="1">
        <f t="array" ref="H338">_xlfn.SWITCH(Sheet5!D338, 1, "Clear Sky", 2, "Mist", 3, "Dark Cloud",4,"Heavy Rainfall")</f>
        <v>Clear Sky</v>
      </c>
      <c r="I338" s="26">
        <f>Sheet5!E338*41</f>
        <v>9.84</v>
      </c>
      <c r="J338" s="27">
        <v>0.48</v>
      </c>
      <c r="K338">
        <v>0.22389999999999999</v>
      </c>
      <c r="L338">
        <v>15</v>
      </c>
      <c r="M338">
        <v>74</v>
      </c>
      <c r="N338">
        <v>89</v>
      </c>
    </row>
    <row r="339" spans="1:14" x14ac:dyDescent="0.3">
      <c r="A339">
        <v>338</v>
      </c>
      <c r="B339" s="21">
        <v>40558</v>
      </c>
      <c r="C339" s="25" t="s">
        <v>16</v>
      </c>
      <c r="D339" s="25" t="str" cm="1">
        <f t="array" ref="D339">_xlfn.SWITCH(Sheet5!A339,1,"JANUARY",2,"FEBRUARY")</f>
        <v>JANUARY</v>
      </c>
      <c r="E339">
        <v>13</v>
      </c>
      <c r="F339" t="str" cm="1">
        <f t="array" ref="F339">_xlfn.SWITCH(Sheet5!C339,FALSE,"NO",TRUE,"YES")</f>
        <v>NO</v>
      </c>
      <c r="G339" t="str" cm="1">
        <f t="array" ref="G339">_xlfn.SWITCH(Sheet5!B339,0,"Sunday",1,"Monday",2,"Tuesday",3,"Wednesday",4,"Thursday",5,"Friday",6,"Saturday")</f>
        <v>Saturday</v>
      </c>
      <c r="H339" t="str" cm="1">
        <f t="array" ref="H339">_xlfn.SWITCH(Sheet5!D339, 1, "Clear Sky", 2, "Mist", 3, "Dark Cloud",4,"Heavy Rainfall")</f>
        <v>Clear Sky</v>
      </c>
      <c r="I339" s="26">
        <f>Sheet5!E339*41</f>
        <v>11.48</v>
      </c>
      <c r="J339" s="27">
        <v>0.38</v>
      </c>
      <c r="K339">
        <v>0.29849999999999999</v>
      </c>
      <c r="L339">
        <v>21</v>
      </c>
      <c r="M339">
        <v>80</v>
      </c>
      <c r="N339">
        <v>101</v>
      </c>
    </row>
    <row r="340" spans="1:14" x14ac:dyDescent="0.3">
      <c r="A340">
        <v>339</v>
      </c>
      <c r="B340" s="21">
        <v>40558</v>
      </c>
      <c r="C340" s="25" t="s">
        <v>16</v>
      </c>
      <c r="D340" s="25" t="str" cm="1">
        <f t="array" ref="D340">_xlfn.SWITCH(Sheet5!A340,1,"JANUARY",2,"FEBRUARY")</f>
        <v>JANUARY</v>
      </c>
      <c r="E340">
        <v>14</v>
      </c>
      <c r="F340" t="str" cm="1">
        <f t="array" ref="F340">_xlfn.SWITCH(Sheet5!C340,FALSE,"NO",TRUE,"YES")</f>
        <v>NO</v>
      </c>
      <c r="G340" t="str" cm="1">
        <f t="array" ref="G340">_xlfn.SWITCH(Sheet5!B340,0,"Sunday",1,"Monday",2,"Tuesday",3,"Wednesday",4,"Thursday",5,"Friday",6,"Saturday")</f>
        <v>Saturday</v>
      </c>
      <c r="H340" t="str" cm="1">
        <f t="array" ref="H340">_xlfn.SWITCH(Sheet5!D340, 1, "Clear Sky", 2, "Mist", 3, "Dark Cloud",4,"Heavy Rainfall")</f>
        <v>Clear Sky</v>
      </c>
      <c r="I340" s="26">
        <f>Sheet5!E340*41</f>
        <v>12.299999999999999</v>
      </c>
      <c r="J340" s="27">
        <v>0.39</v>
      </c>
      <c r="K340">
        <v>0.28360000000000002</v>
      </c>
      <c r="L340">
        <v>26</v>
      </c>
      <c r="M340">
        <v>92</v>
      </c>
      <c r="N340">
        <v>118</v>
      </c>
    </row>
    <row r="341" spans="1:14" x14ac:dyDescent="0.3">
      <c r="A341">
        <v>340</v>
      </c>
      <c r="B341" s="21">
        <v>40558</v>
      </c>
      <c r="C341" s="25" t="s">
        <v>16</v>
      </c>
      <c r="D341" s="25" t="str" cm="1">
        <f t="array" ref="D341">_xlfn.SWITCH(Sheet5!A341,1,"JANUARY",2,"FEBRUARY")</f>
        <v>JANUARY</v>
      </c>
      <c r="E341">
        <v>15</v>
      </c>
      <c r="F341" t="str" cm="1">
        <f t="array" ref="F341">_xlfn.SWITCH(Sheet5!C341,FALSE,"NO",TRUE,"YES")</f>
        <v>NO</v>
      </c>
      <c r="G341" t="str" cm="1">
        <f t="array" ref="G341">_xlfn.SWITCH(Sheet5!B341,0,"Sunday",1,"Monday",2,"Tuesday",3,"Wednesday",4,"Thursday",5,"Friday",6,"Saturday")</f>
        <v>Saturday</v>
      </c>
      <c r="H341" t="str" cm="1">
        <f t="array" ref="H341">_xlfn.SWITCH(Sheet5!D341, 1, "Clear Sky", 2, "Mist", 3, "Dark Cloud",4,"Heavy Rainfall")</f>
        <v>Mist</v>
      </c>
      <c r="I341" s="26">
        <f>Sheet5!E341*41</f>
        <v>13.120000000000001</v>
      </c>
      <c r="J341" s="27">
        <v>0.36</v>
      </c>
      <c r="K341">
        <v>0.19400000000000001</v>
      </c>
      <c r="L341">
        <v>21</v>
      </c>
      <c r="M341">
        <v>108</v>
      </c>
      <c r="N341">
        <v>129</v>
      </c>
    </row>
    <row r="342" spans="1:14" x14ac:dyDescent="0.3">
      <c r="A342">
        <v>341</v>
      </c>
      <c r="B342" s="21">
        <v>40558</v>
      </c>
      <c r="C342" s="25" t="s">
        <v>16</v>
      </c>
      <c r="D342" s="25" t="str" cm="1">
        <f t="array" ref="D342">_xlfn.SWITCH(Sheet5!A342,1,"JANUARY",2,"FEBRUARY")</f>
        <v>JANUARY</v>
      </c>
      <c r="E342">
        <v>16</v>
      </c>
      <c r="F342" t="str" cm="1">
        <f t="array" ref="F342">_xlfn.SWITCH(Sheet5!C342,FALSE,"NO",TRUE,"YES")</f>
        <v>NO</v>
      </c>
      <c r="G342" t="str" cm="1">
        <f t="array" ref="G342">_xlfn.SWITCH(Sheet5!B342,0,"Sunday",1,"Monday",2,"Tuesday",3,"Wednesday",4,"Thursday",5,"Friday",6,"Saturday")</f>
        <v>Saturday</v>
      </c>
      <c r="H342" t="str" cm="1">
        <f t="array" ref="H342">_xlfn.SWITCH(Sheet5!D342, 1, "Clear Sky", 2, "Mist", 3, "Dark Cloud",4,"Heavy Rainfall")</f>
        <v>Mist</v>
      </c>
      <c r="I342" s="26">
        <f>Sheet5!E342*41</f>
        <v>13.940000000000001</v>
      </c>
      <c r="J342" s="27">
        <v>0.34</v>
      </c>
      <c r="K342">
        <v>0.19400000000000001</v>
      </c>
      <c r="L342">
        <v>33</v>
      </c>
      <c r="M342">
        <v>95</v>
      </c>
      <c r="N342">
        <v>128</v>
      </c>
    </row>
    <row r="343" spans="1:14" x14ac:dyDescent="0.3">
      <c r="A343">
        <v>342</v>
      </c>
      <c r="B343" s="21">
        <v>40558</v>
      </c>
      <c r="C343" s="25" t="s">
        <v>16</v>
      </c>
      <c r="D343" s="25" t="str" cm="1">
        <f t="array" ref="D343">_xlfn.SWITCH(Sheet5!A343,1,"JANUARY",2,"FEBRUARY")</f>
        <v>JANUARY</v>
      </c>
      <c r="E343">
        <v>17</v>
      </c>
      <c r="F343" t="str" cm="1">
        <f t="array" ref="F343">_xlfn.SWITCH(Sheet5!C343,FALSE,"NO",TRUE,"YES")</f>
        <v>NO</v>
      </c>
      <c r="G343" t="str" cm="1">
        <f t="array" ref="G343">_xlfn.SWITCH(Sheet5!B343,0,"Sunday",1,"Monday",2,"Tuesday",3,"Wednesday",4,"Thursday",5,"Friday",6,"Saturday")</f>
        <v>Saturday</v>
      </c>
      <c r="H343" t="str" cm="1">
        <f t="array" ref="H343">_xlfn.SWITCH(Sheet5!D343, 1, "Clear Sky", 2, "Mist", 3, "Dark Cloud",4,"Heavy Rainfall")</f>
        <v>Mist</v>
      </c>
      <c r="I343" s="26">
        <f>Sheet5!E343*41</f>
        <v>13.120000000000001</v>
      </c>
      <c r="J343" s="27">
        <v>0.36</v>
      </c>
      <c r="K343">
        <v>0.28360000000000002</v>
      </c>
      <c r="L343">
        <v>29</v>
      </c>
      <c r="M343">
        <v>54</v>
      </c>
      <c r="N343">
        <v>83</v>
      </c>
    </row>
    <row r="344" spans="1:14" x14ac:dyDescent="0.3">
      <c r="A344">
        <v>343</v>
      </c>
      <c r="B344" s="21">
        <v>40558</v>
      </c>
      <c r="C344" s="25" t="s">
        <v>16</v>
      </c>
      <c r="D344" s="25" t="str" cm="1">
        <f t="array" ref="D344">_xlfn.SWITCH(Sheet5!A344,1,"JANUARY",2,"FEBRUARY")</f>
        <v>JANUARY</v>
      </c>
      <c r="E344">
        <v>18</v>
      </c>
      <c r="F344" t="str" cm="1">
        <f t="array" ref="F344">_xlfn.SWITCH(Sheet5!C344,FALSE,"NO",TRUE,"YES")</f>
        <v>NO</v>
      </c>
      <c r="G344" t="str" cm="1">
        <f t="array" ref="G344">_xlfn.SWITCH(Sheet5!B344,0,"Sunday",1,"Monday",2,"Tuesday",3,"Wednesday",4,"Thursday",5,"Friday",6,"Saturday")</f>
        <v>Saturday</v>
      </c>
      <c r="H344" t="str" cm="1">
        <f t="array" ref="H344">_xlfn.SWITCH(Sheet5!D344, 1, "Clear Sky", 2, "Mist", 3, "Dark Cloud",4,"Heavy Rainfall")</f>
        <v>Mist</v>
      </c>
      <c r="I344" s="26">
        <f>Sheet5!E344*41</f>
        <v>12.299999999999999</v>
      </c>
      <c r="J344" s="27">
        <v>0.45</v>
      </c>
      <c r="K344">
        <v>0.25369999999999998</v>
      </c>
      <c r="L344">
        <v>15</v>
      </c>
      <c r="M344">
        <v>69</v>
      </c>
      <c r="N344">
        <v>84</v>
      </c>
    </row>
    <row r="345" spans="1:14" x14ac:dyDescent="0.3">
      <c r="A345">
        <v>344</v>
      </c>
      <c r="B345" s="21">
        <v>40558</v>
      </c>
      <c r="C345" s="25" t="s">
        <v>16</v>
      </c>
      <c r="D345" s="25" t="str" cm="1">
        <f t="array" ref="D345">_xlfn.SWITCH(Sheet5!A345,1,"JANUARY",2,"FEBRUARY")</f>
        <v>JANUARY</v>
      </c>
      <c r="E345">
        <v>19</v>
      </c>
      <c r="F345" t="str" cm="1">
        <f t="array" ref="F345">_xlfn.SWITCH(Sheet5!C345,FALSE,"NO",TRUE,"YES")</f>
        <v>NO</v>
      </c>
      <c r="G345" t="str" cm="1">
        <f t="array" ref="G345">_xlfn.SWITCH(Sheet5!B345,0,"Sunday",1,"Monday",2,"Tuesday",3,"Wednesday",4,"Thursday",5,"Friday",6,"Saturday")</f>
        <v>Saturday</v>
      </c>
      <c r="H345" t="str" cm="1">
        <f t="array" ref="H345">_xlfn.SWITCH(Sheet5!D345, 1, "Clear Sky", 2, "Mist", 3, "Dark Cloud",4,"Heavy Rainfall")</f>
        <v>Mist</v>
      </c>
      <c r="I345" s="26">
        <f>Sheet5!E345*41</f>
        <v>13.120000000000001</v>
      </c>
      <c r="J345" s="27">
        <v>0.39</v>
      </c>
      <c r="K345">
        <v>0.25369999999999998</v>
      </c>
      <c r="L345">
        <v>14</v>
      </c>
      <c r="M345">
        <v>60</v>
      </c>
      <c r="N345">
        <v>74</v>
      </c>
    </row>
    <row r="346" spans="1:14" x14ac:dyDescent="0.3">
      <c r="A346">
        <v>345</v>
      </c>
      <c r="B346" s="21">
        <v>40558</v>
      </c>
      <c r="C346" s="25" t="s">
        <v>16</v>
      </c>
      <c r="D346" s="25" t="str" cm="1">
        <f t="array" ref="D346">_xlfn.SWITCH(Sheet5!A346,1,"JANUARY",2,"FEBRUARY")</f>
        <v>JANUARY</v>
      </c>
      <c r="E346">
        <v>20</v>
      </c>
      <c r="F346" t="str" cm="1">
        <f t="array" ref="F346">_xlfn.SWITCH(Sheet5!C346,FALSE,"NO",TRUE,"YES")</f>
        <v>NO</v>
      </c>
      <c r="G346" t="str" cm="1">
        <f t="array" ref="G346">_xlfn.SWITCH(Sheet5!B346,0,"Sunday",1,"Monday",2,"Tuesday",3,"Wednesday",4,"Thursday",5,"Friday",6,"Saturday")</f>
        <v>Saturday</v>
      </c>
      <c r="H346" t="str" cm="1">
        <f t="array" ref="H346">_xlfn.SWITCH(Sheet5!D346, 1, "Clear Sky", 2, "Mist", 3, "Dark Cloud",4,"Heavy Rainfall")</f>
        <v>Mist</v>
      </c>
      <c r="I346" s="26">
        <f>Sheet5!E346*41</f>
        <v>13.120000000000001</v>
      </c>
      <c r="J346" s="27">
        <v>0.39</v>
      </c>
      <c r="K346">
        <v>0.25369999999999998</v>
      </c>
      <c r="L346">
        <v>6</v>
      </c>
      <c r="M346">
        <v>35</v>
      </c>
      <c r="N346">
        <v>41</v>
      </c>
    </row>
    <row r="347" spans="1:14" x14ac:dyDescent="0.3">
      <c r="A347">
        <v>346</v>
      </c>
      <c r="B347" s="21">
        <v>40558</v>
      </c>
      <c r="C347" s="25" t="s">
        <v>16</v>
      </c>
      <c r="D347" s="25" t="str" cm="1">
        <f t="array" ref="D347">_xlfn.SWITCH(Sheet5!A347,1,"JANUARY",2,"FEBRUARY")</f>
        <v>JANUARY</v>
      </c>
      <c r="E347">
        <v>21</v>
      </c>
      <c r="F347" t="str" cm="1">
        <f t="array" ref="F347">_xlfn.SWITCH(Sheet5!C347,FALSE,"NO",TRUE,"YES")</f>
        <v>NO</v>
      </c>
      <c r="G347" t="str" cm="1">
        <f t="array" ref="G347">_xlfn.SWITCH(Sheet5!B347,0,"Sunday",1,"Monday",2,"Tuesday",3,"Wednesday",4,"Thursday",5,"Friday",6,"Saturday")</f>
        <v>Saturday</v>
      </c>
      <c r="H347" t="str" cm="1">
        <f t="array" ref="H347">_xlfn.SWITCH(Sheet5!D347, 1, "Clear Sky", 2, "Mist", 3, "Dark Cloud",4,"Heavy Rainfall")</f>
        <v>Mist</v>
      </c>
      <c r="I347" s="26">
        <f>Sheet5!E347*41</f>
        <v>13.120000000000001</v>
      </c>
      <c r="J347" s="27">
        <v>0.39</v>
      </c>
      <c r="K347">
        <v>0.22389999999999999</v>
      </c>
      <c r="L347">
        <v>6</v>
      </c>
      <c r="M347">
        <v>51</v>
      </c>
      <c r="N347">
        <v>57</v>
      </c>
    </row>
    <row r="348" spans="1:14" x14ac:dyDescent="0.3">
      <c r="A348">
        <v>347</v>
      </c>
      <c r="B348" s="21">
        <v>40558</v>
      </c>
      <c r="C348" s="25" t="s">
        <v>16</v>
      </c>
      <c r="D348" s="25" t="str" cm="1">
        <f t="array" ref="D348">_xlfn.SWITCH(Sheet5!A348,1,"JANUARY",2,"FEBRUARY")</f>
        <v>JANUARY</v>
      </c>
      <c r="E348">
        <v>22</v>
      </c>
      <c r="F348" t="str" cm="1">
        <f t="array" ref="F348">_xlfn.SWITCH(Sheet5!C348,FALSE,"NO",TRUE,"YES")</f>
        <v>NO</v>
      </c>
      <c r="G348" t="str" cm="1">
        <f t="array" ref="G348">_xlfn.SWITCH(Sheet5!B348,0,"Sunday",1,"Monday",2,"Tuesday",3,"Wednesday",4,"Thursday",5,"Friday",6,"Saturday")</f>
        <v>Saturday</v>
      </c>
      <c r="H348" t="str" cm="1">
        <f t="array" ref="H348">_xlfn.SWITCH(Sheet5!D348, 1, "Clear Sky", 2, "Mist", 3, "Dark Cloud",4,"Heavy Rainfall")</f>
        <v>Mist</v>
      </c>
      <c r="I348" s="26">
        <f>Sheet5!E348*41</f>
        <v>12.299999999999999</v>
      </c>
      <c r="J348" s="27">
        <v>0.42</v>
      </c>
      <c r="K348">
        <v>0.1045</v>
      </c>
      <c r="L348">
        <v>0</v>
      </c>
      <c r="M348">
        <v>26</v>
      </c>
      <c r="N348">
        <v>26</v>
      </c>
    </row>
    <row r="349" spans="1:14" x14ac:dyDescent="0.3">
      <c r="A349">
        <v>348</v>
      </c>
      <c r="B349" s="21">
        <v>40558</v>
      </c>
      <c r="C349" s="25" t="s">
        <v>16</v>
      </c>
      <c r="D349" s="25" t="str" cm="1">
        <f t="array" ref="D349">_xlfn.SWITCH(Sheet5!A349,1,"JANUARY",2,"FEBRUARY")</f>
        <v>JANUARY</v>
      </c>
      <c r="E349">
        <v>23</v>
      </c>
      <c r="F349" t="str" cm="1">
        <f t="array" ref="F349">_xlfn.SWITCH(Sheet5!C349,FALSE,"NO",TRUE,"YES")</f>
        <v>NO</v>
      </c>
      <c r="G349" t="str" cm="1">
        <f t="array" ref="G349">_xlfn.SWITCH(Sheet5!B349,0,"Sunday",1,"Monday",2,"Tuesday",3,"Wednesday",4,"Thursday",5,"Friday",6,"Saturday")</f>
        <v>Saturday</v>
      </c>
      <c r="H349" t="str" cm="1">
        <f t="array" ref="H349">_xlfn.SWITCH(Sheet5!D349, 1, "Clear Sky", 2, "Mist", 3, "Dark Cloud",4,"Heavy Rainfall")</f>
        <v>Clear Sky</v>
      </c>
      <c r="I349" s="26">
        <f>Sheet5!E349*41</f>
        <v>12.299999999999999</v>
      </c>
      <c r="J349" s="27">
        <v>0.45</v>
      </c>
      <c r="K349">
        <v>0.28360000000000002</v>
      </c>
      <c r="L349">
        <v>5</v>
      </c>
      <c r="M349">
        <v>39</v>
      </c>
      <c r="N349">
        <v>44</v>
      </c>
    </row>
    <row r="350" spans="1:14" x14ac:dyDescent="0.3">
      <c r="A350">
        <v>349</v>
      </c>
      <c r="B350" s="21">
        <v>40559</v>
      </c>
      <c r="C350" s="25" t="s">
        <v>16</v>
      </c>
      <c r="D350" s="25" t="str" cm="1">
        <f t="array" ref="D350">_xlfn.SWITCH(Sheet5!A350,1,"JANUARY",2,"FEBRUARY")</f>
        <v>JANUARY</v>
      </c>
      <c r="E350">
        <v>0</v>
      </c>
      <c r="F350" t="str" cm="1">
        <f t="array" ref="F350">_xlfn.SWITCH(Sheet5!C350,FALSE,"NO",TRUE,"YES")</f>
        <v>NO</v>
      </c>
      <c r="G350" t="str" cm="1">
        <f t="array" ref="G350">_xlfn.SWITCH(Sheet5!B350,0,"Sunday",1,"Monday",2,"Tuesday",3,"Wednesday",4,"Thursday",5,"Friday",6,"Saturday")</f>
        <v>Sunday</v>
      </c>
      <c r="H350" t="str" cm="1">
        <f t="array" ref="H350">_xlfn.SWITCH(Sheet5!D350, 1, "Clear Sky", 2, "Mist", 3, "Dark Cloud",4,"Heavy Rainfall")</f>
        <v>Clear Sky</v>
      </c>
      <c r="I350" s="26">
        <f>Sheet5!E350*41</f>
        <v>10.66</v>
      </c>
      <c r="J350" s="27">
        <v>0.56000000000000005</v>
      </c>
      <c r="K350">
        <v>0</v>
      </c>
      <c r="L350">
        <v>6</v>
      </c>
      <c r="M350">
        <v>33</v>
      </c>
      <c r="N350">
        <v>39</v>
      </c>
    </row>
    <row r="351" spans="1:14" x14ac:dyDescent="0.3">
      <c r="A351">
        <v>350</v>
      </c>
      <c r="B351" s="21">
        <v>40559</v>
      </c>
      <c r="C351" s="25" t="s">
        <v>16</v>
      </c>
      <c r="D351" s="25" t="str" cm="1">
        <f t="array" ref="D351">_xlfn.SWITCH(Sheet5!A351,1,"JANUARY",2,"FEBRUARY")</f>
        <v>JANUARY</v>
      </c>
      <c r="E351">
        <v>1</v>
      </c>
      <c r="F351" t="str" cm="1">
        <f t="array" ref="F351">_xlfn.SWITCH(Sheet5!C351,FALSE,"NO",TRUE,"YES")</f>
        <v>NO</v>
      </c>
      <c r="G351" t="str" cm="1">
        <f t="array" ref="G351">_xlfn.SWITCH(Sheet5!B351,0,"Sunday",1,"Monday",2,"Tuesday",3,"Wednesday",4,"Thursday",5,"Friday",6,"Saturday")</f>
        <v>Sunday</v>
      </c>
      <c r="H351" t="str" cm="1">
        <f t="array" ref="H351">_xlfn.SWITCH(Sheet5!D351, 1, "Clear Sky", 2, "Mist", 3, "Dark Cloud",4,"Heavy Rainfall")</f>
        <v>Clear Sky</v>
      </c>
      <c r="I351" s="26">
        <f>Sheet5!E351*41</f>
        <v>10.66</v>
      </c>
      <c r="J351" s="27">
        <v>0.56000000000000005</v>
      </c>
      <c r="K351">
        <v>0.1343</v>
      </c>
      <c r="L351">
        <v>4</v>
      </c>
      <c r="M351">
        <v>19</v>
      </c>
      <c r="N351">
        <v>23</v>
      </c>
    </row>
    <row r="352" spans="1:14" x14ac:dyDescent="0.3">
      <c r="A352">
        <v>351</v>
      </c>
      <c r="B352" s="21">
        <v>40559</v>
      </c>
      <c r="C352" s="25" t="s">
        <v>16</v>
      </c>
      <c r="D352" s="25" t="str" cm="1">
        <f t="array" ref="D352">_xlfn.SWITCH(Sheet5!A352,1,"JANUARY",2,"FEBRUARY")</f>
        <v>JANUARY</v>
      </c>
      <c r="E352">
        <v>2</v>
      </c>
      <c r="F352" t="str" cm="1">
        <f t="array" ref="F352">_xlfn.SWITCH(Sheet5!C352,FALSE,"NO",TRUE,"YES")</f>
        <v>NO</v>
      </c>
      <c r="G352" t="str" cm="1">
        <f t="array" ref="G352">_xlfn.SWITCH(Sheet5!B352,0,"Sunday",1,"Monday",2,"Tuesday",3,"Wednesday",4,"Thursday",5,"Friday",6,"Saturday")</f>
        <v>Sunday</v>
      </c>
      <c r="H352" t="str" cm="1">
        <f t="array" ref="H352">_xlfn.SWITCH(Sheet5!D352, 1, "Clear Sky", 2, "Mist", 3, "Dark Cloud",4,"Heavy Rainfall")</f>
        <v>Clear Sky</v>
      </c>
      <c r="I352" s="26">
        <f>Sheet5!E352*41</f>
        <v>10.66</v>
      </c>
      <c r="J352" s="27">
        <v>0.56000000000000005</v>
      </c>
      <c r="K352">
        <v>8.9599999999999999E-2</v>
      </c>
      <c r="L352">
        <v>3</v>
      </c>
      <c r="M352">
        <v>13</v>
      </c>
      <c r="N352">
        <v>16</v>
      </c>
    </row>
    <row r="353" spans="1:14" x14ac:dyDescent="0.3">
      <c r="A353">
        <v>352</v>
      </c>
      <c r="B353" s="21">
        <v>40559</v>
      </c>
      <c r="C353" s="25" t="s">
        <v>16</v>
      </c>
      <c r="D353" s="25" t="str" cm="1">
        <f t="array" ref="D353">_xlfn.SWITCH(Sheet5!A353,1,"JANUARY",2,"FEBRUARY")</f>
        <v>JANUARY</v>
      </c>
      <c r="E353">
        <v>3</v>
      </c>
      <c r="F353" t="str" cm="1">
        <f t="array" ref="F353">_xlfn.SWITCH(Sheet5!C353,FALSE,"NO",TRUE,"YES")</f>
        <v>NO</v>
      </c>
      <c r="G353" t="str" cm="1">
        <f t="array" ref="G353">_xlfn.SWITCH(Sheet5!B353,0,"Sunday",1,"Monday",2,"Tuesday",3,"Wednesday",4,"Thursday",5,"Friday",6,"Saturday")</f>
        <v>Sunday</v>
      </c>
      <c r="H353" t="str" cm="1">
        <f t="array" ref="H353">_xlfn.SWITCH(Sheet5!D353, 1, "Clear Sky", 2, "Mist", 3, "Dark Cloud",4,"Heavy Rainfall")</f>
        <v>Clear Sky</v>
      </c>
      <c r="I353" s="26">
        <f>Sheet5!E353*41</f>
        <v>9.02</v>
      </c>
      <c r="J353" s="27">
        <v>0.69</v>
      </c>
      <c r="K353">
        <v>0</v>
      </c>
      <c r="L353">
        <v>9</v>
      </c>
      <c r="M353">
        <v>6</v>
      </c>
      <c r="N353">
        <v>15</v>
      </c>
    </row>
    <row r="354" spans="1:14" x14ac:dyDescent="0.3">
      <c r="A354">
        <v>353</v>
      </c>
      <c r="B354" s="21">
        <v>40559</v>
      </c>
      <c r="C354" s="25" t="s">
        <v>16</v>
      </c>
      <c r="D354" s="25" t="str" cm="1">
        <f t="array" ref="D354">_xlfn.SWITCH(Sheet5!A354,1,"JANUARY",2,"FEBRUARY")</f>
        <v>JANUARY</v>
      </c>
      <c r="E354">
        <v>4</v>
      </c>
      <c r="F354" t="str" cm="1">
        <f t="array" ref="F354">_xlfn.SWITCH(Sheet5!C354,FALSE,"NO",TRUE,"YES")</f>
        <v>NO</v>
      </c>
      <c r="G354" t="str" cm="1">
        <f t="array" ref="G354">_xlfn.SWITCH(Sheet5!B354,0,"Sunday",1,"Monday",2,"Tuesday",3,"Wednesday",4,"Thursday",5,"Friday",6,"Saturday")</f>
        <v>Sunday</v>
      </c>
      <c r="H354" t="str" cm="1">
        <f t="array" ref="H354">_xlfn.SWITCH(Sheet5!D354, 1, "Clear Sky", 2, "Mist", 3, "Dark Cloud",4,"Heavy Rainfall")</f>
        <v>Clear Sky</v>
      </c>
      <c r="I354" s="26">
        <f>Sheet5!E354*41</f>
        <v>10.66</v>
      </c>
      <c r="J354" s="27">
        <v>0.56000000000000005</v>
      </c>
      <c r="K354">
        <v>0.16420000000000001</v>
      </c>
      <c r="L354">
        <v>0</v>
      </c>
      <c r="M354">
        <v>1</v>
      </c>
      <c r="N354">
        <v>1</v>
      </c>
    </row>
    <row r="355" spans="1:14" x14ac:dyDescent="0.3">
      <c r="A355">
        <v>354</v>
      </c>
      <c r="B355" s="21">
        <v>40559</v>
      </c>
      <c r="C355" s="25" t="s">
        <v>16</v>
      </c>
      <c r="D355" s="25" t="str" cm="1">
        <f t="array" ref="D355">_xlfn.SWITCH(Sheet5!A355,1,"JANUARY",2,"FEBRUARY")</f>
        <v>JANUARY</v>
      </c>
      <c r="E355">
        <v>5</v>
      </c>
      <c r="F355" t="str" cm="1">
        <f t="array" ref="F355">_xlfn.SWITCH(Sheet5!C355,FALSE,"NO",TRUE,"YES")</f>
        <v>NO</v>
      </c>
      <c r="G355" t="str" cm="1">
        <f t="array" ref="G355">_xlfn.SWITCH(Sheet5!B355,0,"Sunday",1,"Monday",2,"Tuesday",3,"Wednesday",4,"Thursday",5,"Friday",6,"Saturday")</f>
        <v>Sunday</v>
      </c>
      <c r="H355" t="str" cm="1">
        <f t="array" ref="H355">_xlfn.SWITCH(Sheet5!D355, 1, "Clear Sky", 2, "Mist", 3, "Dark Cloud",4,"Heavy Rainfall")</f>
        <v>Mist</v>
      </c>
      <c r="I355" s="26">
        <f>Sheet5!E355*41</f>
        <v>10.66</v>
      </c>
      <c r="J355" s="27">
        <v>0.56000000000000005</v>
      </c>
      <c r="K355">
        <v>0.16420000000000001</v>
      </c>
      <c r="L355">
        <v>1</v>
      </c>
      <c r="M355">
        <v>1</v>
      </c>
      <c r="N355">
        <v>2</v>
      </c>
    </row>
    <row r="356" spans="1:14" x14ac:dyDescent="0.3">
      <c r="A356">
        <v>355</v>
      </c>
      <c r="B356" s="21">
        <v>40559</v>
      </c>
      <c r="C356" s="25" t="s">
        <v>16</v>
      </c>
      <c r="D356" s="25" t="str" cm="1">
        <f t="array" ref="D356">_xlfn.SWITCH(Sheet5!A356,1,"JANUARY",2,"FEBRUARY")</f>
        <v>JANUARY</v>
      </c>
      <c r="E356">
        <v>6</v>
      </c>
      <c r="F356" t="str" cm="1">
        <f t="array" ref="F356">_xlfn.SWITCH(Sheet5!C356,FALSE,"NO",TRUE,"YES")</f>
        <v>NO</v>
      </c>
      <c r="G356" t="str" cm="1">
        <f t="array" ref="G356">_xlfn.SWITCH(Sheet5!B356,0,"Sunday",1,"Monday",2,"Tuesday",3,"Wednesday",4,"Thursday",5,"Friday",6,"Saturday")</f>
        <v>Sunday</v>
      </c>
      <c r="H356" t="str" cm="1">
        <f t="array" ref="H356">_xlfn.SWITCH(Sheet5!D356, 1, "Clear Sky", 2, "Mist", 3, "Dark Cloud",4,"Heavy Rainfall")</f>
        <v>Mist</v>
      </c>
      <c r="I356" s="26">
        <f>Sheet5!E356*41</f>
        <v>10.66</v>
      </c>
      <c r="J356" s="27">
        <v>0.56000000000000005</v>
      </c>
      <c r="K356">
        <v>0.16420000000000001</v>
      </c>
      <c r="L356">
        <v>0</v>
      </c>
      <c r="M356">
        <v>1</v>
      </c>
      <c r="N356">
        <v>1</v>
      </c>
    </row>
    <row r="357" spans="1:14" x14ac:dyDescent="0.3">
      <c r="A357">
        <v>356</v>
      </c>
      <c r="B357" s="21">
        <v>40559</v>
      </c>
      <c r="C357" s="25" t="s">
        <v>16</v>
      </c>
      <c r="D357" s="25" t="str" cm="1">
        <f t="array" ref="D357">_xlfn.SWITCH(Sheet5!A357,1,"JANUARY",2,"FEBRUARY")</f>
        <v>JANUARY</v>
      </c>
      <c r="E357">
        <v>7</v>
      </c>
      <c r="F357" t="str" cm="1">
        <f t="array" ref="F357">_xlfn.SWITCH(Sheet5!C357,FALSE,"NO",TRUE,"YES")</f>
        <v>NO</v>
      </c>
      <c r="G357" t="str" cm="1">
        <f t="array" ref="G357">_xlfn.SWITCH(Sheet5!B357,0,"Sunday",1,"Monday",2,"Tuesday",3,"Wednesday",4,"Thursday",5,"Friday",6,"Saturday")</f>
        <v>Sunday</v>
      </c>
      <c r="H357" t="str" cm="1">
        <f t="array" ref="H357">_xlfn.SWITCH(Sheet5!D357, 1, "Clear Sky", 2, "Mist", 3, "Dark Cloud",4,"Heavy Rainfall")</f>
        <v>Mist</v>
      </c>
      <c r="I357" s="26">
        <f>Sheet5!E357*41</f>
        <v>9.84</v>
      </c>
      <c r="J357" s="27">
        <v>0.56000000000000005</v>
      </c>
      <c r="K357">
        <v>0.29849999999999999</v>
      </c>
      <c r="L357">
        <v>0</v>
      </c>
      <c r="M357">
        <v>3</v>
      </c>
      <c r="N357">
        <v>3</v>
      </c>
    </row>
    <row r="358" spans="1:14" x14ac:dyDescent="0.3">
      <c r="A358">
        <v>357</v>
      </c>
      <c r="B358" s="21">
        <v>40559</v>
      </c>
      <c r="C358" s="25" t="s">
        <v>16</v>
      </c>
      <c r="D358" s="25" t="str" cm="1">
        <f t="array" ref="D358">_xlfn.SWITCH(Sheet5!A358,1,"JANUARY",2,"FEBRUARY")</f>
        <v>JANUARY</v>
      </c>
      <c r="E358">
        <v>8</v>
      </c>
      <c r="F358" t="str" cm="1">
        <f t="array" ref="F358">_xlfn.SWITCH(Sheet5!C358,FALSE,"NO",TRUE,"YES")</f>
        <v>NO</v>
      </c>
      <c r="G358" t="str" cm="1">
        <f t="array" ref="G358">_xlfn.SWITCH(Sheet5!B358,0,"Sunday",1,"Monday",2,"Tuesday",3,"Wednesday",4,"Thursday",5,"Friday",6,"Saturday")</f>
        <v>Sunday</v>
      </c>
      <c r="H358" t="str" cm="1">
        <f t="array" ref="H358">_xlfn.SWITCH(Sheet5!D358, 1, "Clear Sky", 2, "Mist", 3, "Dark Cloud",4,"Heavy Rainfall")</f>
        <v>Clear Sky</v>
      </c>
      <c r="I358" s="26">
        <f>Sheet5!E358*41</f>
        <v>9.02</v>
      </c>
      <c r="J358" s="27">
        <v>0.55000000000000004</v>
      </c>
      <c r="K358">
        <v>0.28360000000000002</v>
      </c>
      <c r="L358">
        <v>0</v>
      </c>
      <c r="M358">
        <v>18</v>
      </c>
      <c r="N358">
        <v>18</v>
      </c>
    </row>
    <row r="359" spans="1:14" x14ac:dyDescent="0.3">
      <c r="A359">
        <v>358</v>
      </c>
      <c r="B359" s="21">
        <v>40559</v>
      </c>
      <c r="C359" s="25" t="s">
        <v>16</v>
      </c>
      <c r="D359" s="25" t="str" cm="1">
        <f t="array" ref="D359">_xlfn.SWITCH(Sheet5!A359,1,"JANUARY",2,"FEBRUARY")</f>
        <v>JANUARY</v>
      </c>
      <c r="E359">
        <v>9</v>
      </c>
      <c r="F359" t="str" cm="1">
        <f t="array" ref="F359">_xlfn.SWITCH(Sheet5!C359,FALSE,"NO",TRUE,"YES")</f>
        <v>NO</v>
      </c>
      <c r="G359" t="str" cm="1">
        <f t="array" ref="G359">_xlfn.SWITCH(Sheet5!B359,0,"Sunday",1,"Monday",2,"Tuesday",3,"Wednesday",4,"Thursday",5,"Friday",6,"Saturday")</f>
        <v>Sunday</v>
      </c>
      <c r="H359" t="str" cm="1">
        <f t="array" ref="H359">_xlfn.SWITCH(Sheet5!D359, 1, "Clear Sky", 2, "Mist", 3, "Dark Cloud",4,"Heavy Rainfall")</f>
        <v>Clear Sky</v>
      </c>
      <c r="I359" s="26">
        <f>Sheet5!E359*41</f>
        <v>9.02</v>
      </c>
      <c r="J359" s="27">
        <v>0.51</v>
      </c>
      <c r="K359">
        <v>0.25369999999999998</v>
      </c>
      <c r="L359">
        <v>3</v>
      </c>
      <c r="M359">
        <v>29</v>
      </c>
      <c r="N359">
        <v>32</v>
      </c>
    </row>
    <row r="360" spans="1:14" x14ac:dyDescent="0.3">
      <c r="A360">
        <v>359</v>
      </c>
      <c r="B360" s="21">
        <v>40559</v>
      </c>
      <c r="C360" s="25" t="s">
        <v>16</v>
      </c>
      <c r="D360" s="25" t="str" cm="1">
        <f t="array" ref="D360">_xlfn.SWITCH(Sheet5!A360,1,"JANUARY",2,"FEBRUARY")</f>
        <v>JANUARY</v>
      </c>
      <c r="E360">
        <v>10</v>
      </c>
      <c r="F360" t="str" cm="1">
        <f t="array" ref="F360">_xlfn.SWITCH(Sheet5!C360,FALSE,"NO",TRUE,"YES")</f>
        <v>NO</v>
      </c>
      <c r="G360" t="str" cm="1">
        <f t="array" ref="G360">_xlfn.SWITCH(Sheet5!B360,0,"Sunday",1,"Monday",2,"Tuesday",3,"Wednesday",4,"Thursday",5,"Friday",6,"Saturday")</f>
        <v>Sunday</v>
      </c>
      <c r="H360" t="str" cm="1">
        <f t="array" ref="H360">_xlfn.SWITCH(Sheet5!D360, 1, "Clear Sky", 2, "Mist", 3, "Dark Cloud",4,"Heavy Rainfall")</f>
        <v>Clear Sky</v>
      </c>
      <c r="I360" s="26">
        <f>Sheet5!E360*41</f>
        <v>9.02</v>
      </c>
      <c r="J360" s="27">
        <v>0.51</v>
      </c>
      <c r="K360">
        <v>0.28360000000000002</v>
      </c>
      <c r="L360">
        <v>8</v>
      </c>
      <c r="M360">
        <v>71</v>
      </c>
      <c r="N360">
        <v>79</v>
      </c>
    </row>
    <row r="361" spans="1:14" x14ac:dyDescent="0.3">
      <c r="A361">
        <v>360</v>
      </c>
      <c r="B361" s="21">
        <v>40559</v>
      </c>
      <c r="C361" s="25" t="s">
        <v>16</v>
      </c>
      <c r="D361" s="25" t="str" cm="1">
        <f t="array" ref="D361">_xlfn.SWITCH(Sheet5!A361,1,"JANUARY",2,"FEBRUARY")</f>
        <v>JANUARY</v>
      </c>
      <c r="E361">
        <v>11</v>
      </c>
      <c r="F361" t="str" cm="1">
        <f t="array" ref="F361">_xlfn.SWITCH(Sheet5!C361,FALSE,"NO",TRUE,"YES")</f>
        <v>NO</v>
      </c>
      <c r="G361" t="str" cm="1">
        <f t="array" ref="G361">_xlfn.SWITCH(Sheet5!B361,0,"Sunday",1,"Monday",2,"Tuesday",3,"Wednesday",4,"Thursday",5,"Friday",6,"Saturday")</f>
        <v>Sunday</v>
      </c>
      <c r="H361" t="str" cm="1">
        <f t="array" ref="H361">_xlfn.SWITCH(Sheet5!D361, 1, "Clear Sky", 2, "Mist", 3, "Dark Cloud",4,"Heavy Rainfall")</f>
        <v>Clear Sky</v>
      </c>
      <c r="I361" s="26">
        <f>Sheet5!E361*41</f>
        <v>9.84</v>
      </c>
      <c r="J361" s="27">
        <v>0.44</v>
      </c>
      <c r="K361">
        <v>0.25369999999999998</v>
      </c>
      <c r="L361">
        <v>23</v>
      </c>
      <c r="M361">
        <v>70</v>
      </c>
      <c r="N361">
        <v>93</v>
      </c>
    </row>
    <row r="362" spans="1:14" x14ac:dyDescent="0.3">
      <c r="A362">
        <v>361</v>
      </c>
      <c r="B362" s="21">
        <v>40559</v>
      </c>
      <c r="C362" s="25" t="s">
        <v>16</v>
      </c>
      <c r="D362" s="25" t="str" cm="1">
        <f t="array" ref="D362">_xlfn.SWITCH(Sheet5!A362,1,"JANUARY",2,"FEBRUARY")</f>
        <v>JANUARY</v>
      </c>
      <c r="E362">
        <v>12</v>
      </c>
      <c r="F362" t="str" cm="1">
        <f t="array" ref="F362">_xlfn.SWITCH(Sheet5!C362,FALSE,"NO",TRUE,"YES")</f>
        <v>NO</v>
      </c>
      <c r="G362" t="str" cm="1">
        <f t="array" ref="G362">_xlfn.SWITCH(Sheet5!B362,0,"Sunday",1,"Monday",2,"Tuesday",3,"Wednesday",4,"Thursday",5,"Friday",6,"Saturday")</f>
        <v>Sunday</v>
      </c>
      <c r="H362" t="str" cm="1">
        <f t="array" ref="H362">_xlfn.SWITCH(Sheet5!D362, 1, "Clear Sky", 2, "Mist", 3, "Dark Cloud",4,"Heavy Rainfall")</f>
        <v>Clear Sky</v>
      </c>
      <c r="I362" s="26">
        <f>Sheet5!E362*41</f>
        <v>9.84</v>
      </c>
      <c r="J362" s="27">
        <v>0.41</v>
      </c>
      <c r="K362">
        <v>0.28360000000000002</v>
      </c>
      <c r="L362">
        <v>29</v>
      </c>
      <c r="M362">
        <v>75</v>
      </c>
      <c r="N362">
        <v>104</v>
      </c>
    </row>
    <row r="363" spans="1:14" x14ac:dyDescent="0.3">
      <c r="A363">
        <v>362</v>
      </c>
      <c r="B363" s="21">
        <v>40559</v>
      </c>
      <c r="C363" s="25" t="s">
        <v>16</v>
      </c>
      <c r="D363" s="25" t="str" cm="1">
        <f t="array" ref="D363">_xlfn.SWITCH(Sheet5!A363,1,"JANUARY",2,"FEBRUARY")</f>
        <v>JANUARY</v>
      </c>
      <c r="E363">
        <v>13</v>
      </c>
      <c r="F363" t="str" cm="1">
        <f t="array" ref="F363">_xlfn.SWITCH(Sheet5!C363,FALSE,"NO",TRUE,"YES")</f>
        <v>NO</v>
      </c>
      <c r="G363" t="str" cm="1">
        <f t="array" ref="G363">_xlfn.SWITCH(Sheet5!B363,0,"Sunday",1,"Monday",2,"Tuesday",3,"Wednesday",4,"Thursday",5,"Friday",6,"Saturday")</f>
        <v>Sunday</v>
      </c>
      <c r="H363" t="str" cm="1">
        <f t="array" ref="H363">_xlfn.SWITCH(Sheet5!D363, 1, "Clear Sky", 2, "Mist", 3, "Dark Cloud",4,"Heavy Rainfall")</f>
        <v>Clear Sky</v>
      </c>
      <c r="I363" s="26">
        <f>Sheet5!E363*41</f>
        <v>10.66</v>
      </c>
      <c r="J363" s="27">
        <v>0.35</v>
      </c>
      <c r="K363">
        <v>0.29849999999999999</v>
      </c>
      <c r="L363">
        <v>23</v>
      </c>
      <c r="M363">
        <v>95</v>
      </c>
      <c r="N363">
        <v>118</v>
      </c>
    </row>
    <row r="364" spans="1:14" x14ac:dyDescent="0.3">
      <c r="A364">
        <v>363</v>
      </c>
      <c r="B364" s="21">
        <v>40559</v>
      </c>
      <c r="C364" s="25" t="s">
        <v>16</v>
      </c>
      <c r="D364" s="25" t="str" cm="1">
        <f t="array" ref="D364">_xlfn.SWITCH(Sheet5!A364,1,"JANUARY",2,"FEBRUARY")</f>
        <v>JANUARY</v>
      </c>
      <c r="E364">
        <v>14</v>
      </c>
      <c r="F364" t="str" cm="1">
        <f t="array" ref="F364">_xlfn.SWITCH(Sheet5!C364,FALSE,"NO",TRUE,"YES")</f>
        <v>NO</v>
      </c>
      <c r="G364" t="str" cm="1">
        <f t="array" ref="G364">_xlfn.SWITCH(Sheet5!B364,0,"Sunday",1,"Monday",2,"Tuesday",3,"Wednesday",4,"Thursday",5,"Friday",6,"Saturday")</f>
        <v>Sunday</v>
      </c>
      <c r="H364" t="str" cm="1">
        <f t="array" ref="H364">_xlfn.SWITCH(Sheet5!D364, 1, "Clear Sky", 2, "Mist", 3, "Dark Cloud",4,"Heavy Rainfall")</f>
        <v>Clear Sky</v>
      </c>
      <c r="I364" s="26">
        <f>Sheet5!E364*41</f>
        <v>11.48</v>
      </c>
      <c r="J364" s="27">
        <v>0.36</v>
      </c>
      <c r="K364">
        <v>0.25369999999999998</v>
      </c>
      <c r="L364">
        <v>22</v>
      </c>
      <c r="M364">
        <v>69</v>
      </c>
      <c r="N364">
        <v>91</v>
      </c>
    </row>
    <row r="365" spans="1:14" x14ac:dyDescent="0.3">
      <c r="A365">
        <v>364</v>
      </c>
      <c r="B365" s="21">
        <v>40559</v>
      </c>
      <c r="C365" s="25" t="s">
        <v>16</v>
      </c>
      <c r="D365" s="25" t="str" cm="1">
        <f t="array" ref="D365">_xlfn.SWITCH(Sheet5!A365,1,"JANUARY",2,"FEBRUARY")</f>
        <v>JANUARY</v>
      </c>
      <c r="E365">
        <v>15</v>
      </c>
      <c r="F365" t="str" cm="1">
        <f t="array" ref="F365">_xlfn.SWITCH(Sheet5!C365,FALSE,"NO",TRUE,"YES")</f>
        <v>NO</v>
      </c>
      <c r="G365" t="str" cm="1">
        <f t="array" ref="G365">_xlfn.SWITCH(Sheet5!B365,0,"Sunday",1,"Monday",2,"Tuesday",3,"Wednesday",4,"Thursday",5,"Friday",6,"Saturday")</f>
        <v>Sunday</v>
      </c>
      <c r="H365" t="str" cm="1">
        <f t="array" ref="H365">_xlfn.SWITCH(Sheet5!D365, 1, "Clear Sky", 2, "Mist", 3, "Dark Cloud",4,"Heavy Rainfall")</f>
        <v>Clear Sky</v>
      </c>
      <c r="I365" s="26">
        <f>Sheet5!E365*41</f>
        <v>10.66</v>
      </c>
      <c r="J365" s="27">
        <v>0.38</v>
      </c>
      <c r="K365">
        <v>0.25369999999999998</v>
      </c>
      <c r="L365">
        <v>35</v>
      </c>
      <c r="M365">
        <v>78</v>
      </c>
      <c r="N365">
        <v>113</v>
      </c>
    </row>
    <row r="366" spans="1:14" x14ac:dyDescent="0.3">
      <c r="A366">
        <v>365</v>
      </c>
      <c r="B366" s="21">
        <v>40559</v>
      </c>
      <c r="C366" s="25" t="s">
        <v>16</v>
      </c>
      <c r="D366" s="25" t="str" cm="1">
        <f t="array" ref="D366">_xlfn.SWITCH(Sheet5!A366,1,"JANUARY",2,"FEBRUARY")</f>
        <v>JANUARY</v>
      </c>
      <c r="E366">
        <v>16</v>
      </c>
      <c r="F366" t="str" cm="1">
        <f t="array" ref="F366">_xlfn.SWITCH(Sheet5!C366,FALSE,"NO",TRUE,"YES")</f>
        <v>NO</v>
      </c>
      <c r="G366" t="str" cm="1">
        <f t="array" ref="G366">_xlfn.SWITCH(Sheet5!B366,0,"Sunday",1,"Monday",2,"Tuesday",3,"Wednesday",4,"Thursday",5,"Friday",6,"Saturday")</f>
        <v>Sunday</v>
      </c>
      <c r="H366" t="str" cm="1">
        <f t="array" ref="H366">_xlfn.SWITCH(Sheet5!D366, 1, "Clear Sky", 2, "Mist", 3, "Dark Cloud",4,"Heavy Rainfall")</f>
        <v>Clear Sky</v>
      </c>
      <c r="I366" s="26">
        <f>Sheet5!E366*41</f>
        <v>9.84</v>
      </c>
      <c r="J366" s="27">
        <v>0.38</v>
      </c>
      <c r="K366">
        <v>0.22389999999999999</v>
      </c>
      <c r="L366">
        <v>22</v>
      </c>
      <c r="M366">
        <v>77</v>
      </c>
      <c r="N366">
        <v>99</v>
      </c>
    </row>
    <row r="367" spans="1:14" x14ac:dyDescent="0.3">
      <c r="A367">
        <v>366</v>
      </c>
      <c r="B367" s="21">
        <v>40559</v>
      </c>
      <c r="C367" s="25" t="s">
        <v>16</v>
      </c>
      <c r="D367" s="25" t="str" cm="1">
        <f t="array" ref="D367">_xlfn.SWITCH(Sheet5!A367,1,"JANUARY",2,"FEBRUARY")</f>
        <v>JANUARY</v>
      </c>
      <c r="E367">
        <v>17</v>
      </c>
      <c r="F367" t="str" cm="1">
        <f t="array" ref="F367">_xlfn.SWITCH(Sheet5!C367,FALSE,"NO",TRUE,"YES")</f>
        <v>NO</v>
      </c>
      <c r="G367" t="str" cm="1">
        <f t="array" ref="G367">_xlfn.SWITCH(Sheet5!B367,0,"Sunday",1,"Monday",2,"Tuesday",3,"Wednesday",4,"Thursday",5,"Friday",6,"Saturday")</f>
        <v>Sunday</v>
      </c>
      <c r="H367" t="str" cm="1">
        <f t="array" ref="H367">_xlfn.SWITCH(Sheet5!D367, 1, "Clear Sky", 2, "Mist", 3, "Dark Cloud",4,"Heavy Rainfall")</f>
        <v>Clear Sky</v>
      </c>
      <c r="I367" s="26">
        <f>Sheet5!E367*41</f>
        <v>9.02</v>
      </c>
      <c r="J367" s="27">
        <v>0.37</v>
      </c>
      <c r="K367">
        <v>0.25369999999999998</v>
      </c>
      <c r="L367">
        <v>23</v>
      </c>
      <c r="M367">
        <v>82</v>
      </c>
      <c r="N367">
        <v>105</v>
      </c>
    </row>
    <row r="368" spans="1:14" x14ac:dyDescent="0.3">
      <c r="A368">
        <v>367</v>
      </c>
      <c r="B368" s="21">
        <v>40559</v>
      </c>
      <c r="C368" s="25" t="s">
        <v>16</v>
      </c>
      <c r="D368" s="25" t="str" cm="1">
        <f t="array" ref="D368">_xlfn.SWITCH(Sheet5!A368,1,"JANUARY",2,"FEBRUARY")</f>
        <v>JANUARY</v>
      </c>
      <c r="E368">
        <v>18</v>
      </c>
      <c r="F368" t="str" cm="1">
        <f t="array" ref="F368">_xlfn.SWITCH(Sheet5!C368,FALSE,"NO",TRUE,"YES")</f>
        <v>NO</v>
      </c>
      <c r="G368" t="str" cm="1">
        <f t="array" ref="G368">_xlfn.SWITCH(Sheet5!B368,0,"Sunday",1,"Monday",2,"Tuesday",3,"Wednesday",4,"Thursday",5,"Friday",6,"Saturday")</f>
        <v>Sunday</v>
      </c>
      <c r="H368" t="str" cm="1">
        <f t="array" ref="H368">_xlfn.SWITCH(Sheet5!D368, 1, "Clear Sky", 2, "Mist", 3, "Dark Cloud",4,"Heavy Rainfall")</f>
        <v>Clear Sky</v>
      </c>
      <c r="I368" s="26">
        <f>Sheet5!E368*41</f>
        <v>8.2000000000000011</v>
      </c>
      <c r="J368" s="27">
        <v>0.4</v>
      </c>
      <c r="K368">
        <v>0.16420000000000001</v>
      </c>
      <c r="L368">
        <v>11</v>
      </c>
      <c r="M368">
        <v>56</v>
      </c>
      <c r="N368">
        <v>67</v>
      </c>
    </row>
    <row r="369" spans="1:14" x14ac:dyDescent="0.3">
      <c r="A369">
        <v>368</v>
      </c>
      <c r="B369" s="21">
        <v>40559</v>
      </c>
      <c r="C369" s="25" t="s">
        <v>16</v>
      </c>
      <c r="D369" s="25" t="str" cm="1">
        <f t="array" ref="D369">_xlfn.SWITCH(Sheet5!A369,1,"JANUARY",2,"FEBRUARY")</f>
        <v>JANUARY</v>
      </c>
      <c r="E369">
        <v>19</v>
      </c>
      <c r="F369" t="str" cm="1">
        <f t="array" ref="F369">_xlfn.SWITCH(Sheet5!C369,FALSE,"NO",TRUE,"YES")</f>
        <v>NO</v>
      </c>
      <c r="G369" t="str" cm="1">
        <f t="array" ref="G369">_xlfn.SWITCH(Sheet5!B369,0,"Sunday",1,"Monday",2,"Tuesday",3,"Wednesday",4,"Thursday",5,"Friday",6,"Saturday")</f>
        <v>Sunday</v>
      </c>
      <c r="H369" t="str" cm="1">
        <f t="array" ref="H369">_xlfn.SWITCH(Sheet5!D369, 1, "Clear Sky", 2, "Mist", 3, "Dark Cloud",4,"Heavy Rainfall")</f>
        <v>Clear Sky</v>
      </c>
      <c r="I369" s="26">
        <f>Sheet5!E369*41</f>
        <v>7.38</v>
      </c>
      <c r="J369" s="27">
        <v>0.47</v>
      </c>
      <c r="K369">
        <v>0.1343</v>
      </c>
      <c r="L369">
        <v>14</v>
      </c>
      <c r="M369">
        <v>47</v>
      </c>
      <c r="N369">
        <v>61</v>
      </c>
    </row>
    <row r="370" spans="1:14" x14ac:dyDescent="0.3">
      <c r="A370">
        <v>369</v>
      </c>
      <c r="B370" s="21">
        <v>40559</v>
      </c>
      <c r="C370" s="25" t="s">
        <v>16</v>
      </c>
      <c r="D370" s="25" t="str" cm="1">
        <f t="array" ref="D370">_xlfn.SWITCH(Sheet5!A370,1,"JANUARY",2,"FEBRUARY")</f>
        <v>JANUARY</v>
      </c>
      <c r="E370">
        <v>20</v>
      </c>
      <c r="F370" t="str" cm="1">
        <f t="array" ref="F370">_xlfn.SWITCH(Sheet5!C370,FALSE,"NO",TRUE,"YES")</f>
        <v>NO</v>
      </c>
      <c r="G370" t="str" cm="1">
        <f t="array" ref="G370">_xlfn.SWITCH(Sheet5!B370,0,"Sunday",1,"Monday",2,"Tuesday",3,"Wednesday",4,"Thursday",5,"Friday",6,"Saturday")</f>
        <v>Sunday</v>
      </c>
      <c r="H370" t="str" cm="1">
        <f t="array" ref="H370">_xlfn.SWITCH(Sheet5!D370, 1, "Clear Sky", 2, "Mist", 3, "Dark Cloud",4,"Heavy Rainfall")</f>
        <v>Clear Sky</v>
      </c>
      <c r="I370" s="26">
        <f>Sheet5!E370*41</f>
        <v>7.38</v>
      </c>
      <c r="J370" s="27">
        <v>0.47</v>
      </c>
      <c r="K370">
        <v>0.16420000000000001</v>
      </c>
      <c r="L370">
        <v>7</v>
      </c>
      <c r="M370">
        <v>50</v>
      </c>
      <c r="N370">
        <v>57</v>
      </c>
    </row>
    <row r="371" spans="1:14" x14ac:dyDescent="0.3">
      <c r="A371">
        <v>370</v>
      </c>
      <c r="B371" s="21">
        <v>40559</v>
      </c>
      <c r="C371" s="25" t="s">
        <v>16</v>
      </c>
      <c r="D371" s="25" t="str" cm="1">
        <f t="array" ref="D371">_xlfn.SWITCH(Sheet5!A371,1,"JANUARY",2,"FEBRUARY")</f>
        <v>JANUARY</v>
      </c>
      <c r="E371">
        <v>21</v>
      </c>
      <c r="F371" t="str" cm="1">
        <f t="array" ref="F371">_xlfn.SWITCH(Sheet5!C371,FALSE,"NO",TRUE,"YES")</f>
        <v>NO</v>
      </c>
      <c r="G371" t="str" cm="1">
        <f t="array" ref="G371">_xlfn.SWITCH(Sheet5!B371,0,"Sunday",1,"Monday",2,"Tuesday",3,"Wednesday",4,"Thursday",5,"Friday",6,"Saturday")</f>
        <v>Sunday</v>
      </c>
      <c r="H371" t="str" cm="1">
        <f t="array" ref="H371">_xlfn.SWITCH(Sheet5!D371, 1, "Clear Sky", 2, "Mist", 3, "Dark Cloud",4,"Heavy Rainfall")</f>
        <v>Clear Sky</v>
      </c>
      <c r="I371" s="26">
        <f>Sheet5!E371*41</f>
        <v>7.38</v>
      </c>
      <c r="J371" s="27">
        <v>0.51</v>
      </c>
      <c r="K371">
        <v>0.16420000000000001</v>
      </c>
      <c r="L371">
        <v>6</v>
      </c>
      <c r="M371">
        <v>22</v>
      </c>
      <c r="N371">
        <v>28</v>
      </c>
    </row>
    <row r="372" spans="1:14" x14ac:dyDescent="0.3">
      <c r="A372">
        <v>371</v>
      </c>
      <c r="B372" s="21">
        <v>40559</v>
      </c>
      <c r="C372" s="25" t="s">
        <v>16</v>
      </c>
      <c r="D372" s="25" t="str" cm="1">
        <f t="array" ref="D372">_xlfn.SWITCH(Sheet5!A372,1,"JANUARY",2,"FEBRUARY")</f>
        <v>JANUARY</v>
      </c>
      <c r="E372">
        <v>22</v>
      </c>
      <c r="F372" t="str" cm="1">
        <f t="array" ref="F372">_xlfn.SWITCH(Sheet5!C372,FALSE,"NO",TRUE,"YES")</f>
        <v>NO</v>
      </c>
      <c r="G372" t="str" cm="1">
        <f t="array" ref="G372">_xlfn.SWITCH(Sheet5!B372,0,"Sunday",1,"Monday",2,"Tuesday",3,"Wednesday",4,"Thursday",5,"Friday",6,"Saturday")</f>
        <v>Sunday</v>
      </c>
      <c r="H372" t="str" cm="1">
        <f t="array" ref="H372">_xlfn.SWITCH(Sheet5!D372, 1, "Clear Sky", 2, "Mist", 3, "Dark Cloud",4,"Heavy Rainfall")</f>
        <v>Mist</v>
      </c>
      <c r="I372" s="26">
        <f>Sheet5!E372*41</f>
        <v>8.2000000000000011</v>
      </c>
      <c r="J372" s="27">
        <v>0.49</v>
      </c>
      <c r="K372">
        <v>0.1343</v>
      </c>
      <c r="L372">
        <v>2</v>
      </c>
      <c r="M372">
        <v>19</v>
      </c>
      <c r="N372">
        <v>21</v>
      </c>
    </row>
    <row r="373" spans="1:14" x14ac:dyDescent="0.3">
      <c r="A373">
        <v>372</v>
      </c>
      <c r="B373" s="21">
        <v>40559</v>
      </c>
      <c r="C373" s="25" t="s">
        <v>16</v>
      </c>
      <c r="D373" s="25" t="str" cm="1">
        <f t="array" ref="D373">_xlfn.SWITCH(Sheet5!A373,1,"JANUARY",2,"FEBRUARY")</f>
        <v>JANUARY</v>
      </c>
      <c r="E373">
        <v>23</v>
      </c>
      <c r="F373" t="str" cm="1">
        <f t="array" ref="F373">_xlfn.SWITCH(Sheet5!C373,FALSE,"NO",TRUE,"YES")</f>
        <v>NO</v>
      </c>
      <c r="G373" t="str" cm="1">
        <f t="array" ref="G373">_xlfn.SWITCH(Sheet5!B373,0,"Sunday",1,"Monday",2,"Tuesday",3,"Wednesday",4,"Thursday",5,"Friday",6,"Saturday")</f>
        <v>Sunday</v>
      </c>
      <c r="H373" t="str" cm="1">
        <f t="array" ref="H373">_xlfn.SWITCH(Sheet5!D373, 1, "Clear Sky", 2, "Mist", 3, "Dark Cloud",4,"Heavy Rainfall")</f>
        <v>Mist</v>
      </c>
      <c r="I373" s="26">
        <f>Sheet5!E373*41</f>
        <v>8.2000000000000011</v>
      </c>
      <c r="J373" s="27">
        <v>0.4</v>
      </c>
      <c r="K373">
        <v>0.1045</v>
      </c>
      <c r="L373">
        <v>0</v>
      </c>
      <c r="M373">
        <v>18</v>
      </c>
      <c r="N373">
        <v>18</v>
      </c>
    </row>
    <row r="374" spans="1:14" x14ac:dyDescent="0.3">
      <c r="A374">
        <v>373</v>
      </c>
      <c r="B374" s="21">
        <v>40560</v>
      </c>
      <c r="C374" s="25" t="s">
        <v>16</v>
      </c>
      <c r="D374" s="25" t="str" cm="1">
        <f t="array" ref="D374">_xlfn.SWITCH(Sheet5!A374,1,"JANUARY",2,"FEBRUARY")</f>
        <v>JANUARY</v>
      </c>
      <c r="E374">
        <v>0</v>
      </c>
      <c r="F374" t="str" cm="1">
        <f t="array" ref="F374">_xlfn.SWITCH(Sheet5!C374,FALSE,"NO",TRUE,"YES")</f>
        <v>YES</v>
      </c>
      <c r="G374" t="str" cm="1">
        <f t="array" ref="G374">_xlfn.SWITCH(Sheet5!B374,0,"Sunday",1,"Monday",2,"Tuesday",3,"Wednesday",4,"Thursday",5,"Friday",6,"Saturday")</f>
        <v>Monday</v>
      </c>
      <c r="H374" t="str" cm="1">
        <f t="array" ref="H374">_xlfn.SWITCH(Sheet5!D374, 1, "Clear Sky", 2, "Mist", 3, "Dark Cloud",4,"Heavy Rainfall")</f>
        <v>Mist</v>
      </c>
      <c r="I374" s="26">
        <f>Sheet5!E374*41</f>
        <v>8.2000000000000011</v>
      </c>
      <c r="J374" s="27">
        <v>0.47</v>
      </c>
      <c r="K374">
        <v>0.22389999999999999</v>
      </c>
      <c r="L374">
        <v>1</v>
      </c>
      <c r="M374">
        <v>16</v>
      </c>
      <c r="N374">
        <v>17</v>
      </c>
    </row>
    <row r="375" spans="1:14" x14ac:dyDescent="0.3">
      <c r="A375">
        <v>374</v>
      </c>
      <c r="B375" s="21">
        <v>40560</v>
      </c>
      <c r="C375" s="25" t="s">
        <v>16</v>
      </c>
      <c r="D375" s="25" t="str" cm="1">
        <f t="array" ref="D375">_xlfn.SWITCH(Sheet5!A375,1,"JANUARY",2,"FEBRUARY")</f>
        <v>JANUARY</v>
      </c>
      <c r="E375">
        <v>1</v>
      </c>
      <c r="F375" t="str" cm="1">
        <f t="array" ref="F375">_xlfn.SWITCH(Sheet5!C375,FALSE,"NO",TRUE,"YES")</f>
        <v>YES</v>
      </c>
      <c r="G375" t="str" cm="1">
        <f t="array" ref="G375">_xlfn.SWITCH(Sheet5!B375,0,"Sunday",1,"Monday",2,"Tuesday",3,"Wednesday",4,"Thursday",5,"Friday",6,"Saturday")</f>
        <v>Monday</v>
      </c>
      <c r="H375" t="str" cm="1">
        <f t="array" ref="H375">_xlfn.SWITCH(Sheet5!D375, 1, "Clear Sky", 2, "Mist", 3, "Dark Cloud",4,"Heavy Rainfall")</f>
        <v>Mist</v>
      </c>
      <c r="I375" s="26">
        <f>Sheet5!E375*41</f>
        <v>8.2000000000000011</v>
      </c>
      <c r="J375" s="27">
        <v>0.44</v>
      </c>
      <c r="K375">
        <v>0.19400000000000001</v>
      </c>
      <c r="L375">
        <v>1</v>
      </c>
      <c r="M375">
        <v>15</v>
      </c>
      <c r="N375">
        <v>16</v>
      </c>
    </row>
    <row r="376" spans="1:14" x14ac:dyDescent="0.3">
      <c r="A376">
        <v>375</v>
      </c>
      <c r="B376" s="21">
        <v>40560</v>
      </c>
      <c r="C376" s="25" t="s">
        <v>16</v>
      </c>
      <c r="D376" s="25" t="str" cm="1">
        <f t="array" ref="D376">_xlfn.SWITCH(Sheet5!A376,1,"JANUARY",2,"FEBRUARY")</f>
        <v>JANUARY</v>
      </c>
      <c r="E376">
        <v>2</v>
      </c>
      <c r="F376" t="str" cm="1">
        <f t="array" ref="F376">_xlfn.SWITCH(Sheet5!C376,FALSE,"NO",TRUE,"YES")</f>
        <v>YES</v>
      </c>
      <c r="G376" t="str" cm="1">
        <f t="array" ref="G376">_xlfn.SWITCH(Sheet5!B376,0,"Sunday",1,"Monday",2,"Tuesday",3,"Wednesday",4,"Thursday",5,"Friday",6,"Saturday")</f>
        <v>Monday</v>
      </c>
      <c r="H376" t="str" cm="1">
        <f t="array" ref="H376">_xlfn.SWITCH(Sheet5!D376, 1, "Clear Sky", 2, "Mist", 3, "Dark Cloud",4,"Heavy Rainfall")</f>
        <v>Mist</v>
      </c>
      <c r="I376" s="26">
        <f>Sheet5!E376*41</f>
        <v>7.38</v>
      </c>
      <c r="J376" s="27">
        <v>0.43</v>
      </c>
      <c r="K376">
        <v>0.25369999999999998</v>
      </c>
      <c r="L376">
        <v>0</v>
      </c>
      <c r="M376">
        <v>8</v>
      </c>
      <c r="N376">
        <v>8</v>
      </c>
    </row>
    <row r="377" spans="1:14" x14ac:dyDescent="0.3">
      <c r="A377">
        <v>376</v>
      </c>
      <c r="B377" s="21">
        <v>40560</v>
      </c>
      <c r="C377" s="25" t="s">
        <v>16</v>
      </c>
      <c r="D377" s="25" t="str" cm="1">
        <f t="array" ref="D377">_xlfn.SWITCH(Sheet5!A377,1,"JANUARY",2,"FEBRUARY")</f>
        <v>JANUARY</v>
      </c>
      <c r="E377">
        <v>3</v>
      </c>
      <c r="F377" t="str" cm="1">
        <f t="array" ref="F377">_xlfn.SWITCH(Sheet5!C377,FALSE,"NO",TRUE,"YES")</f>
        <v>YES</v>
      </c>
      <c r="G377" t="str" cm="1">
        <f t="array" ref="G377">_xlfn.SWITCH(Sheet5!B377,0,"Sunday",1,"Monday",2,"Tuesday",3,"Wednesday",4,"Thursday",5,"Friday",6,"Saturday")</f>
        <v>Monday</v>
      </c>
      <c r="H377" t="str" cm="1">
        <f t="array" ref="H377">_xlfn.SWITCH(Sheet5!D377, 1, "Clear Sky", 2, "Mist", 3, "Dark Cloud",4,"Heavy Rainfall")</f>
        <v>Mist</v>
      </c>
      <c r="I377" s="26">
        <f>Sheet5!E377*41</f>
        <v>7.38</v>
      </c>
      <c r="J377" s="27">
        <v>0.43</v>
      </c>
      <c r="K377">
        <v>0.19400000000000001</v>
      </c>
      <c r="L377">
        <v>0</v>
      </c>
      <c r="M377">
        <v>2</v>
      </c>
      <c r="N377">
        <v>2</v>
      </c>
    </row>
    <row r="378" spans="1:14" x14ac:dyDescent="0.3">
      <c r="A378">
        <v>377</v>
      </c>
      <c r="B378" s="21">
        <v>40560</v>
      </c>
      <c r="C378" s="25" t="s">
        <v>16</v>
      </c>
      <c r="D378" s="25" t="str" cm="1">
        <f t="array" ref="D378">_xlfn.SWITCH(Sheet5!A378,1,"JANUARY",2,"FEBRUARY")</f>
        <v>JANUARY</v>
      </c>
      <c r="E378">
        <v>4</v>
      </c>
      <c r="F378" t="str" cm="1">
        <f t="array" ref="F378">_xlfn.SWITCH(Sheet5!C378,FALSE,"NO",TRUE,"YES")</f>
        <v>YES</v>
      </c>
      <c r="G378" t="str" cm="1">
        <f t="array" ref="G378">_xlfn.SWITCH(Sheet5!B378,0,"Sunday",1,"Monday",2,"Tuesday",3,"Wednesday",4,"Thursday",5,"Friday",6,"Saturday")</f>
        <v>Monday</v>
      </c>
      <c r="H378" t="str" cm="1">
        <f t="array" ref="H378">_xlfn.SWITCH(Sheet5!D378, 1, "Clear Sky", 2, "Mist", 3, "Dark Cloud",4,"Heavy Rainfall")</f>
        <v>Mist</v>
      </c>
      <c r="I378" s="26">
        <f>Sheet5!E378*41</f>
        <v>7.38</v>
      </c>
      <c r="J378" s="27">
        <v>0.43</v>
      </c>
      <c r="K378">
        <v>0.1343</v>
      </c>
      <c r="L378">
        <v>1</v>
      </c>
      <c r="M378">
        <v>2</v>
      </c>
      <c r="N378">
        <v>3</v>
      </c>
    </row>
    <row r="379" spans="1:14" x14ac:dyDescent="0.3">
      <c r="A379">
        <v>378</v>
      </c>
      <c r="B379" s="21">
        <v>40560</v>
      </c>
      <c r="C379" s="25" t="s">
        <v>16</v>
      </c>
      <c r="D379" s="25" t="str" cm="1">
        <f t="array" ref="D379">_xlfn.SWITCH(Sheet5!A379,1,"JANUARY",2,"FEBRUARY")</f>
        <v>JANUARY</v>
      </c>
      <c r="E379">
        <v>5</v>
      </c>
      <c r="F379" t="str" cm="1">
        <f t="array" ref="F379">_xlfn.SWITCH(Sheet5!C379,FALSE,"NO",TRUE,"YES")</f>
        <v>YES</v>
      </c>
      <c r="G379" t="str" cm="1">
        <f t="array" ref="G379">_xlfn.SWITCH(Sheet5!B379,0,"Sunday",1,"Monday",2,"Tuesday",3,"Wednesday",4,"Thursday",5,"Friday",6,"Saturday")</f>
        <v>Monday</v>
      </c>
      <c r="H379" t="str" cm="1">
        <f t="array" ref="H379">_xlfn.SWITCH(Sheet5!D379, 1, "Clear Sky", 2, "Mist", 3, "Dark Cloud",4,"Heavy Rainfall")</f>
        <v>Mist</v>
      </c>
      <c r="I379" s="26">
        <f>Sheet5!E379*41</f>
        <v>7.38</v>
      </c>
      <c r="J379" s="27">
        <v>0.43</v>
      </c>
      <c r="K379">
        <v>0.16420000000000001</v>
      </c>
      <c r="L379">
        <v>0</v>
      </c>
      <c r="M379">
        <v>1</v>
      </c>
      <c r="N379">
        <v>1</v>
      </c>
    </row>
    <row r="380" spans="1:14" x14ac:dyDescent="0.3">
      <c r="A380">
        <v>379</v>
      </c>
      <c r="B380" s="21">
        <v>40560</v>
      </c>
      <c r="C380" s="25" t="s">
        <v>16</v>
      </c>
      <c r="D380" s="25" t="str" cm="1">
        <f t="array" ref="D380">_xlfn.SWITCH(Sheet5!A380,1,"JANUARY",2,"FEBRUARY")</f>
        <v>JANUARY</v>
      </c>
      <c r="E380">
        <v>6</v>
      </c>
      <c r="F380" t="str" cm="1">
        <f t="array" ref="F380">_xlfn.SWITCH(Sheet5!C380,FALSE,"NO",TRUE,"YES")</f>
        <v>YES</v>
      </c>
      <c r="G380" t="str" cm="1">
        <f t="array" ref="G380">_xlfn.SWITCH(Sheet5!B380,0,"Sunday",1,"Monday",2,"Tuesday",3,"Wednesday",4,"Thursday",5,"Friday",6,"Saturday")</f>
        <v>Monday</v>
      </c>
      <c r="H380" t="str" cm="1">
        <f t="array" ref="H380">_xlfn.SWITCH(Sheet5!D380, 1, "Clear Sky", 2, "Mist", 3, "Dark Cloud",4,"Heavy Rainfall")</f>
        <v>Mist</v>
      </c>
      <c r="I380" s="26">
        <f>Sheet5!E380*41</f>
        <v>7.38</v>
      </c>
      <c r="J380" s="27">
        <v>0.43</v>
      </c>
      <c r="K380">
        <v>0.19400000000000001</v>
      </c>
      <c r="L380">
        <v>0</v>
      </c>
      <c r="M380">
        <v>5</v>
      </c>
      <c r="N380">
        <v>5</v>
      </c>
    </row>
    <row r="381" spans="1:14" x14ac:dyDescent="0.3">
      <c r="A381">
        <v>380</v>
      </c>
      <c r="B381" s="21">
        <v>40560</v>
      </c>
      <c r="C381" s="25" t="s">
        <v>16</v>
      </c>
      <c r="D381" s="25" t="str" cm="1">
        <f t="array" ref="D381">_xlfn.SWITCH(Sheet5!A381,1,"JANUARY",2,"FEBRUARY")</f>
        <v>JANUARY</v>
      </c>
      <c r="E381">
        <v>7</v>
      </c>
      <c r="F381" t="str" cm="1">
        <f t="array" ref="F381">_xlfn.SWITCH(Sheet5!C381,FALSE,"NO",TRUE,"YES")</f>
        <v>YES</v>
      </c>
      <c r="G381" t="str" cm="1">
        <f t="array" ref="G381">_xlfn.SWITCH(Sheet5!B381,0,"Sunday",1,"Monday",2,"Tuesday",3,"Wednesday",4,"Thursday",5,"Friday",6,"Saturday")</f>
        <v>Monday</v>
      </c>
      <c r="H381" t="str" cm="1">
        <f t="array" ref="H381">_xlfn.SWITCH(Sheet5!D381, 1, "Clear Sky", 2, "Mist", 3, "Dark Cloud",4,"Heavy Rainfall")</f>
        <v>Mist</v>
      </c>
      <c r="I381" s="26">
        <f>Sheet5!E381*41</f>
        <v>6.5600000000000005</v>
      </c>
      <c r="J381" s="27">
        <v>0.5</v>
      </c>
      <c r="K381">
        <v>0.1343</v>
      </c>
      <c r="L381">
        <v>4</v>
      </c>
      <c r="M381">
        <v>9</v>
      </c>
      <c r="N381">
        <v>13</v>
      </c>
    </row>
    <row r="382" spans="1:14" x14ac:dyDescent="0.3">
      <c r="A382">
        <v>381</v>
      </c>
      <c r="B382" s="21">
        <v>40560</v>
      </c>
      <c r="C382" s="25" t="s">
        <v>16</v>
      </c>
      <c r="D382" s="25" t="str" cm="1">
        <f t="array" ref="D382">_xlfn.SWITCH(Sheet5!A382,1,"JANUARY",2,"FEBRUARY")</f>
        <v>JANUARY</v>
      </c>
      <c r="E382">
        <v>8</v>
      </c>
      <c r="F382" t="str" cm="1">
        <f t="array" ref="F382">_xlfn.SWITCH(Sheet5!C382,FALSE,"NO",TRUE,"YES")</f>
        <v>YES</v>
      </c>
      <c r="G382" t="str" cm="1">
        <f t="array" ref="G382">_xlfn.SWITCH(Sheet5!B382,0,"Sunday",1,"Monday",2,"Tuesday",3,"Wednesday",4,"Thursday",5,"Friday",6,"Saturday")</f>
        <v>Monday</v>
      </c>
      <c r="H382" t="str" cm="1">
        <f t="array" ref="H382">_xlfn.SWITCH(Sheet5!D382, 1, "Clear Sky", 2, "Mist", 3, "Dark Cloud",4,"Heavy Rainfall")</f>
        <v>Mist</v>
      </c>
      <c r="I382" s="26">
        <f>Sheet5!E382*41</f>
        <v>6.5600000000000005</v>
      </c>
      <c r="J382" s="27">
        <v>0.47</v>
      </c>
      <c r="K382">
        <v>0.22389999999999999</v>
      </c>
      <c r="L382">
        <v>3</v>
      </c>
      <c r="M382">
        <v>30</v>
      </c>
      <c r="N382">
        <v>33</v>
      </c>
    </row>
    <row r="383" spans="1:14" x14ac:dyDescent="0.3">
      <c r="A383">
        <v>382</v>
      </c>
      <c r="B383" s="21">
        <v>40560</v>
      </c>
      <c r="C383" s="25" t="s">
        <v>16</v>
      </c>
      <c r="D383" s="25" t="str" cm="1">
        <f t="array" ref="D383">_xlfn.SWITCH(Sheet5!A383,1,"JANUARY",2,"FEBRUARY")</f>
        <v>JANUARY</v>
      </c>
      <c r="E383">
        <v>9</v>
      </c>
      <c r="F383" t="str" cm="1">
        <f t="array" ref="F383">_xlfn.SWITCH(Sheet5!C383,FALSE,"NO",TRUE,"YES")</f>
        <v>YES</v>
      </c>
      <c r="G383" t="str" cm="1">
        <f t="array" ref="G383">_xlfn.SWITCH(Sheet5!B383,0,"Sunday",1,"Monday",2,"Tuesday",3,"Wednesday",4,"Thursday",5,"Friday",6,"Saturday")</f>
        <v>Monday</v>
      </c>
      <c r="H383" t="str" cm="1">
        <f t="array" ref="H383">_xlfn.SWITCH(Sheet5!D383, 1, "Clear Sky", 2, "Mist", 3, "Dark Cloud",4,"Heavy Rainfall")</f>
        <v>Mist</v>
      </c>
      <c r="I383" s="26">
        <f>Sheet5!E383*41</f>
        <v>6.5600000000000005</v>
      </c>
      <c r="J383" s="27">
        <v>0.47</v>
      </c>
      <c r="K383">
        <v>0.22389999999999999</v>
      </c>
      <c r="L383">
        <v>8</v>
      </c>
      <c r="M383">
        <v>39</v>
      </c>
      <c r="N383">
        <v>47</v>
      </c>
    </row>
    <row r="384" spans="1:14" x14ac:dyDescent="0.3">
      <c r="A384">
        <v>383</v>
      </c>
      <c r="B384" s="21">
        <v>40560</v>
      </c>
      <c r="C384" s="25" t="s">
        <v>16</v>
      </c>
      <c r="D384" s="25" t="str" cm="1">
        <f t="array" ref="D384">_xlfn.SWITCH(Sheet5!A384,1,"JANUARY",2,"FEBRUARY")</f>
        <v>JANUARY</v>
      </c>
      <c r="E384">
        <v>10</v>
      </c>
      <c r="F384" t="str" cm="1">
        <f t="array" ref="F384">_xlfn.SWITCH(Sheet5!C384,FALSE,"NO",TRUE,"YES")</f>
        <v>YES</v>
      </c>
      <c r="G384" t="str" cm="1">
        <f t="array" ref="G384">_xlfn.SWITCH(Sheet5!B384,0,"Sunday",1,"Monday",2,"Tuesday",3,"Wednesday",4,"Thursday",5,"Friday",6,"Saturday")</f>
        <v>Monday</v>
      </c>
      <c r="H384" t="str" cm="1">
        <f t="array" ref="H384">_xlfn.SWITCH(Sheet5!D384, 1, "Clear Sky", 2, "Mist", 3, "Dark Cloud",4,"Heavy Rainfall")</f>
        <v>Mist</v>
      </c>
      <c r="I384" s="26">
        <f>Sheet5!E384*41</f>
        <v>6.5600000000000005</v>
      </c>
      <c r="J384" s="27">
        <v>0.5</v>
      </c>
      <c r="K384">
        <v>0.25369999999999998</v>
      </c>
      <c r="L384">
        <v>7</v>
      </c>
      <c r="M384">
        <v>50</v>
      </c>
      <c r="N384">
        <v>57</v>
      </c>
    </row>
    <row r="385" spans="1:14" x14ac:dyDescent="0.3">
      <c r="A385">
        <v>384</v>
      </c>
      <c r="B385" s="21">
        <v>40560</v>
      </c>
      <c r="C385" s="25" t="s">
        <v>16</v>
      </c>
      <c r="D385" s="25" t="str" cm="1">
        <f t="array" ref="D385">_xlfn.SWITCH(Sheet5!A385,1,"JANUARY",2,"FEBRUARY")</f>
        <v>JANUARY</v>
      </c>
      <c r="E385">
        <v>11</v>
      </c>
      <c r="F385" t="str" cm="1">
        <f t="array" ref="F385">_xlfn.SWITCH(Sheet5!C385,FALSE,"NO",TRUE,"YES")</f>
        <v>YES</v>
      </c>
      <c r="G385" t="str" cm="1">
        <f t="array" ref="G385">_xlfn.SWITCH(Sheet5!B385,0,"Sunday",1,"Monday",2,"Tuesday",3,"Wednesday",4,"Thursday",5,"Friday",6,"Saturday")</f>
        <v>Monday</v>
      </c>
      <c r="H385" t="str" cm="1">
        <f t="array" ref="H385">_xlfn.SWITCH(Sheet5!D385, 1, "Clear Sky", 2, "Mist", 3, "Dark Cloud",4,"Heavy Rainfall")</f>
        <v>Mist</v>
      </c>
      <c r="I385" s="26">
        <f>Sheet5!E385*41</f>
        <v>6.5600000000000005</v>
      </c>
      <c r="J385" s="27">
        <v>0.55000000000000004</v>
      </c>
      <c r="K385">
        <v>0.19400000000000001</v>
      </c>
      <c r="L385">
        <v>9</v>
      </c>
      <c r="M385">
        <v>55</v>
      </c>
      <c r="N385">
        <v>64</v>
      </c>
    </row>
    <row r="386" spans="1:14" x14ac:dyDescent="0.3">
      <c r="A386">
        <v>385</v>
      </c>
      <c r="B386" s="21">
        <v>40560</v>
      </c>
      <c r="C386" s="25" t="s">
        <v>16</v>
      </c>
      <c r="D386" s="25" t="str" cm="1">
        <f t="array" ref="D386">_xlfn.SWITCH(Sheet5!A386,1,"JANUARY",2,"FEBRUARY")</f>
        <v>JANUARY</v>
      </c>
      <c r="E386">
        <v>12</v>
      </c>
      <c r="F386" t="str" cm="1">
        <f t="array" ref="F386">_xlfn.SWITCH(Sheet5!C386,FALSE,"NO",TRUE,"YES")</f>
        <v>YES</v>
      </c>
      <c r="G386" t="str" cm="1">
        <f t="array" ref="G386">_xlfn.SWITCH(Sheet5!B386,0,"Sunday",1,"Monday",2,"Tuesday",3,"Wednesday",4,"Thursday",5,"Friday",6,"Saturday")</f>
        <v>Monday</v>
      </c>
      <c r="H386" t="str" cm="1">
        <f t="array" ref="H386">_xlfn.SWITCH(Sheet5!D386, 1, "Clear Sky", 2, "Mist", 3, "Dark Cloud",4,"Heavy Rainfall")</f>
        <v>Mist</v>
      </c>
      <c r="I386" s="26">
        <f>Sheet5!E386*41</f>
        <v>7.38</v>
      </c>
      <c r="J386" s="27">
        <v>0.47</v>
      </c>
      <c r="K386">
        <v>0.1343</v>
      </c>
      <c r="L386">
        <v>10</v>
      </c>
      <c r="M386">
        <v>70</v>
      </c>
      <c r="N386">
        <v>80</v>
      </c>
    </row>
    <row r="387" spans="1:14" x14ac:dyDescent="0.3">
      <c r="A387">
        <v>386</v>
      </c>
      <c r="B387" s="21">
        <v>40560</v>
      </c>
      <c r="C387" s="25" t="s">
        <v>16</v>
      </c>
      <c r="D387" s="25" t="str" cm="1">
        <f t="array" ref="D387">_xlfn.SWITCH(Sheet5!A387,1,"JANUARY",2,"FEBRUARY")</f>
        <v>JANUARY</v>
      </c>
      <c r="E387">
        <v>13</v>
      </c>
      <c r="F387" t="str" cm="1">
        <f t="array" ref="F387">_xlfn.SWITCH(Sheet5!C387,FALSE,"NO",TRUE,"YES")</f>
        <v>YES</v>
      </c>
      <c r="G387" t="str" cm="1">
        <f t="array" ref="G387">_xlfn.SWITCH(Sheet5!B387,0,"Sunday",1,"Monday",2,"Tuesday",3,"Wednesday",4,"Thursday",5,"Friday",6,"Saturday")</f>
        <v>Monday</v>
      </c>
      <c r="H387" t="str" cm="1">
        <f t="array" ref="H387">_xlfn.SWITCH(Sheet5!D387, 1, "Clear Sky", 2, "Mist", 3, "Dark Cloud",4,"Heavy Rainfall")</f>
        <v>Mist</v>
      </c>
      <c r="I387" s="26">
        <f>Sheet5!E387*41</f>
        <v>7.38</v>
      </c>
      <c r="J387" s="27">
        <v>0.47</v>
      </c>
      <c r="K387">
        <v>0.1343</v>
      </c>
      <c r="L387">
        <v>13</v>
      </c>
      <c r="M387">
        <v>80</v>
      </c>
      <c r="N387">
        <v>93</v>
      </c>
    </row>
    <row r="388" spans="1:14" x14ac:dyDescent="0.3">
      <c r="A388">
        <v>387</v>
      </c>
      <c r="B388" s="21">
        <v>40560</v>
      </c>
      <c r="C388" s="25" t="s">
        <v>16</v>
      </c>
      <c r="D388" s="25" t="str" cm="1">
        <f t="array" ref="D388">_xlfn.SWITCH(Sheet5!A388,1,"JANUARY",2,"FEBRUARY")</f>
        <v>JANUARY</v>
      </c>
      <c r="E388">
        <v>14</v>
      </c>
      <c r="F388" t="str" cm="1">
        <f t="array" ref="F388">_xlfn.SWITCH(Sheet5!C388,FALSE,"NO",TRUE,"YES")</f>
        <v>YES</v>
      </c>
      <c r="G388" t="str" cm="1">
        <f t="array" ref="G388">_xlfn.SWITCH(Sheet5!B388,0,"Sunday",1,"Monday",2,"Tuesday",3,"Wednesday",4,"Thursday",5,"Friday",6,"Saturday")</f>
        <v>Monday</v>
      </c>
      <c r="H388" t="str" cm="1">
        <f t="array" ref="H388">_xlfn.SWITCH(Sheet5!D388, 1, "Clear Sky", 2, "Mist", 3, "Dark Cloud",4,"Heavy Rainfall")</f>
        <v>Mist</v>
      </c>
      <c r="I388" s="26">
        <f>Sheet5!E388*41</f>
        <v>7.38</v>
      </c>
      <c r="J388" s="27">
        <v>0.43</v>
      </c>
      <c r="K388">
        <v>0.1045</v>
      </c>
      <c r="L388">
        <v>12</v>
      </c>
      <c r="M388">
        <v>74</v>
      </c>
      <c r="N388">
        <v>86</v>
      </c>
    </row>
    <row r="389" spans="1:14" x14ac:dyDescent="0.3">
      <c r="A389">
        <v>388</v>
      </c>
      <c r="B389" s="21">
        <v>40560</v>
      </c>
      <c r="C389" s="25" t="s">
        <v>16</v>
      </c>
      <c r="D389" s="25" t="str" cm="1">
        <f t="array" ref="D389">_xlfn.SWITCH(Sheet5!A389,1,"JANUARY",2,"FEBRUARY")</f>
        <v>JANUARY</v>
      </c>
      <c r="E389">
        <v>15</v>
      </c>
      <c r="F389" t="str" cm="1">
        <f t="array" ref="F389">_xlfn.SWITCH(Sheet5!C389,FALSE,"NO",TRUE,"YES")</f>
        <v>YES</v>
      </c>
      <c r="G389" t="str" cm="1">
        <f t="array" ref="G389">_xlfn.SWITCH(Sheet5!B389,0,"Sunday",1,"Monday",2,"Tuesday",3,"Wednesday",4,"Thursday",5,"Friday",6,"Saturday")</f>
        <v>Monday</v>
      </c>
      <c r="H389" t="str" cm="1">
        <f t="array" ref="H389">_xlfn.SWITCH(Sheet5!D389, 1, "Clear Sky", 2, "Mist", 3, "Dark Cloud",4,"Heavy Rainfall")</f>
        <v>Mist</v>
      </c>
      <c r="I389" s="26">
        <f>Sheet5!E389*41</f>
        <v>8.2000000000000011</v>
      </c>
      <c r="J389" s="27">
        <v>0.47</v>
      </c>
      <c r="K389">
        <v>0.16420000000000001</v>
      </c>
      <c r="L389">
        <v>21</v>
      </c>
      <c r="M389">
        <v>72</v>
      </c>
      <c r="N389">
        <v>93</v>
      </c>
    </row>
    <row r="390" spans="1:14" x14ac:dyDescent="0.3">
      <c r="A390">
        <v>389</v>
      </c>
      <c r="B390" s="21">
        <v>40560</v>
      </c>
      <c r="C390" s="25" t="s">
        <v>16</v>
      </c>
      <c r="D390" s="25" t="str" cm="1">
        <f t="array" ref="D390">_xlfn.SWITCH(Sheet5!A390,1,"JANUARY",2,"FEBRUARY")</f>
        <v>JANUARY</v>
      </c>
      <c r="E390">
        <v>16</v>
      </c>
      <c r="F390" t="str" cm="1">
        <f t="array" ref="F390">_xlfn.SWITCH(Sheet5!C390,FALSE,"NO",TRUE,"YES")</f>
        <v>YES</v>
      </c>
      <c r="G390" t="str" cm="1">
        <f t="array" ref="G390">_xlfn.SWITCH(Sheet5!B390,0,"Sunday",1,"Monday",2,"Tuesday",3,"Wednesday",4,"Thursday",5,"Friday",6,"Saturday")</f>
        <v>Monday</v>
      </c>
      <c r="H390" t="str" cm="1">
        <f t="array" ref="H390">_xlfn.SWITCH(Sheet5!D390, 1, "Clear Sky", 2, "Mist", 3, "Dark Cloud",4,"Heavy Rainfall")</f>
        <v>Mist</v>
      </c>
      <c r="I390" s="26">
        <f>Sheet5!E390*41</f>
        <v>8.2000000000000011</v>
      </c>
      <c r="J390" s="27">
        <v>0.47</v>
      </c>
      <c r="K390">
        <v>0.16420000000000001</v>
      </c>
      <c r="L390">
        <v>6</v>
      </c>
      <c r="M390">
        <v>76</v>
      </c>
      <c r="N390">
        <v>82</v>
      </c>
    </row>
    <row r="391" spans="1:14" x14ac:dyDescent="0.3">
      <c r="A391">
        <v>390</v>
      </c>
      <c r="B391" s="21">
        <v>40560</v>
      </c>
      <c r="C391" s="25" t="s">
        <v>16</v>
      </c>
      <c r="D391" s="25" t="str" cm="1">
        <f t="array" ref="D391">_xlfn.SWITCH(Sheet5!A391,1,"JANUARY",2,"FEBRUARY")</f>
        <v>JANUARY</v>
      </c>
      <c r="E391">
        <v>17</v>
      </c>
      <c r="F391" t="str" cm="1">
        <f t="array" ref="F391">_xlfn.SWITCH(Sheet5!C391,FALSE,"NO",TRUE,"YES")</f>
        <v>YES</v>
      </c>
      <c r="G391" t="str" cm="1">
        <f t="array" ref="G391">_xlfn.SWITCH(Sheet5!B391,0,"Sunday",1,"Monday",2,"Tuesday",3,"Wednesday",4,"Thursday",5,"Friday",6,"Saturday")</f>
        <v>Monday</v>
      </c>
      <c r="H391" t="str" cm="1">
        <f t="array" ref="H391">_xlfn.SWITCH(Sheet5!D391, 1, "Clear Sky", 2, "Mist", 3, "Dark Cloud",4,"Heavy Rainfall")</f>
        <v>Clear Sky</v>
      </c>
      <c r="I391" s="26">
        <f>Sheet5!E391*41</f>
        <v>8.2000000000000011</v>
      </c>
      <c r="J391" s="27">
        <v>0.51</v>
      </c>
      <c r="K391">
        <v>0.19400000000000001</v>
      </c>
      <c r="L391">
        <v>4</v>
      </c>
      <c r="M391">
        <v>67</v>
      </c>
      <c r="N391">
        <v>71</v>
      </c>
    </row>
    <row r="392" spans="1:14" x14ac:dyDescent="0.3">
      <c r="A392">
        <v>391</v>
      </c>
      <c r="B392" s="21">
        <v>40560</v>
      </c>
      <c r="C392" s="25" t="s">
        <v>16</v>
      </c>
      <c r="D392" s="25" t="str" cm="1">
        <f t="array" ref="D392">_xlfn.SWITCH(Sheet5!A392,1,"JANUARY",2,"FEBRUARY")</f>
        <v>JANUARY</v>
      </c>
      <c r="E392">
        <v>18</v>
      </c>
      <c r="F392" t="str" cm="1">
        <f t="array" ref="F392">_xlfn.SWITCH(Sheet5!C392,FALSE,"NO",TRUE,"YES")</f>
        <v>YES</v>
      </c>
      <c r="G392" t="str" cm="1">
        <f t="array" ref="G392">_xlfn.SWITCH(Sheet5!B392,0,"Sunday",1,"Monday",2,"Tuesday",3,"Wednesday",4,"Thursday",5,"Friday",6,"Saturday")</f>
        <v>Monday</v>
      </c>
      <c r="H392" t="str" cm="1">
        <f t="array" ref="H392">_xlfn.SWITCH(Sheet5!D392, 1, "Clear Sky", 2, "Mist", 3, "Dark Cloud",4,"Heavy Rainfall")</f>
        <v>Mist</v>
      </c>
      <c r="I392" s="26">
        <f>Sheet5!E392*41</f>
        <v>7.38</v>
      </c>
      <c r="J392" s="27">
        <v>0.55000000000000004</v>
      </c>
      <c r="K392">
        <v>0.25369999999999998</v>
      </c>
      <c r="L392">
        <v>7</v>
      </c>
      <c r="M392">
        <v>85</v>
      </c>
      <c r="N392">
        <v>92</v>
      </c>
    </row>
    <row r="393" spans="1:14" x14ac:dyDescent="0.3">
      <c r="A393">
        <v>392</v>
      </c>
      <c r="B393" s="21">
        <v>40560</v>
      </c>
      <c r="C393" s="25" t="s">
        <v>16</v>
      </c>
      <c r="D393" s="25" t="str" cm="1">
        <f t="array" ref="D393">_xlfn.SWITCH(Sheet5!A393,1,"JANUARY",2,"FEBRUARY")</f>
        <v>JANUARY</v>
      </c>
      <c r="E393">
        <v>19</v>
      </c>
      <c r="F393" t="str" cm="1">
        <f t="array" ref="F393">_xlfn.SWITCH(Sheet5!C393,FALSE,"NO",TRUE,"YES")</f>
        <v>YES</v>
      </c>
      <c r="G393" t="str" cm="1">
        <f t="array" ref="G393">_xlfn.SWITCH(Sheet5!B393,0,"Sunday",1,"Monday",2,"Tuesday",3,"Wednesday",4,"Thursday",5,"Friday",6,"Saturday")</f>
        <v>Monday</v>
      </c>
      <c r="H393" t="str" cm="1">
        <f t="array" ref="H393">_xlfn.SWITCH(Sheet5!D393, 1, "Clear Sky", 2, "Mist", 3, "Dark Cloud",4,"Heavy Rainfall")</f>
        <v>Dark Cloud</v>
      </c>
      <c r="I393" s="26">
        <f>Sheet5!E393*41</f>
        <v>7.38</v>
      </c>
      <c r="J393" s="27">
        <v>0.59</v>
      </c>
      <c r="K393">
        <v>0.19400000000000001</v>
      </c>
      <c r="L393">
        <v>2</v>
      </c>
      <c r="M393">
        <v>58</v>
      </c>
      <c r="N393">
        <v>60</v>
      </c>
    </row>
    <row r="394" spans="1:14" x14ac:dyDescent="0.3">
      <c r="A394">
        <v>393</v>
      </c>
      <c r="B394" s="21">
        <v>40560</v>
      </c>
      <c r="C394" s="25" t="s">
        <v>16</v>
      </c>
      <c r="D394" s="25" t="str" cm="1">
        <f t="array" ref="D394">_xlfn.SWITCH(Sheet5!A394,1,"JANUARY",2,"FEBRUARY")</f>
        <v>JANUARY</v>
      </c>
      <c r="E394">
        <v>20</v>
      </c>
      <c r="F394" t="str" cm="1">
        <f t="array" ref="F394">_xlfn.SWITCH(Sheet5!C394,FALSE,"NO",TRUE,"YES")</f>
        <v>YES</v>
      </c>
      <c r="G394" t="str" cm="1">
        <f t="array" ref="G394">_xlfn.SWITCH(Sheet5!B394,0,"Sunday",1,"Monday",2,"Tuesday",3,"Wednesday",4,"Thursday",5,"Friday",6,"Saturday")</f>
        <v>Monday</v>
      </c>
      <c r="H394" t="str" cm="1">
        <f t="array" ref="H394">_xlfn.SWITCH(Sheet5!D394, 1, "Clear Sky", 2, "Mist", 3, "Dark Cloud",4,"Heavy Rainfall")</f>
        <v>Dark Cloud</v>
      </c>
      <c r="I394" s="26">
        <f>Sheet5!E394*41</f>
        <v>6.5600000000000005</v>
      </c>
      <c r="J394" s="27">
        <v>0.8</v>
      </c>
      <c r="K394">
        <v>0.19400000000000001</v>
      </c>
      <c r="L394">
        <v>4</v>
      </c>
      <c r="M394">
        <v>29</v>
      </c>
      <c r="N394">
        <v>33</v>
      </c>
    </row>
    <row r="395" spans="1:14" x14ac:dyDescent="0.3">
      <c r="A395">
        <v>394</v>
      </c>
      <c r="B395" s="21">
        <v>40560</v>
      </c>
      <c r="C395" s="25" t="s">
        <v>16</v>
      </c>
      <c r="D395" s="25" t="str" cm="1">
        <f t="array" ref="D395">_xlfn.SWITCH(Sheet5!A395,1,"JANUARY",2,"FEBRUARY")</f>
        <v>JANUARY</v>
      </c>
      <c r="E395">
        <v>21</v>
      </c>
      <c r="F395" t="str" cm="1">
        <f t="array" ref="F395">_xlfn.SWITCH(Sheet5!C395,FALSE,"NO",TRUE,"YES")</f>
        <v>YES</v>
      </c>
      <c r="G395" t="str" cm="1">
        <f t="array" ref="G395">_xlfn.SWITCH(Sheet5!B395,0,"Sunday",1,"Monday",2,"Tuesday",3,"Wednesday",4,"Thursday",5,"Friday",6,"Saturday")</f>
        <v>Monday</v>
      </c>
      <c r="H395" t="str" cm="1">
        <f t="array" ref="H395">_xlfn.SWITCH(Sheet5!D395, 1, "Clear Sky", 2, "Mist", 3, "Dark Cloud",4,"Heavy Rainfall")</f>
        <v>Dark Cloud</v>
      </c>
      <c r="I395" s="26">
        <f>Sheet5!E395*41</f>
        <v>6.5600000000000005</v>
      </c>
      <c r="J395" s="27">
        <v>0.8</v>
      </c>
      <c r="K395">
        <v>0.19400000000000001</v>
      </c>
      <c r="L395">
        <v>3</v>
      </c>
      <c r="M395">
        <v>24</v>
      </c>
      <c r="N395">
        <v>27</v>
      </c>
    </row>
    <row r="396" spans="1:14" x14ac:dyDescent="0.3">
      <c r="A396">
        <v>395</v>
      </c>
      <c r="B396" s="21">
        <v>40560</v>
      </c>
      <c r="C396" s="25" t="s">
        <v>16</v>
      </c>
      <c r="D396" s="25" t="str" cm="1">
        <f t="array" ref="D396">_xlfn.SWITCH(Sheet5!A396,1,"JANUARY",2,"FEBRUARY")</f>
        <v>JANUARY</v>
      </c>
      <c r="E396">
        <v>22</v>
      </c>
      <c r="F396" t="str" cm="1">
        <f t="array" ref="F396">_xlfn.SWITCH(Sheet5!C396,FALSE,"NO",TRUE,"YES")</f>
        <v>YES</v>
      </c>
      <c r="G396" t="str" cm="1">
        <f t="array" ref="G396">_xlfn.SWITCH(Sheet5!B396,0,"Sunday",1,"Monday",2,"Tuesday",3,"Wednesday",4,"Thursday",5,"Friday",6,"Saturday")</f>
        <v>Monday</v>
      </c>
      <c r="H396" t="str" cm="1">
        <f t="array" ref="H396">_xlfn.SWITCH(Sheet5!D396, 1, "Clear Sky", 2, "Mist", 3, "Dark Cloud",4,"Heavy Rainfall")</f>
        <v>Dark Cloud</v>
      </c>
      <c r="I396" s="26">
        <f>Sheet5!E396*41</f>
        <v>5.74</v>
      </c>
      <c r="J396" s="27">
        <v>0.93</v>
      </c>
      <c r="K396">
        <v>0.25369999999999998</v>
      </c>
      <c r="L396">
        <v>0</v>
      </c>
      <c r="M396">
        <v>13</v>
      </c>
      <c r="N396">
        <v>13</v>
      </c>
    </row>
    <row r="397" spans="1:14" x14ac:dyDescent="0.3">
      <c r="A397">
        <v>396</v>
      </c>
      <c r="B397" s="21">
        <v>40560</v>
      </c>
      <c r="C397" s="25" t="s">
        <v>16</v>
      </c>
      <c r="D397" s="25" t="str" cm="1">
        <f t="array" ref="D397">_xlfn.SWITCH(Sheet5!A397,1,"JANUARY",2,"FEBRUARY")</f>
        <v>JANUARY</v>
      </c>
      <c r="E397">
        <v>23</v>
      </c>
      <c r="F397" t="str" cm="1">
        <f t="array" ref="F397">_xlfn.SWITCH(Sheet5!C397,FALSE,"NO",TRUE,"YES")</f>
        <v>YES</v>
      </c>
      <c r="G397" t="str" cm="1">
        <f t="array" ref="G397">_xlfn.SWITCH(Sheet5!B397,0,"Sunday",1,"Monday",2,"Tuesday",3,"Wednesday",4,"Thursday",5,"Friday",6,"Saturday")</f>
        <v>Monday</v>
      </c>
      <c r="H397" t="str" cm="1">
        <f t="array" ref="H397">_xlfn.SWITCH(Sheet5!D397, 1, "Clear Sky", 2, "Mist", 3, "Dark Cloud",4,"Heavy Rainfall")</f>
        <v>Dark Cloud</v>
      </c>
      <c r="I397" s="26">
        <f>Sheet5!E397*41</f>
        <v>6.5600000000000005</v>
      </c>
      <c r="J397" s="27">
        <v>0.86</v>
      </c>
      <c r="K397">
        <v>0.28360000000000002</v>
      </c>
      <c r="L397">
        <v>1</v>
      </c>
      <c r="M397">
        <v>3</v>
      </c>
      <c r="N397">
        <v>4</v>
      </c>
    </row>
    <row r="398" spans="1:14" x14ac:dyDescent="0.3">
      <c r="A398">
        <v>397</v>
      </c>
      <c r="B398" s="21">
        <v>40561</v>
      </c>
      <c r="C398" s="25" t="s">
        <v>16</v>
      </c>
      <c r="D398" s="25" t="str" cm="1">
        <f t="array" ref="D398">_xlfn.SWITCH(Sheet5!A398,1,"JANUARY",2,"FEBRUARY")</f>
        <v>JANUARY</v>
      </c>
      <c r="E398">
        <v>12</v>
      </c>
      <c r="F398" t="str" cm="1">
        <f t="array" ref="F398">_xlfn.SWITCH(Sheet5!C398,FALSE,"NO",TRUE,"YES")</f>
        <v>NO</v>
      </c>
      <c r="G398" t="str" cm="1">
        <f t="array" ref="G398">_xlfn.SWITCH(Sheet5!B398,0,"Sunday",1,"Monday",2,"Tuesday",3,"Wednesday",4,"Thursday",5,"Friday",6,"Saturday")</f>
        <v>Tuesday</v>
      </c>
      <c r="H398" t="str" cm="1">
        <f t="array" ref="H398">_xlfn.SWITCH(Sheet5!D398, 1, "Clear Sky", 2, "Mist", 3, "Dark Cloud",4,"Heavy Rainfall")</f>
        <v>Mist</v>
      </c>
      <c r="I398" s="26">
        <f>Sheet5!E398*41</f>
        <v>8.2000000000000011</v>
      </c>
      <c r="J398" s="27">
        <v>0.86</v>
      </c>
      <c r="K398">
        <v>0.32840000000000003</v>
      </c>
      <c r="L398">
        <v>0</v>
      </c>
      <c r="M398">
        <v>3</v>
      </c>
      <c r="N398">
        <v>3</v>
      </c>
    </row>
    <row r="399" spans="1:14" x14ac:dyDescent="0.3">
      <c r="A399">
        <v>398</v>
      </c>
      <c r="B399" s="21">
        <v>40561</v>
      </c>
      <c r="C399" s="25" t="s">
        <v>16</v>
      </c>
      <c r="D399" s="25" t="str" cm="1">
        <f t="array" ref="D399">_xlfn.SWITCH(Sheet5!A399,1,"JANUARY",2,"FEBRUARY")</f>
        <v>JANUARY</v>
      </c>
      <c r="E399">
        <v>13</v>
      </c>
      <c r="F399" t="str" cm="1">
        <f t="array" ref="F399">_xlfn.SWITCH(Sheet5!C399,FALSE,"NO",TRUE,"YES")</f>
        <v>NO</v>
      </c>
      <c r="G399" t="str" cm="1">
        <f t="array" ref="G399">_xlfn.SWITCH(Sheet5!B399,0,"Sunday",1,"Monday",2,"Tuesday",3,"Wednesday",4,"Thursday",5,"Friday",6,"Saturday")</f>
        <v>Tuesday</v>
      </c>
      <c r="H399" t="str" cm="1">
        <f t="array" ref="H399">_xlfn.SWITCH(Sheet5!D399, 1, "Clear Sky", 2, "Mist", 3, "Dark Cloud",4,"Heavy Rainfall")</f>
        <v>Mist</v>
      </c>
      <c r="I399" s="26">
        <f>Sheet5!E399*41</f>
        <v>8.2000000000000011</v>
      </c>
      <c r="J399" s="27">
        <v>0.86</v>
      </c>
      <c r="K399">
        <v>0.22389999999999999</v>
      </c>
      <c r="L399">
        <v>0</v>
      </c>
      <c r="M399">
        <v>22</v>
      </c>
      <c r="N399">
        <v>22</v>
      </c>
    </row>
    <row r="400" spans="1:14" x14ac:dyDescent="0.3">
      <c r="A400">
        <v>399</v>
      </c>
      <c r="B400" s="21">
        <v>40561</v>
      </c>
      <c r="C400" s="25" t="s">
        <v>16</v>
      </c>
      <c r="D400" s="25" t="str" cm="1">
        <f t="array" ref="D400">_xlfn.SWITCH(Sheet5!A400,1,"JANUARY",2,"FEBRUARY")</f>
        <v>JANUARY</v>
      </c>
      <c r="E400">
        <v>14</v>
      </c>
      <c r="F400" t="str" cm="1">
        <f t="array" ref="F400">_xlfn.SWITCH(Sheet5!C400,FALSE,"NO",TRUE,"YES")</f>
        <v>NO</v>
      </c>
      <c r="G400" t="str" cm="1">
        <f t="array" ref="G400">_xlfn.SWITCH(Sheet5!B400,0,"Sunday",1,"Monday",2,"Tuesday",3,"Wednesday",4,"Thursday",5,"Friday",6,"Saturday")</f>
        <v>Tuesday</v>
      </c>
      <c r="H400" t="str" cm="1">
        <f t="array" ref="H400">_xlfn.SWITCH(Sheet5!D400, 1, "Clear Sky", 2, "Mist", 3, "Dark Cloud",4,"Heavy Rainfall")</f>
        <v>Mist</v>
      </c>
      <c r="I400" s="26">
        <f>Sheet5!E400*41</f>
        <v>9.02</v>
      </c>
      <c r="J400" s="27">
        <v>0.8</v>
      </c>
      <c r="K400">
        <v>0.16420000000000001</v>
      </c>
      <c r="L400">
        <v>2</v>
      </c>
      <c r="M400">
        <v>26</v>
      </c>
      <c r="N400">
        <v>28</v>
      </c>
    </row>
    <row r="401" spans="1:14" x14ac:dyDescent="0.3">
      <c r="A401">
        <v>400</v>
      </c>
      <c r="B401" s="21">
        <v>40561</v>
      </c>
      <c r="C401" s="25" t="s">
        <v>16</v>
      </c>
      <c r="D401" s="25" t="str" cm="1">
        <f t="array" ref="D401">_xlfn.SWITCH(Sheet5!A401,1,"JANUARY",2,"FEBRUARY")</f>
        <v>JANUARY</v>
      </c>
      <c r="E401">
        <v>15</v>
      </c>
      <c r="F401" t="str" cm="1">
        <f t="array" ref="F401">_xlfn.SWITCH(Sheet5!C401,FALSE,"NO",TRUE,"YES")</f>
        <v>NO</v>
      </c>
      <c r="G401" t="str" cm="1">
        <f t="array" ref="G401">_xlfn.SWITCH(Sheet5!B401,0,"Sunday",1,"Monday",2,"Tuesday",3,"Wednesday",4,"Thursday",5,"Friday",6,"Saturday")</f>
        <v>Tuesday</v>
      </c>
      <c r="H401" t="str" cm="1">
        <f t="array" ref="H401">_xlfn.SWITCH(Sheet5!D401, 1, "Clear Sky", 2, "Mist", 3, "Dark Cloud",4,"Heavy Rainfall")</f>
        <v>Mist</v>
      </c>
      <c r="I401" s="26">
        <f>Sheet5!E401*41</f>
        <v>9.02</v>
      </c>
      <c r="J401" s="27">
        <v>0.87</v>
      </c>
      <c r="K401">
        <v>0.16420000000000001</v>
      </c>
      <c r="L401">
        <v>3</v>
      </c>
      <c r="M401">
        <v>32</v>
      </c>
      <c r="N401">
        <v>35</v>
      </c>
    </row>
    <row r="402" spans="1:14" x14ac:dyDescent="0.3">
      <c r="A402">
        <v>401</v>
      </c>
      <c r="B402" s="21">
        <v>40561</v>
      </c>
      <c r="C402" s="25" t="s">
        <v>16</v>
      </c>
      <c r="D402" s="25" t="str" cm="1">
        <f t="array" ref="D402">_xlfn.SWITCH(Sheet5!A402,1,"JANUARY",2,"FEBRUARY")</f>
        <v>JANUARY</v>
      </c>
      <c r="E402">
        <v>16</v>
      </c>
      <c r="F402" t="str" cm="1">
        <f t="array" ref="F402">_xlfn.SWITCH(Sheet5!C402,FALSE,"NO",TRUE,"YES")</f>
        <v>NO</v>
      </c>
      <c r="G402" t="str" cm="1">
        <f t="array" ref="G402">_xlfn.SWITCH(Sheet5!B402,0,"Sunday",1,"Monday",2,"Tuesday",3,"Wednesday",4,"Thursday",5,"Friday",6,"Saturday")</f>
        <v>Tuesday</v>
      </c>
      <c r="H402" t="str" cm="1">
        <f t="array" ref="H402">_xlfn.SWITCH(Sheet5!D402, 1, "Clear Sky", 2, "Mist", 3, "Dark Cloud",4,"Heavy Rainfall")</f>
        <v>Mist</v>
      </c>
      <c r="I402" s="26">
        <f>Sheet5!E402*41</f>
        <v>9.02</v>
      </c>
      <c r="J402" s="27">
        <v>0.87</v>
      </c>
      <c r="K402">
        <v>0.19400000000000001</v>
      </c>
      <c r="L402">
        <v>0</v>
      </c>
      <c r="M402">
        <v>61</v>
      </c>
      <c r="N402">
        <v>61</v>
      </c>
    </row>
    <row r="403" spans="1:14" x14ac:dyDescent="0.3">
      <c r="A403">
        <v>402</v>
      </c>
      <c r="B403" s="21">
        <v>40561</v>
      </c>
      <c r="C403" s="25" t="s">
        <v>16</v>
      </c>
      <c r="D403" s="25" t="str" cm="1">
        <f t="array" ref="D403">_xlfn.SWITCH(Sheet5!A403,1,"JANUARY",2,"FEBRUARY")</f>
        <v>JANUARY</v>
      </c>
      <c r="E403">
        <v>17</v>
      </c>
      <c r="F403" t="str" cm="1">
        <f t="array" ref="F403">_xlfn.SWITCH(Sheet5!C403,FALSE,"NO",TRUE,"YES")</f>
        <v>NO</v>
      </c>
      <c r="G403" t="str" cm="1">
        <f t="array" ref="G403">_xlfn.SWITCH(Sheet5!B403,0,"Sunday",1,"Monday",2,"Tuesday",3,"Wednesday",4,"Thursday",5,"Friday",6,"Saturday")</f>
        <v>Tuesday</v>
      </c>
      <c r="H403" t="str" cm="1">
        <f t="array" ref="H403">_xlfn.SWITCH(Sheet5!D403, 1, "Clear Sky", 2, "Mist", 3, "Dark Cloud",4,"Heavy Rainfall")</f>
        <v>Mist</v>
      </c>
      <c r="I403" s="26">
        <f>Sheet5!E403*41</f>
        <v>9.02</v>
      </c>
      <c r="J403" s="27">
        <v>0.82</v>
      </c>
      <c r="K403">
        <v>0.19400000000000001</v>
      </c>
      <c r="L403">
        <v>1</v>
      </c>
      <c r="M403">
        <v>124</v>
      </c>
      <c r="N403">
        <v>125</v>
      </c>
    </row>
    <row r="404" spans="1:14" x14ac:dyDescent="0.3">
      <c r="A404">
        <v>403</v>
      </c>
      <c r="B404" s="21">
        <v>40561</v>
      </c>
      <c r="C404" s="25" t="s">
        <v>16</v>
      </c>
      <c r="D404" s="25" t="str" cm="1">
        <f t="array" ref="D404">_xlfn.SWITCH(Sheet5!A404,1,"JANUARY",2,"FEBRUARY")</f>
        <v>JANUARY</v>
      </c>
      <c r="E404">
        <v>18</v>
      </c>
      <c r="F404" t="str" cm="1">
        <f t="array" ref="F404">_xlfn.SWITCH(Sheet5!C404,FALSE,"NO",TRUE,"YES")</f>
        <v>NO</v>
      </c>
      <c r="G404" t="str" cm="1">
        <f t="array" ref="G404">_xlfn.SWITCH(Sheet5!B404,0,"Sunday",1,"Monday",2,"Tuesday",3,"Wednesday",4,"Thursday",5,"Friday",6,"Saturday")</f>
        <v>Tuesday</v>
      </c>
      <c r="H404" t="str" cm="1">
        <f t="array" ref="H404">_xlfn.SWITCH(Sheet5!D404, 1, "Clear Sky", 2, "Mist", 3, "Dark Cloud",4,"Heavy Rainfall")</f>
        <v>Mist</v>
      </c>
      <c r="I404" s="26">
        <f>Sheet5!E404*41</f>
        <v>9.02</v>
      </c>
      <c r="J404" s="27">
        <v>0.8</v>
      </c>
      <c r="K404">
        <v>0.16420000000000001</v>
      </c>
      <c r="L404">
        <v>1</v>
      </c>
      <c r="M404">
        <v>132</v>
      </c>
      <c r="N404">
        <v>133</v>
      </c>
    </row>
    <row r="405" spans="1:14" x14ac:dyDescent="0.3">
      <c r="A405">
        <v>404</v>
      </c>
      <c r="B405" s="21">
        <v>40561</v>
      </c>
      <c r="C405" s="25" t="s">
        <v>16</v>
      </c>
      <c r="D405" s="25" t="str" cm="1">
        <f t="array" ref="D405">_xlfn.SWITCH(Sheet5!A405,1,"JANUARY",2,"FEBRUARY")</f>
        <v>JANUARY</v>
      </c>
      <c r="E405">
        <v>19</v>
      </c>
      <c r="F405" t="str" cm="1">
        <f t="array" ref="F405">_xlfn.SWITCH(Sheet5!C405,FALSE,"NO",TRUE,"YES")</f>
        <v>NO</v>
      </c>
      <c r="G405" t="str" cm="1">
        <f t="array" ref="G405">_xlfn.SWITCH(Sheet5!B405,0,"Sunday",1,"Monday",2,"Tuesday",3,"Wednesday",4,"Thursday",5,"Friday",6,"Saturday")</f>
        <v>Tuesday</v>
      </c>
      <c r="H405" t="str" cm="1">
        <f t="array" ref="H405">_xlfn.SWITCH(Sheet5!D405, 1, "Clear Sky", 2, "Mist", 3, "Dark Cloud",4,"Heavy Rainfall")</f>
        <v>Mist</v>
      </c>
      <c r="I405" s="26">
        <f>Sheet5!E405*41</f>
        <v>9.02</v>
      </c>
      <c r="J405" s="27">
        <v>0.8</v>
      </c>
      <c r="K405">
        <v>0.1343</v>
      </c>
      <c r="L405">
        <v>1</v>
      </c>
      <c r="M405">
        <v>98</v>
      </c>
      <c r="N405">
        <v>99</v>
      </c>
    </row>
    <row r="406" spans="1:14" x14ac:dyDescent="0.3">
      <c r="A406">
        <v>405</v>
      </c>
      <c r="B406" s="21">
        <v>40561</v>
      </c>
      <c r="C406" s="25" t="s">
        <v>16</v>
      </c>
      <c r="D406" s="25" t="str" cm="1">
        <f t="array" ref="D406">_xlfn.SWITCH(Sheet5!A406,1,"JANUARY",2,"FEBRUARY")</f>
        <v>JANUARY</v>
      </c>
      <c r="E406">
        <v>20</v>
      </c>
      <c r="F406" t="str" cm="1">
        <f t="array" ref="F406">_xlfn.SWITCH(Sheet5!C406,FALSE,"NO",TRUE,"YES")</f>
        <v>NO</v>
      </c>
      <c r="G406" t="str" cm="1">
        <f t="array" ref="G406">_xlfn.SWITCH(Sheet5!B406,0,"Sunday",1,"Monday",2,"Tuesday",3,"Wednesday",4,"Thursday",5,"Friday",6,"Saturday")</f>
        <v>Tuesday</v>
      </c>
      <c r="H406" t="str" cm="1">
        <f t="array" ref="H406">_xlfn.SWITCH(Sheet5!D406, 1, "Clear Sky", 2, "Mist", 3, "Dark Cloud",4,"Heavy Rainfall")</f>
        <v>Mist</v>
      </c>
      <c r="I406" s="26">
        <f>Sheet5!E406*41</f>
        <v>9.02</v>
      </c>
      <c r="J406" s="27">
        <v>0.87</v>
      </c>
      <c r="K406">
        <v>0</v>
      </c>
      <c r="L406">
        <v>0</v>
      </c>
      <c r="M406">
        <v>83</v>
      </c>
      <c r="N406">
        <v>83</v>
      </c>
    </row>
    <row r="407" spans="1:14" x14ac:dyDescent="0.3">
      <c r="A407">
        <v>406</v>
      </c>
      <c r="B407" s="21">
        <v>40561</v>
      </c>
      <c r="C407" s="25" t="s">
        <v>16</v>
      </c>
      <c r="D407" s="25" t="str" cm="1">
        <f t="array" ref="D407">_xlfn.SWITCH(Sheet5!A407,1,"JANUARY",2,"FEBRUARY")</f>
        <v>JANUARY</v>
      </c>
      <c r="E407">
        <v>21</v>
      </c>
      <c r="F407" t="str" cm="1">
        <f t="array" ref="F407">_xlfn.SWITCH(Sheet5!C407,FALSE,"NO",TRUE,"YES")</f>
        <v>NO</v>
      </c>
      <c r="G407" t="str" cm="1">
        <f t="array" ref="G407">_xlfn.SWITCH(Sheet5!B407,0,"Sunday",1,"Monday",2,"Tuesday",3,"Wednesday",4,"Thursday",5,"Friday",6,"Saturday")</f>
        <v>Tuesday</v>
      </c>
      <c r="H407" t="str" cm="1">
        <f t="array" ref="H407">_xlfn.SWITCH(Sheet5!D407, 1, "Clear Sky", 2, "Mist", 3, "Dark Cloud",4,"Heavy Rainfall")</f>
        <v>Mist</v>
      </c>
      <c r="I407" s="26">
        <f>Sheet5!E407*41</f>
        <v>9.02</v>
      </c>
      <c r="J407" s="27">
        <v>0.93</v>
      </c>
      <c r="K407">
        <v>0.1045</v>
      </c>
      <c r="L407">
        <v>0</v>
      </c>
      <c r="M407">
        <v>41</v>
      </c>
      <c r="N407">
        <v>41</v>
      </c>
    </row>
    <row r="408" spans="1:14" x14ac:dyDescent="0.3">
      <c r="A408">
        <v>407</v>
      </c>
      <c r="B408" s="21">
        <v>40561</v>
      </c>
      <c r="C408" s="25" t="s">
        <v>16</v>
      </c>
      <c r="D408" s="25" t="str" cm="1">
        <f t="array" ref="D408">_xlfn.SWITCH(Sheet5!A408,1,"JANUARY",2,"FEBRUARY")</f>
        <v>JANUARY</v>
      </c>
      <c r="E408">
        <v>22</v>
      </c>
      <c r="F408" t="str" cm="1">
        <f t="array" ref="F408">_xlfn.SWITCH(Sheet5!C408,FALSE,"NO",TRUE,"YES")</f>
        <v>NO</v>
      </c>
      <c r="G408" t="str" cm="1">
        <f t="array" ref="G408">_xlfn.SWITCH(Sheet5!B408,0,"Sunday",1,"Monday",2,"Tuesday",3,"Wednesday",4,"Thursday",5,"Friday",6,"Saturday")</f>
        <v>Tuesday</v>
      </c>
      <c r="H408" t="str" cm="1">
        <f t="array" ref="H408">_xlfn.SWITCH(Sheet5!D408, 1, "Clear Sky", 2, "Mist", 3, "Dark Cloud",4,"Heavy Rainfall")</f>
        <v>Mist</v>
      </c>
      <c r="I408" s="26">
        <f>Sheet5!E408*41</f>
        <v>9.02</v>
      </c>
      <c r="J408" s="27">
        <v>0.93</v>
      </c>
      <c r="K408">
        <v>8.9599999999999999E-2</v>
      </c>
      <c r="L408">
        <v>0</v>
      </c>
      <c r="M408">
        <v>33</v>
      </c>
      <c r="N408">
        <v>33</v>
      </c>
    </row>
    <row r="409" spans="1:14" x14ac:dyDescent="0.3">
      <c r="A409">
        <v>408</v>
      </c>
      <c r="B409" s="21">
        <v>40561</v>
      </c>
      <c r="C409" s="25" t="s">
        <v>16</v>
      </c>
      <c r="D409" s="25" t="str" cm="1">
        <f t="array" ref="D409">_xlfn.SWITCH(Sheet5!A409,1,"JANUARY",2,"FEBRUARY")</f>
        <v>JANUARY</v>
      </c>
      <c r="E409">
        <v>23</v>
      </c>
      <c r="F409" t="str" cm="1">
        <f t="array" ref="F409">_xlfn.SWITCH(Sheet5!C409,FALSE,"NO",TRUE,"YES")</f>
        <v>NO</v>
      </c>
      <c r="G409" t="str" cm="1">
        <f t="array" ref="G409">_xlfn.SWITCH(Sheet5!B409,0,"Sunday",1,"Monday",2,"Tuesday",3,"Wednesday",4,"Thursday",5,"Friday",6,"Saturday")</f>
        <v>Tuesday</v>
      </c>
      <c r="H409" t="str" cm="1">
        <f t="array" ref="H409">_xlfn.SWITCH(Sheet5!D409, 1, "Clear Sky", 2, "Mist", 3, "Dark Cloud",4,"Heavy Rainfall")</f>
        <v>Mist</v>
      </c>
      <c r="I409" s="26">
        <f>Sheet5!E409*41</f>
        <v>9.02</v>
      </c>
      <c r="J409" s="27">
        <v>0.93</v>
      </c>
      <c r="K409">
        <v>0</v>
      </c>
      <c r="L409">
        <v>1</v>
      </c>
      <c r="M409">
        <v>19</v>
      </c>
      <c r="N409">
        <v>20</v>
      </c>
    </row>
    <row r="410" spans="1:14" x14ac:dyDescent="0.3">
      <c r="A410">
        <v>409</v>
      </c>
      <c r="B410" s="21">
        <v>40562</v>
      </c>
      <c r="C410" s="25" t="s">
        <v>16</v>
      </c>
      <c r="D410" s="25" t="str" cm="1">
        <f t="array" ref="D410">_xlfn.SWITCH(Sheet5!A410,1,"JANUARY",2,"FEBRUARY")</f>
        <v>JANUARY</v>
      </c>
      <c r="E410">
        <v>0</v>
      </c>
      <c r="F410" t="str" cm="1">
        <f t="array" ref="F410">_xlfn.SWITCH(Sheet5!C410,FALSE,"NO",TRUE,"YES")</f>
        <v>NO</v>
      </c>
      <c r="G410" t="str" cm="1">
        <f t="array" ref="G410">_xlfn.SWITCH(Sheet5!B410,0,"Sunday",1,"Monday",2,"Tuesday",3,"Wednesday",4,"Thursday",5,"Friday",6,"Saturday")</f>
        <v>Wednesday</v>
      </c>
      <c r="H410" t="str" cm="1">
        <f t="array" ref="H410">_xlfn.SWITCH(Sheet5!D410, 1, "Clear Sky", 2, "Mist", 3, "Dark Cloud",4,"Heavy Rainfall")</f>
        <v>Mist</v>
      </c>
      <c r="I410" s="26">
        <f>Sheet5!E410*41</f>
        <v>9.02</v>
      </c>
      <c r="J410" s="27">
        <v>0.93</v>
      </c>
      <c r="K410">
        <v>0</v>
      </c>
      <c r="L410">
        <v>0</v>
      </c>
      <c r="M410">
        <v>3</v>
      </c>
      <c r="N410">
        <v>3</v>
      </c>
    </row>
    <row r="411" spans="1:14" x14ac:dyDescent="0.3">
      <c r="A411">
        <v>410</v>
      </c>
      <c r="B411" s="21">
        <v>40562</v>
      </c>
      <c r="C411" s="25" t="s">
        <v>16</v>
      </c>
      <c r="D411" s="25" t="str" cm="1">
        <f t="array" ref="D411">_xlfn.SWITCH(Sheet5!A411,1,"JANUARY",2,"FEBRUARY")</f>
        <v>JANUARY</v>
      </c>
      <c r="E411">
        <v>1</v>
      </c>
      <c r="F411" t="str" cm="1">
        <f t="array" ref="F411">_xlfn.SWITCH(Sheet5!C411,FALSE,"NO",TRUE,"YES")</f>
        <v>NO</v>
      </c>
      <c r="G411" t="str" cm="1">
        <f t="array" ref="G411">_xlfn.SWITCH(Sheet5!B411,0,"Sunday",1,"Monday",2,"Tuesday",3,"Wednesday",4,"Thursday",5,"Friday",6,"Saturday")</f>
        <v>Wednesday</v>
      </c>
      <c r="H411" t="str" cm="1">
        <f t="array" ref="H411">_xlfn.SWITCH(Sheet5!D411, 1, "Clear Sky", 2, "Mist", 3, "Dark Cloud",4,"Heavy Rainfall")</f>
        <v>Dark Cloud</v>
      </c>
      <c r="I411" s="26">
        <f>Sheet5!E411*41</f>
        <v>9.02</v>
      </c>
      <c r="J411" s="27">
        <v>0.93</v>
      </c>
      <c r="K411">
        <v>0.1343</v>
      </c>
      <c r="L411">
        <v>1</v>
      </c>
      <c r="M411">
        <v>6</v>
      </c>
      <c r="N411">
        <v>7</v>
      </c>
    </row>
    <row r="412" spans="1:14" x14ac:dyDescent="0.3">
      <c r="A412">
        <v>411</v>
      </c>
      <c r="B412" s="21">
        <v>40562</v>
      </c>
      <c r="C412" s="25" t="s">
        <v>16</v>
      </c>
      <c r="D412" s="25" t="str" cm="1">
        <f t="array" ref="D412">_xlfn.SWITCH(Sheet5!A412,1,"JANUARY",2,"FEBRUARY")</f>
        <v>JANUARY</v>
      </c>
      <c r="E412">
        <v>2</v>
      </c>
      <c r="F412" t="str" cm="1">
        <f t="array" ref="F412">_xlfn.SWITCH(Sheet5!C412,FALSE,"NO",TRUE,"YES")</f>
        <v>NO</v>
      </c>
      <c r="G412" t="str" cm="1">
        <f t="array" ref="G412">_xlfn.SWITCH(Sheet5!B412,0,"Sunday",1,"Monday",2,"Tuesday",3,"Wednesday",4,"Thursday",5,"Friday",6,"Saturday")</f>
        <v>Wednesday</v>
      </c>
      <c r="H412" t="str" cm="1">
        <f t="array" ref="H412">_xlfn.SWITCH(Sheet5!D412, 1, "Clear Sky", 2, "Mist", 3, "Dark Cloud",4,"Heavy Rainfall")</f>
        <v>Dark Cloud</v>
      </c>
      <c r="I412" s="26">
        <f>Sheet5!E412*41</f>
        <v>9.02</v>
      </c>
      <c r="J412" s="27">
        <v>0.93</v>
      </c>
      <c r="K412">
        <v>0.1343</v>
      </c>
      <c r="L412">
        <v>0</v>
      </c>
      <c r="M412">
        <v>3</v>
      </c>
      <c r="N412">
        <v>3</v>
      </c>
    </row>
    <row r="413" spans="1:14" x14ac:dyDescent="0.3">
      <c r="A413">
        <v>412</v>
      </c>
      <c r="B413" s="21">
        <v>40562</v>
      </c>
      <c r="C413" s="25" t="s">
        <v>16</v>
      </c>
      <c r="D413" s="25" t="str" cm="1">
        <f t="array" ref="D413">_xlfn.SWITCH(Sheet5!A413,1,"JANUARY",2,"FEBRUARY")</f>
        <v>JANUARY</v>
      </c>
      <c r="E413">
        <v>4</v>
      </c>
      <c r="F413" t="str" cm="1">
        <f t="array" ref="F413">_xlfn.SWITCH(Sheet5!C413,FALSE,"NO",TRUE,"YES")</f>
        <v>NO</v>
      </c>
      <c r="G413" t="str" cm="1">
        <f t="array" ref="G413">_xlfn.SWITCH(Sheet5!B413,0,"Sunday",1,"Monday",2,"Tuesday",3,"Wednesday",4,"Thursday",5,"Friday",6,"Saturday")</f>
        <v>Wednesday</v>
      </c>
      <c r="H413" t="str" cm="1">
        <f t="array" ref="H413">_xlfn.SWITCH(Sheet5!D413, 1, "Clear Sky", 2, "Mist", 3, "Dark Cloud",4,"Heavy Rainfall")</f>
        <v>Dark Cloud</v>
      </c>
      <c r="I413" s="26">
        <f>Sheet5!E413*41</f>
        <v>9.02</v>
      </c>
      <c r="J413" s="27">
        <v>0.93</v>
      </c>
      <c r="K413">
        <v>0.1343</v>
      </c>
      <c r="L413">
        <v>1</v>
      </c>
      <c r="M413">
        <v>1</v>
      </c>
      <c r="N413">
        <v>2</v>
      </c>
    </row>
    <row r="414" spans="1:14" x14ac:dyDescent="0.3">
      <c r="A414">
        <v>413</v>
      </c>
      <c r="B414" s="21">
        <v>40562</v>
      </c>
      <c r="C414" s="25" t="s">
        <v>16</v>
      </c>
      <c r="D414" s="25" t="str" cm="1">
        <f t="array" ref="D414">_xlfn.SWITCH(Sheet5!A414,1,"JANUARY",2,"FEBRUARY")</f>
        <v>JANUARY</v>
      </c>
      <c r="E414">
        <v>5</v>
      </c>
      <c r="F414" t="str" cm="1">
        <f t="array" ref="F414">_xlfn.SWITCH(Sheet5!C414,FALSE,"NO",TRUE,"YES")</f>
        <v>NO</v>
      </c>
      <c r="G414" t="str" cm="1">
        <f t="array" ref="G414">_xlfn.SWITCH(Sheet5!B414,0,"Sunday",1,"Monday",2,"Tuesday",3,"Wednesday",4,"Thursday",5,"Friday",6,"Saturday")</f>
        <v>Wednesday</v>
      </c>
      <c r="H414" t="str" cm="1">
        <f t="array" ref="H414">_xlfn.SWITCH(Sheet5!D414, 1, "Clear Sky", 2, "Mist", 3, "Dark Cloud",4,"Heavy Rainfall")</f>
        <v>Mist</v>
      </c>
      <c r="I414" s="26">
        <f>Sheet5!E414*41</f>
        <v>9.02</v>
      </c>
      <c r="J414" s="27">
        <v>0.93</v>
      </c>
      <c r="K414">
        <v>8.9599999999999999E-2</v>
      </c>
      <c r="L414">
        <v>0</v>
      </c>
      <c r="M414">
        <v>7</v>
      </c>
      <c r="N414">
        <v>7</v>
      </c>
    </row>
    <row r="415" spans="1:14" x14ac:dyDescent="0.3">
      <c r="A415">
        <v>414</v>
      </c>
      <c r="B415" s="21">
        <v>40562</v>
      </c>
      <c r="C415" s="25" t="s">
        <v>16</v>
      </c>
      <c r="D415" s="25" t="str" cm="1">
        <f t="array" ref="D415">_xlfn.SWITCH(Sheet5!A415,1,"JANUARY",2,"FEBRUARY")</f>
        <v>JANUARY</v>
      </c>
      <c r="E415">
        <v>6</v>
      </c>
      <c r="F415" t="str" cm="1">
        <f t="array" ref="F415">_xlfn.SWITCH(Sheet5!C415,FALSE,"NO",TRUE,"YES")</f>
        <v>NO</v>
      </c>
      <c r="G415" t="str" cm="1">
        <f t="array" ref="G415">_xlfn.SWITCH(Sheet5!B415,0,"Sunday",1,"Monday",2,"Tuesday",3,"Wednesday",4,"Thursday",5,"Friday",6,"Saturday")</f>
        <v>Wednesday</v>
      </c>
      <c r="H415" t="str" cm="1">
        <f t="array" ref="H415">_xlfn.SWITCH(Sheet5!D415, 1, "Clear Sky", 2, "Mist", 3, "Dark Cloud",4,"Heavy Rainfall")</f>
        <v>Mist</v>
      </c>
      <c r="I415" s="26">
        <f>Sheet5!E415*41</f>
        <v>9.02</v>
      </c>
      <c r="J415" s="27">
        <v>0.93</v>
      </c>
      <c r="K415">
        <v>8.9599999999999999E-2</v>
      </c>
      <c r="L415">
        <v>0</v>
      </c>
      <c r="M415">
        <v>32</v>
      </c>
      <c r="N415">
        <v>32</v>
      </c>
    </row>
    <row r="416" spans="1:14" x14ac:dyDescent="0.3">
      <c r="A416">
        <v>415</v>
      </c>
      <c r="B416" s="21">
        <v>40562</v>
      </c>
      <c r="C416" s="25" t="s">
        <v>16</v>
      </c>
      <c r="D416" s="25" t="str" cm="1">
        <f t="array" ref="D416">_xlfn.SWITCH(Sheet5!A416,1,"JANUARY",2,"FEBRUARY")</f>
        <v>JANUARY</v>
      </c>
      <c r="E416">
        <v>7</v>
      </c>
      <c r="F416" t="str" cm="1">
        <f t="array" ref="F416">_xlfn.SWITCH(Sheet5!C416,FALSE,"NO",TRUE,"YES")</f>
        <v>NO</v>
      </c>
      <c r="G416" t="str" cm="1">
        <f t="array" ref="G416">_xlfn.SWITCH(Sheet5!B416,0,"Sunday",1,"Monday",2,"Tuesday",3,"Wednesday",4,"Thursday",5,"Friday",6,"Saturday")</f>
        <v>Wednesday</v>
      </c>
      <c r="H416" t="str" cm="1">
        <f t="array" ref="H416">_xlfn.SWITCH(Sheet5!D416, 1, "Clear Sky", 2, "Mist", 3, "Dark Cloud",4,"Heavy Rainfall")</f>
        <v>Mist</v>
      </c>
      <c r="I416" s="26">
        <f>Sheet5!E416*41</f>
        <v>9.84</v>
      </c>
      <c r="J416" s="27">
        <v>0.92</v>
      </c>
      <c r="K416">
        <v>0.1045</v>
      </c>
      <c r="L416">
        <v>1</v>
      </c>
      <c r="M416">
        <v>89</v>
      </c>
      <c r="N416">
        <v>90</v>
      </c>
    </row>
    <row r="417" spans="1:14" x14ac:dyDescent="0.3">
      <c r="A417">
        <v>416</v>
      </c>
      <c r="B417" s="21">
        <v>40562</v>
      </c>
      <c r="C417" s="25" t="s">
        <v>16</v>
      </c>
      <c r="D417" s="25" t="str" cm="1">
        <f t="array" ref="D417">_xlfn.SWITCH(Sheet5!A417,1,"JANUARY",2,"FEBRUARY")</f>
        <v>JANUARY</v>
      </c>
      <c r="E417">
        <v>8</v>
      </c>
      <c r="F417" t="str" cm="1">
        <f t="array" ref="F417">_xlfn.SWITCH(Sheet5!C417,FALSE,"NO",TRUE,"YES")</f>
        <v>NO</v>
      </c>
      <c r="G417" t="str" cm="1">
        <f t="array" ref="G417">_xlfn.SWITCH(Sheet5!B417,0,"Sunday",1,"Monday",2,"Tuesday",3,"Wednesday",4,"Thursday",5,"Friday",6,"Saturday")</f>
        <v>Wednesday</v>
      </c>
      <c r="H417" t="str" cm="1">
        <f t="array" ref="H417">_xlfn.SWITCH(Sheet5!D417, 1, "Clear Sky", 2, "Mist", 3, "Dark Cloud",4,"Heavy Rainfall")</f>
        <v>Mist</v>
      </c>
      <c r="I417" s="26">
        <f>Sheet5!E417*41</f>
        <v>9.84</v>
      </c>
      <c r="J417" s="27">
        <v>0.93</v>
      </c>
      <c r="K417">
        <v>0.1045</v>
      </c>
      <c r="L417">
        <v>1</v>
      </c>
      <c r="M417">
        <v>196</v>
      </c>
      <c r="N417">
        <v>197</v>
      </c>
    </row>
    <row r="418" spans="1:14" x14ac:dyDescent="0.3">
      <c r="A418">
        <v>417</v>
      </c>
      <c r="B418" s="21">
        <v>40562</v>
      </c>
      <c r="C418" s="25" t="s">
        <v>16</v>
      </c>
      <c r="D418" s="25" t="str" cm="1">
        <f t="array" ref="D418">_xlfn.SWITCH(Sheet5!A418,1,"JANUARY",2,"FEBRUARY")</f>
        <v>JANUARY</v>
      </c>
      <c r="E418">
        <v>9</v>
      </c>
      <c r="F418" t="str" cm="1">
        <f t="array" ref="F418">_xlfn.SWITCH(Sheet5!C418,FALSE,"NO",TRUE,"YES")</f>
        <v>NO</v>
      </c>
      <c r="G418" t="str" cm="1">
        <f t="array" ref="G418">_xlfn.SWITCH(Sheet5!B418,0,"Sunday",1,"Monday",2,"Tuesday",3,"Wednesday",4,"Thursday",5,"Friday",6,"Saturday")</f>
        <v>Wednesday</v>
      </c>
      <c r="H418" t="str" cm="1">
        <f t="array" ref="H418">_xlfn.SWITCH(Sheet5!D418, 1, "Clear Sky", 2, "Mist", 3, "Dark Cloud",4,"Heavy Rainfall")</f>
        <v>Mist</v>
      </c>
      <c r="I418" s="26">
        <f>Sheet5!E418*41</f>
        <v>9.84</v>
      </c>
      <c r="J418" s="27">
        <v>0.93</v>
      </c>
      <c r="K418">
        <v>0.1045</v>
      </c>
      <c r="L418">
        <v>2</v>
      </c>
      <c r="M418">
        <v>107</v>
      </c>
      <c r="N418">
        <v>109</v>
      </c>
    </row>
    <row r="419" spans="1:14" x14ac:dyDescent="0.3">
      <c r="A419">
        <v>418</v>
      </c>
      <c r="B419" s="21">
        <v>40562</v>
      </c>
      <c r="C419" s="25" t="s">
        <v>16</v>
      </c>
      <c r="D419" s="25" t="str" cm="1">
        <f t="array" ref="D419">_xlfn.SWITCH(Sheet5!A419,1,"JANUARY",2,"FEBRUARY")</f>
        <v>JANUARY</v>
      </c>
      <c r="E419">
        <v>10</v>
      </c>
      <c r="F419" t="str" cm="1">
        <f t="array" ref="F419">_xlfn.SWITCH(Sheet5!C419,FALSE,"NO",TRUE,"YES")</f>
        <v>NO</v>
      </c>
      <c r="G419" t="str" cm="1">
        <f t="array" ref="G419">_xlfn.SWITCH(Sheet5!B419,0,"Sunday",1,"Monday",2,"Tuesday",3,"Wednesday",4,"Thursday",5,"Friday",6,"Saturday")</f>
        <v>Wednesday</v>
      </c>
      <c r="H419" t="str" cm="1">
        <f t="array" ref="H419">_xlfn.SWITCH(Sheet5!D419, 1, "Clear Sky", 2, "Mist", 3, "Dark Cloud",4,"Heavy Rainfall")</f>
        <v>Mist</v>
      </c>
      <c r="I419" s="26">
        <f>Sheet5!E419*41</f>
        <v>10.66</v>
      </c>
      <c r="J419" s="27">
        <v>0.93</v>
      </c>
      <c r="K419">
        <v>0.1343</v>
      </c>
      <c r="L419">
        <v>1</v>
      </c>
      <c r="M419">
        <v>46</v>
      </c>
      <c r="N419">
        <v>47</v>
      </c>
    </row>
    <row r="420" spans="1:14" x14ac:dyDescent="0.3">
      <c r="A420">
        <v>419</v>
      </c>
      <c r="B420" s="21">
        <v>40562</v>
      </c>
      <c r="C420" s="25" t="s">
        <v>16</v>
      </c>
      <c r="D420" s="25" t="str" cm="1">
        <f t="array" ref="D420">_xlfn.SWITCH(Sheet5!A420,1,"JANUARY",2,"FEBRUARY")</f>
        <v>JANUARY</v>
      </c>
      <c r="E420">
        <v>11</v>
      </c>
      <c r="F420" t="str" cm="1">
        <f t="array" ref="F420">_xlfn.SWITCH(Sheet5!C420,FALSE,"NO",TRUE,"YES")</f>
        <v>NO</v>
      </c>
      <c r="G420" t="str" cm="1">
        <f t="array" ref="G420">_xlfn.SWITCH(Sheet5!B420,0,"Sunday",1,"Monday",2,"Tuesday",3,"Wednesday",4,"Thursday",5,"Friday",6,"Saturday")</f>
        <v>Wednesday</v>
      </c>
      <c r="H420" t="str" cm="1">
        <f t="array" ref="H420">_xlfn.SWITCH(Sheet5!D420, 1, "Clear Sky", 2, "Mist", 3, "Dark Cloud",4,"Heavy Rainfall")</f>
        <v>Mist</v>
      </c>
      <c r="I420" s="26">
        <f>Sheet5!E420*41</f>
        <v>11.48</v>
      </c>
      <c r="J420" s="27">
        <v>0.87</v>
      </c>
      <c r="K420">
        <v>8.9599999999999999E-2</v>
      </c>
      <c r="L420">
        <v>5</v>
      </c>
      <c r="M420">
        <v>47</v>
      </c>
      <c r="N420">
        <v>52</v>
      </c>
    </row>
    <row r="421" spans="1:14" x14ac:dyDescent="0.3">
      <c r="A421">
        <v>420</v>
      </c>
      <c r="B421" s="21">
        <v>40562</v>
      </c>
      <c r="C421" s="25" t="s">
        <v>16</v>
      </c>
      <c r="D421" s="25" t="str" cm="1">
        <f t="array" ref="D421">_xlfn.SWITCH(Sheet5!A421,1,"JANUARY",2,"FEBRUARY")</f>
        <v>JANUARY</v>
      </c>
      <c r="E421">
        <v>12</v>
      </c>
      <c r="F421" t="str" cm="1">
        <f t="array" ref="F421">_xlfn.SWITCH(Sheet5!C421,FALSE,"NO",TRUE,"YES")</f>
        <v>NO</v>
      </c>
      <c r="G421" t="str" cm="1">
        <f t="array" ref="G421">_xlfn.SWITCH(Sheet5!B421,0,"Sunday",1,"Monday",2,"Tuesday",3,"Wednesday",4,"Thursday",5,"Friday",6,"Saturday")</f>
        <v>Wednesday</v>
      </c>
      <c r="H421" t="str" cm="1">
        <f t="array" ref="H421">_xlfn.SWITCH(Sheet5!D421, 1, "Clear Sky", 2, "Mist", 3, "Dark Cloud",4,"Heavy Rainfall")</f>
        <v>Mist</v>
      </c>
      <c r="I421" s="26">
        <f>Sheet5!E421*41</f>
        <v>12.299999999999999</v>
      </c>
      <c r="J421" s="27">
        <v>0.81</v>
      </c>
      <c r="K421">
        <v>8.9599999999999999E-2</v>
      </c>
      <c r="L421">
        <v>5</v>
      </c>
      <c r="M421">
        <v>65</v>
      </c>
      <c r="N421">
        <v>70</v>
      </c>
    </row>
    <row r="422" spans="1:14" x14ac:dyDescent="0.3">
      <c r="A422">
        <v>421</v>
      </c>
      <c r="B422" s="21">
        <v>40562</v>
      </c>
      <c r="C422" s="25" t="s">
        <v>16</v>
      </c>
      <c r="D422" s="25" t="str" cm="1">
        <f t="array" ref="D422">_xlfn.SWITCH(Sheet5!A422,1,"JANUARY",2,"FEBRUARY")</f>
        <v>JANUARY</v>
      </c>
      <c r="E422">
        <v>13</v>
      </c>
      <c r="F422" t="str" cm="1">
        <f t="array" ref="F422">_xlfn.SWITCH(Sheet5!C422,FALSE,"NO",TRUE,"YES")</f>
        <v>NO</v>
      </c>
      <c r="G422" t="str" cm="1">
        <f t="array" ref="G422">_xlfn.SWITCH(Sheet5!B422,0,"Sunday",1,"Monday",2,"Tuesday",3,"Wednesday",4,"Thursday",5,"Friday",6,"Saturday")</f>
        <v>Wednesday</v>
      </c>
      <c r="H422" t="str" cm="1">
        <f t="array" ref="H422">_xlfn.SWITCH(Sheet5!D422, 1, "Clear Sky", 2, "Mist", 3, "Dark Cloud",4,"Heavy Rainfall")</f>
        <v>Clear Sky</v>
      </c>
      <c r="I422" s="26">
        <f>Sheet5!E422*41</f>
        <v>16.400000000000002</v>
      </c>
      <c r="J422" s="27">
        <v>0.62</v>
      </c>
      <c r="K422">
        <v>0.28360000000000002</v>
      </c>
      <c r="L422">
        <v>11</v>
      </c>
      <c r="M422">
        <v>67</v>
      </c>
      <c r="N422">
        <v>78</v>
      </c>
    </row>
    <row r="423" spans="1:14" x14ac:dyDescent="0.3">
      <c r="A423">
        <v>422</v>
      </c>
      <c r="B423" s="21">
        <v>40562</v>
      </c>
      <c r="C423" s="25" t="s">
        <v>16</v>
      </c>
      <c r="D423" s="25" t="str" cm="1">
        <f t="array" ref="D423">_xlfn.SWITCH(Sheet5!A423,1,"JANUARY",2,"FEBRUARY")</f>
        <v>JANUARY</v>
      </c>
      <c r="E423">
        <v>14</v>
      </c>
      <c r="F423" t="str" cm="1">
        <f t="array" ref="F423">_xlfn.SWITCH(Sheet5!C423,FALSE,"NO",TRUE,"YES")</f>
        <v>NO</v>
      </c>
      <c r="G423" t="str" cm="1">
        <f t="array" ref="G423">_xlfn.SWITCH(Sheet5!B423,0,"Sunday",1,"Monday",2,"Tuesday",3,"Wednesday",4,"Thursday",5,"Friday",6,"Saturday")</f>
        <v>Wednesday</v>
      </c>
      <c r="H423" t="str" cm="1">
        <f t="array" ref="H423">_xlfn.SWITCH(Sheet5!D423, 1, "Clear Sky", 2, "Mist", 3, "Dark Cloud",4,"Heavy Rainfall")</f>
        <v>Clear Sky</v>
      </c>
      <c r="I423" s="26">
        <f>Sheet5!E423*41</f>
        <v>16.400000000000002</v>
      </c>
      <c r="J423" s="27">
        <v>0.57999999999999996</v>
      </c>
      <c r="K423">
        <v>0.25369999999999998</v>
      </c>
      <c r="L423">
        <v>7</v>
      </c>
      <c r="M423">
        <v>68</v>
      </c>
      <c r="N423">
        <v>75</v>
      </c>
    </row>
    <row r="424" spans="1:14" x14ac:dyDescent="0.3">
      <c r="A424">
        <v>423</v>
      </c>
      <c r="B424" s="21">
        <v>40562</v>
      </c>
      <c r="C424" s="25" t="s">
        <v>16</v>
      </c>
      <c r="D424" s="25" t="str" cm="1">
        <f t="array" ref="D424">_xlfn.SWITCH(Sheet5!A424,1,"JANUARY",2,"FEBRUARY")</f>
        <v>JANUARY</v>
      </c>
      <c r="E424">
        <v>15</v>
      </c>
      <c r="F424" t="str" cm="1">
        <f t="array" ref="F424">_xlfn.SWITCH(Sheet5!C424,FALSE,"NO",TRUE,"YES")</f>
        <v>NO</v>
      </c>
      <c r="G424" t="str" cm="1">
        <f t="array" ref="G424">_xlfn.SWITCH(Sheet5!B424,0,"Sunday",1,"Monday",2,"Tuesday",3,"Wednesday",4,"Thursday",5,"Friday",6,"Saturday")</f>
        <v>Wednesday</v>
      </c>
      <c r="H424" t="str" cm="1">
        <f t="array" ref="H424">_xlfn.SWITCH(Sheet5!D424, 1, "Clear Sky", 2, "Mist", 3, "Dark Cloud",4,"Heavy Rainfall")</f>
        <v>Clear Sky</v>
      </c>
      <c r="I424" s="26">
        <f>Sheet5!E424*41</f>
        <v>16.400000000000002</v>
      </c>
      <c r="J424" s="27">
        <v>0.54</v>
      </c>
      <c r="K424">
        <v>0.28360000000000002</v>
      </c>
      <c r="L424">
        <v>4</v>
      </c>
      <c r="M424">
        <v>78</v>
      </c>
      <c r="N424">
        <v>82</v>
      </c>
    </row>
    <row r="425" spans="1:14" x14ac:dyDescent="0.3">
      <c r="A425">
        <v>424</v>
      </c>
      <c r="B425" s="21">
        <v>40562</v>
      </c>
      <c r="C425" s="25" t="s">
        <v>16</v>
      </c>
      <c r="D425" s="25" t="str" cm="1">
        <f t="array" ref="D425">_xlfn.SWITCH(Sheet5!A425,1,"JANUARY",2,"FEBRUARY")</f>
        <v>JANUARY</v>
      </c>
      <c r="E425">
        <v>16</v>
      </c>
      <c r="F425" t="str" cm="1">
        <f t="array" ref="F425">_xlfn.SWITCH(Sheet5!C425,FALSE,"NO",TRUE,"YES")</f>
        <v>NO</v>
      </c>
      <c r="G425" t="str" cm="1">
        <f t="array" ref="G425">_xlfn.SWITCH(Sheet5!B425,0,"Sunday",1,"Monday",2,"Tuesday",3,"Wednesday",4,"Thursday",5,"Friday",6,"Saturday")</f>
        <v>Wednesday</v>
      </c>
      <c r="H425" t="str" cm="1">
        <f t="array" ref="H425">_xlfn.SWITCH(Sheet5!D425, 1, "Clear Sky", 2, "Mist", 3, "Dark Cloud",4,"Heavy Rainfall")</f>
        <v>Clear Sky</v>
      </c>
      <c r="I425" s="26">
        <f>Sheet5!E425*41</f>
        <v>15.58</v>
      </c>
      <c r="J425" s="27">
        <v>0.57999999999999996</v>
      </c>
      <c r="K425">
        <v>0.3881</v>
      </c>
      <c r="L425">
        <v>10</v>
      </c>
      <c r="M425">
        <v>94</v>
      </c>
      <c r="N425">
        <v>104</v>
      </c>
    </row>
    <row r="426" spans="1:14" x14ac:dyDescent="0.3">
      <c r="A426">
        <v>425</v>
      </c>
      <c r="B426" s="21">
        <v>40562</v>
      </c>
      <c r="C426" s="25" t="s">
        <v>16</v>
      </c>
      <c r="D426" s="25" t="str" cm="1">
        <f t="array" ref="D426">_xlfn.SWITCH(Sheet5!A426,1,"JANUARY",2,"FEBRUARY")</f>
        <v>JANUARY</v>
      </c>
      <c r="E426">
        <v>17</v>
      </c>
      <c r="F426" t="str" cm="1">
        <f t="array" ref="F426">_xlfn.SWITCH(Sheet5!C426,FALSE,"NO",TRUE,"YES")</f>
        <v>NO</v>
      </c>
      <c r="G426" t="str" cm="1">
        <f t="array" ref="G426">_xlfn.SWITCH(Sheet5!B426,0,"Sunday",1,"Monday",2,"Tuesday",3,"Wednesday",4,"Thursday",5,"Friday",6,"Saturday")</f>
        <v>Wednesday</v>
      </c>
      <c r="H426" t="str" cm="1">
        <f t="array" ref="H426">_xlfn.SWITCH(Sheet5!D426, 1, "Clear Sky", 2, "Mist", 3, "Dark Cloud",4,"Heavy Rainfall")</f>
        <v>Clear Sky</v>
      </c>
      <c r="I426" s="26">
        <f>Sheet5!E426*41</f>
        <v>14.76</v>
      </c>
      <c r="J426" s="27">
        <v>0.56999999999999995</v>
      </c>
      <c r="K426">
        <v>0.32840000000000003</v>
      </c>
      <c r="L426">
        <v>7</v>
      </c>
      <c r="M426">
        <v>190</v>
      </c>
      <c r="N426">
        <v>197</v>
      </c>
    </row>
    <row r="427" spans="1:14" x14ac:dyDescent="0.3">
      <c r="A427">
        <v>426</v>
      </c>
      <c r="B427" s="21">
        <v>40562</v>
      </c>
      <c r="C427" s="25" t="s">
        <v>16</v>
      </c>
      <c r="D427" s="25" t="str" cm="1">
        <f t="array" ref="D427">_xlfn.SWITCH(Sheet5!A427,1,"JANUARY",2,"FEBRUARY")</f>
        <v>JANUARY</v>
      </c>
      <c r="E427">
        <v>18</v>
      </c>
      <c r="F427" t="str" cm="1">
        <f t="array" ref="F427">_xlfn.SWITCH(Sheet5!C427,FALSE,"NO",TRUE,"YES")</f>
        <v>NO</v>
      </c>
      <c r="G427" t="str" cm="1">
        <f t="array" ref="G427">_xlfn.SWITCH(Sheet5!B427,0,"Sunday",1,"Monday",2,"Tuesday",3,"Wednesday",4,"Thursday",5,"Friday",6,"Saturday")</f>
        <v>Wednesday</v>
      </c>
      <c r="H427" t="str" cm="1">
        <f t="array" ref="H427">_xlfn.SWITCH(Sheet5!D427, 1, "Clear Sky", 2, "Mist", 3, "Dark Cloud",4,"Heavy Rainfall")</f>
        <v>Clear Sky</v>
      </c>
      <c r="I427" s="26">
        <f>Sheet5!E427*41</f>
        <v>13.940000000000001</v>
      </c>
      <c r="J427" s="27">
        <v>0.61</v>
      </c>
      <c r="K427">
        <v>0.28360000000000002</v>
      </c>
      <c r="L427">
        <v>5</v>
      </c>
      <c r="M427">
        <v>156</v>
      </c>
      <c r="N427">
        <v>161</v>
      </c>
    </row>
    <row r="428" spans="1:14" x14ac:dyDescent="0.3">
      <c r="A428">
        <v>427</v>
      </c>
      <c r="B428" s="21">
        <v>40562</v>
      </c>
      <c r="C428" s="25" t="s">
        <v>16</v>
      </c>
      <c r="D428" s="25" t="str" cm="1">
        <f t="array" ref="D428">_xlfn.SWITCH(Sheet5!A428,1,"JANUARY",2,"FEBRUARY")</f>
        <v>JANUARY</v>
      </c>
      <c r="E428">
        <v>19</v>
      </c>
      <c r="F428" t="str" cm="1">
        <f t="array" ref="F428">_xlfn.SWITCH(Sheet5!C428,FALSE,"NO",TRUE,"YES")</f>
        <v>NO</v>
      </c>
      <c r="G428" t="str" cm="1">
        <f t="array" ref="G428">_xlfn.SWITCH(Sheet5!B428,0,"Sunday",1,"Monday",2,"Tuesday",3,"Wednesday",4,"Thursday",5,"Friday",6,"Saturday")</f>
        <v>Wednesday</v>
      </c>
      <c r="H428" t="str" cm="1">
        <f t="array" ref="H428">_xlfn.SWITCH(Sheet5!D428, 1, "Clear Sky", 2, "Mist", 3, "Dark Cloud",4,"Heavy Rainfall")</f>
        <v>Clear Sky</v>
      </c>
      <c r="I428" s="26">
        <f>Sheet5!E428*41</f>
        <v>13.120000000000001</v>
      </c>
      <c r="J428" s="27">
        <v>0.56999999999999995</v>
      </c>
      <c r="K428">
        <v>0.41789999999999999</v>
      </c>
      <c r="L428">
        <v>4</v>
      </c>
      <c r="M428">
        <v>108</v>
      </c>
      <c r="N428">
        <v>112</v>
      </c>
    </row>
    <row r="429" spans="1:14" x14ac:dyDescent="0.3">
      <c r="A429">
        <v>428</v>
      </c>
      <c r="B429" s="21">
        <v>40562</v>
      </c>
      <c r="C429" s="25" t="s">
        <v>16</v>
      </c>
      <c r="D429" s="25" t="str" cm="1">
        <f t="array" ref="D429">_xlfn.SWITCH(Sheet5!A429,1,"JANUARY",2,"FEBRUARY")</f>
        <v>JANUARY</v>
      </c>
      <c r="E429">
        <v>20</v>
      </c>
      <c r="F429" t="str" cm="1">
        <f t="array" ref="F429">_xlfn.SWITCH(Sheet5!C429,FALSE,"NO",TRUE,"YES")</f>
        <v>NO</v>
      </c>
      <c r="G429" t="str" cm="1">
        <f t="array" ref="G429">_xlfn.SWITCH(Sheet5!B429,0,"Sunday",1,"Monday",2,"Tuesday",3,"Wednesday",4,"Thursday",5,"Friday",6,"Saturday")</f>
        <v>Wednesday</v>
      </c>
      <c r="H429" t="str" cm="1">
        <f t="array" ref="H429">_xlfn.SWITCH(Sheet5!D429, 1, "Clear Sky", 2, "Mist", 3, "Dark Cloud",4,"Heavy Rainfall")</f>
        <v>Clear Sky</v>
      </c>
      <c r="I429" s="26">
        <f>Sheet5!E429*41</f>
        <v>13.120000000000001</v>
      </c>
      <c r="J429" s="27">
        <v>0.49</v>
      </c>
      <c r="K429">
        <v>0.29849999999999999</v>
      </c>
      <c r="L429">
        <v>2</v>
      </c>
      <c r="M429">
        <v>74</v>
      </c>
      <c r="N429">
        <v>76</v>
      </c>
    </row>
    <row r="430" spans="1:14" x14ac:dyDescent="0.3">
      <c r="A430">
        <v>429</v>
      </c>
      <c r="B430" s="21">
        <v>40562</v>
      </c>
      <c r="C430" s="25" t="s">
        <v>16</v>
      </c>
      <c r="D430" s="25" t="str" cm="1">
        <f t="array" ref="D430">_xlfn.SWITCH(Sheet5!A430,1,"JANUARY",2,"FEBRUARY")</f>
        <v>JANUARY</v>
      </c>
      <c r="E430">
        <v>21</v>
      </c>
      <c r="F430" t="str" cm="1">
        <f t="array" ref="F430">_xlfn.SWITCH(Sheet5!C430,FALSE,"NO",TRUE,"YES")</f>
        <v>NO</v>
      </c>
      <c r="G430" t="str" cm="1">
        <f t="array" ref="G430">_xlfn.SWITCH(Sheet5!B430,0,"Sunday",1,"Monday",2,"Tuesday",3,"Wednesday",4,"Thursday",5,"Friday",6,"Saturday")</f>
        <v>Wednesday</v>
      </c>
      <c r="H430" t="str" cm="1">
        <f t="array" ref="H430">_xlfn.SWITCH(Sheet5!D430, 1, "Clear Sky", 2, "Mist", 3, "Dark Cloud",4,"Heavy Rainfall")</f>
        <v>Clear Sky</v>
      </c>
      <c r="I430" s="26">
        <f>Sheet5!E430*41</f>
        <v>13.120000000000001</v>
      </c>
      <c r="J430" s="27">
        <v>0.49</v>
      </c>
      <c r="K430">
        <v>0.41789999999999999</v>
      </c>
      <c r="L430">
        <v>4</v>
      </c>
      <c r="M430">
        <v>55</v>
      </c>
      <c r="N430">
        <v>59</v>
      </c>
    </row>
    <row r="431" spans="1:14" x14ac:dyDescent="0.3">
      <c r="A431">
        <v>430</v>
      </c>
      <c r="B431" s="21">
        <v>40562</v>
      </c>
      <c r="C431" s="25" t="s">
        <v>16</v>
      </c>
      <c r="D431" s="25" t="str" cm="1">
        <f t="array" ref="D431">_xlfn.SWITCH(Sheet5!A431,1,"JANUARY",2,"FEBRUARY")</f>
        <v>JANUARY</v>
      </c>
      <c r="E431">
        <v>22</v>
      </c>
      <c r="F431" t="str" cm="1">
        <f t="array" ref="F431">_xlfn.SWITCH(Sheet5!C431,FALSE,"NO",TRUE,"YES")</f>
        <v>NO</v>
      </c>
      <c r="G431" t="str" cm="1">
        <f t="array" ref="G431">_xlfn.SWITCH(Sheet5!B431,0,"Sunday",1,"Monday",2,"Tuesday",3,"Wednesday",4,"Thursday",5,"Friday",6,"Saturday")</f>
        <v>Wednesday</v>
      </c>
      <c r="H431" t="str" cm="1">
        <f t="array" ref="H431">_xlfn.SWITCH(Sheet5!D431, 1, "Clear Sky", 2, "Mist", 3, "Dark Cloud",4,"Heavy Rainfall")</f>
        <v>Clear Sky</v>
      </c>
      <c r="I431" s="26">
        <f>Sheet5!E431*41</f>
        <v>12.299999999999999</v>
      </c>
      <c r="J431" s="27">
        <v>0.52</v>
      </c>
      <c r="K431">
        <v>0.16420000000000001</v>
      </c>
      <c r="L431">
        <v>6</v>
      </c>
      <c r="M431">
        <v>53</v>
      </c>
      <c r="N431">
        <v>59</v>
      </c>
    </row>
    <row r="432" spans="1:14" x14ac:dyDescent="0.3">
      <c r="A432">
        <v>431</v>
      </c>
      <c r="B432" s="21">
        <v>40562</v>
      </c>
      <c r="C432" s="25" t="s">
        <v>16</v>
      </c>
      <c r="D432" s="25" t="str" cm="1">
        <f t="array" ref="D432">_xlfn.SWITCH(Sheet5!A432,1,"JANUARY",2,"FEBRUARY")</f>
        <v>JANUARY</v>
      </c>
      <c r="E432">
        <v>23</v>
      </c>
      <c r="F432" t="str" cm="1">
        <f t="array" ref="F432">_xlfn.SWITCH(Sheet5!C432,FALSE,"NO",TRUE,"YES")</f>
        <v>NO</v>
      </c>
      <c r="G432" t="str" cm="1">
        <f t="array" ref="G432">_xlfn.SWITCH(Sheet5!B432,0,"Sunday",1,"Monday",2,"Tuesday",3,"Wednesday",4,"Thursday",5,"Friday",6,"Saturday")</f>
        <v>Wednesday</v>
      </c>
      <c r="H432" t="str" cm="1">
        <f t="array" ref="H432">_xlfn.SWITCH(Sheet5!D432, 1, "Clear Sky", 2, "Mist", 3, "Dark Cloud",4,"Heavy Rainfall")</f>
        <v>Clear Sky</v>
      </c>
      <c r="I432" s="26">
        <f>Sheet5!E432*41</f>
        <v>12.299999999999999</v>
      </c>
      <c r="J432" s="27">
        <v>0.52</v>
      </c>
      <c r="K432">
        <v>0.4627</v>
      </c>
      <c r="L432">
        <v>1</v>
      </c>
      <c r="M432">
        <v>27</v>
      </c>
      <c r="N432">
        <v>28</v>
      </c>
    </row>
    <row r="433" spans="1:14" x14ac:dyDescent="0.3">
      <c r="A433">
        <v>432</v>
      </c>
      <c r="B433" s="21">
        <v>40563</v>
      </c>
      <c r="C433" s="25" t="s">
        <v>16</v>
      </c>
      <c r="D433" s="25" t="str" cm="1">
        <f t="array" ref="D433">_xlfn.SWITCH(Sheet5!A433,1,"JANUARY",2,"FEBRUARY")</f>
        <v>JANUARY</v>
      </c>
      <c r="E433">
        <v>0</v>
      </c>
      <c r="F433" t="str" cm="1">
        <f t="array" ref="F433">_xlfn.SWITCH(Sheet5!C433,FALSE,"NO",TRUE,"YES")</f>
        <v>NO</v>
      </c>
      <c r="G433" t="str" cm="1">
        <f t="array" ref="G433">_xlfn.SWITCH(Sheet5!B433,0,"Sunday",1,"Monday",2,"Tuesday",3,"Wednesday",4,"Thursday",5,"Friday",6,"Saturday")</f>
        <v>Thursday</v>
      </c>
      <c r="H433" t="str" cm="1">
        <f t="array" ref="H433">_xlfn.SWITCH(Sheet5!D433, 1, "Clear Sky", 2, "Mist", 3, "Dark Cloud",4,"Heavy Rainfall")</f>
        <v>Clear Sky</v>
      </c>
      <c r="I433" s="26">
        <f>Sheet5!E433*41</f>
        <v>10.66</v>
      </c>
      <c r="J433" s="27">
        <v>0.56000000000000005</v>
      </c>
      <c r="K433">
        <v>0.3881</v>
      </c>
      <c r="L433">
        <v>5</v>
      </c>
      <c r="M433">
        <v>8</v>
      </c>
      <c r="N433">
        <v>13</v>
      </c>
    </row>
    <row r="434" spans="1:14" x14ac:dyDescent="0.3">
      <c r="A434">
        <v>433</v>
      </c>
      <c r="B434" s="21">
        <v>40563</v>
      </c>
      <c r="C434" s="25" t="s">
        <v>16</v>
      </c>
      <c r="D434" s="25" t="str" cm="1">
        <f t="array" ref="D434">_xlfn.SWITCH(Sheet5!A434,1,"JANUARY",2,"FEBRUARY")</f>
        <v>JANUARY</v>
      </c>
      <c r="E434">
        <v>1</v>
      </c>
      <c r="F434" t="str" cm="1">
        <f t="array" ref="F434">_xlfn.SWITCH(Sheet5!C434,FALSE,"NO",TRUE,"YES")</f>
        <v>NO</v>
      </c>
      <c r="G434" t="str" cm="1">
        <f t="array" ref="G434">_xlfn.SWITCH(Sheet5!B434,0,"Sunday",1,"Monday",2,"Tuesday",3,"Wednesday",4,"Thursday",5,"Friday",6,"Saturday")</f>
        <v>Thursday</v>
      </c>
      <c r="H434" t="str" cm="1">
        <f t="array" ref="H434">_xlfn.SWITCH(Sheet5!D434, 1, "Clear Sky", 2, "Mist", 3, "Dark Cloud",4,"Heavy Rainfall")</f>
        <v>Clear Sky</v>
      </c>
      <c r="I434" s="26">
        <f>Sheet5!E434*41</f>
        <v>10.66</v>
      </c>
      <c r="J434" s="27">
        <v>0.56000000000000005</v>
      </c>
      <c r="K434">
        <v>0</v>
      </c>
      <c r="L434">
        <v>2</v>
      </c>
      <c r="M434">
        <v>3</v>
      </c>
      <c r="N434">
        <v>5</v>
      </c>
    </row>
    <row r="435" spans="1:14" x14ac:dyDescent="0.3">
      <c r="A435">
        <v>434</v>
      </c>
      <c r="B435" s="21">
        <v>40563</v>
      </c>
      <c r="C435" s="25" t="s">
        <v>16</v>
      </c>
      <c r="D435" s="25" t="str" cm="1">
        <f t="array" ref="D435">_xlfn.SWITCH(Sheet5!A435,1,"JANUARY",2,"FEBRUARY")</f>
        <v>JANUARY</v>
      </c>
      <c r="E435">
        <v>2</v>
      </c>
      <c r="F435" t="str" cm="1">
        <f t="array" ref="F435">_xlfn.SWITCH(Sheet5!C435,FALSE,"NO",TRUE,"YES")</f>
        <v>NO</v>
      </c>
      <c r="G435" t="str" cm="1">
        <f t="array" ref="G435">_xlfn.SWITCH(Sheet5!B435,0,"Sunday",1,"Monday",2,"Tuesday",3,"Wednesday",4,"Thursday",5,"Friday",6,"Saturday")</f>
        <v>Thursday</v>
      </c>
      <c r="H435" t="str" cm="1">
        <f t="array" ref="H435">_xlfn.SWITCH(Sheet5!D435, 1, "Clear Sky", 2, "Mist", 3, "Dark Cloud",4,"Heavy Rainfall")</f>
        <v>Clear Sky</v>
      </c>
      <c r="I435" s="26">
        <f>Sheet5!E435*41</f>
        <v>10.66</v>
      </c>
      <c r="J435" s="27">
        <v>0.56000000000000005</v>
      </c>
      <c r="K435">
        <v>0</v>
      </c>
      <c r="L435">
        <v>0</v>
      </c>
      <c r="M435">
        <v>2</v>
      </c>
      <c r="N435">
        <v>2</v>
      </c>
    </row>
    <row r="436" spans="1:14" x14ac:dyDescent="0.3">
      <c r="A436">
        <v>435</v>
      </c>
      <c r="B436" s="21">
        <v>40563</v>
      </c>
      <c r="C436" s="25" t="s">
        <v>16</v>
      </c>
      <c r="D436" s="25" t="str" cm="1">
        <f t="array" ref="D436">_xlfn.SWITCH(Sheet5!A436,1,"JANUARY",2,"FEBRUARY")</f>
        <v>JANUARY</v>
      </c>
      <c r="E436">
        <v>3</v>
      </c>
      <c r="F436" t="str" cm="1">
        <f t="array" ref="F436">_xlfn.SWITCH(Sheet5!C436,FALSE,"NO",TRUE,"YES")</f>
        <v>NO</v>
      </c>
      <c r="G436" t="str" cm="1">
        <f t="array" ref="G436">_xlfn.SWITCH(Sheet5!B436,0,"Sunday",1,"Monday",2,"Tuesday",3,"Wednesday",4,"Thursday",5,"Friday",6,"Saturday")</f>
        <v>Thursday</v>
      </c>
      <c r="H436" t="str" cm="1">
        <f t="array" ref="H436">_xlfn.SWITCH(Sheet5!D436, 1, "Clear Sky", 2, "Mist", 3, "Dark Cloud",4,"Heavy Rainfall")</f>
        <v>Clear Sky</v>
      </c>
      <c r="I436" s="26">
        <f>Sheet5!E436*41</f>
        <v>10.66</v>
      </c>
      <c r="J436" s="27">
        <v>0.56000000000000005</v>
      </c>
      <c r="K436">
        <v>0.16420000000000001</v>
      </c>
      <c r="L436">
        <v>0</v>
      </c>
      <c r="M436">
        <v>1</v>
      </c>
      <c r="N436">
        <v>1</v>
      </c>
    </row>
    <row r="437" spans="1:14" x14ac:dyDescent="0.3">
      <c r="A437">
        <v>436</v>
      </c>
      <c r="B437" s="21">
        <v>40563</v>
      </c>
      <c r="C437" s="25" t="s">
        <v>16</v>
      </c>
      <c r="D437" s="25" t="str" cm="1">
        <f t="array" ref="D437">_xlfn.SWITCH(Sheet5!A437,1,"JANUARY",2,"FEBRUARY")</f>
        <v>JANUARY</v>
      </c>
      <c r="E437">
        <v>4</v>
      </c>
      <c r="F437" t="str" cm="1">
        <f t="array" ref="F437">_xlfn.SWITCH(Sheet5!C437,FALSE,"NO",TRUE,"YES")</f>
        <v>NO</v>
      </c>
      <c r="G437" t="str" cm="1">
        <f t="array" ref="G437">_xlfn.SWITCH(Sheet5!B437,0,"Sunday",1,"Monday",2,"Tuesday",3,"Wednesday",4,"Thursday",5,"Friday",6,"Saturday")</f>
        <v>Thursday</v>
      </c>
      <c r="H437" t="str" cm="1">
        <f t="array" ref="H437">_xlfn.SWITCH(Sheet5!D437, 1, "Clear Sky", 2, "Mist", 3, "Dark Cloud",4,"Heavy Rainfall")</f>
        <v>Clear Sky</v>
      </c>
      <c r="I437" s="26">
        <f>Sheet5!E437*41</f>
        <v>10.66</v>
      </c>
      <c r="J437" s="27">
        <v>0.56000000000000005</v>
      </c>
      <c r="K437">
        <v>0.16420000000000001</v>
      </c>
      <c r="L437">
        <v>0</v>
      </c>
      <c r="M437">
        <v>1</v>
      </c>
      <c r="N437">
        <v>1</v>
      </c>
    </row>
    <row r="438" spans="1:14" x14ac:dyDescent="0.3">
      <c r="A438">
        <v>437</v>
      </c>
      <c r="B438" s="21">
        <v>40563</v>
      </c>
      <c r="C438" s="25" t="s">
        <v>16</v>
      </c>
      <c r="D438" s="25" t="str" cm="1">
        <f t="array" ref="D438">_xlfn.SWITCH(Sheet5!A438,1,"JANUARY",2,"FEBRUARY")</f>
        <v>JANUARY</v>
      </c>
      <c r="E438">
        <v>5</v>
      </c>
      <c r="F438" t="str" cm="1">
        <f t="array" ref="F438">_xlfn.SWITCH(Sheet5!C438,FALSE,"NO",TRUE,"YES")</f>
        <v>NO</v>
      </c>
      <c r="G438" t="str" cm="1">
        <f t="array" ref="G438">_xlfn.SWITCH(Sheet5!B438,0,"Sunday",1,"Monday",2,"Tuesday",3,"Wednesday",4,"Thursday",5,"Friday",6,"Saturday")</f>
        <v>Thursday</v>
      </c>
      <c r="H438" t="str" cm="1">
        <f t="array" ref="H438">_xlfn.SWITCH(Sheet5!D438, 1, "Clear Sky", 2, "Mist", 3, "Dark Cloud",4,"Heavy Rainfall")</f>
        <v>Clear Sky</v>
      </c>
      <c r="I438" s="26">
        <f>Sheet5!E438*41</f>
        <v>9.84</v>
      </c>
      <c r="J438" s="27">
        <v>0.6</v>
      </c>
      <c r="K438">
        <v>0.22389999999999999</v>
      </c>
      <c r="L438">
        <v>0</v>
      </c>
      <c r="M438">
        <v>6</v>
      </c>
      <c r="N438">
        <v>6</v>
      </c>
    </row>
    <row r="439" spans="1:14" x14ac:dyDescent="0.3">
      <c r="A439">
        <v>438</v>
      </c>
      <c r="B439" s="21">
        <v>40563</v>
      </c>
      <c r="C439" s="25" t="s">
        <v>16</v>
      </c>
      <c r="D439" s="25" t="str" cm="1">
        <f t="array" ref="D439">_xlfn.SWITCH(Sheet5!A439,1,"JANUARY",2,"FEBRUARY")</f>
        <v>JANUARY</v>
      </c>
      <c r="E439">
        <v>6</v>
      </c>
      <c r="F439" t="str" cm="1">
        <f t="array" ref="F439">_xlfn.SWITCH(Sheet5!C439,FALSE,"NO",TRUE,"YES")</f>
        <v>NO</v>
      </c>
      <c r="G439" t="str" cm="1">
        <f t="array" ref="G439">_xlfn.SWITCH(Sheet5!B439,0,"Sunday",1,"Monday",2,"Tuesday",3,"Wednesday",4,"Thursday",5,"Friday",6,"Saturday")</f>
        <v>Thursday</v>
      </c>
      <c r="H439" t="str" cm="1">
        <f t="array" ref="H439">_xlfn.SWITCH(Sheet5!D439, 1, "Clear Sky", 2, "Mist", 3, "Dark Cloud",4,"Heavy Rainfall")</f>
        <v>Clear Sky</v>
      </c>
      <c r="I439" s="26">
        <f>Sheet5!E439*41</f>
        <v>9.02</v>
      </c>
      <c r="J439" s="27">
        <v>0.6</v>
      </c>
      <c r="K439">
        <v>0.22389999999999999</v>
      </c>
      <c r="L439">
        <v>0</v>
      </c>
      <c r="M439">
        <v>35</v>
      </c>
      <c r="N439">
        <v>35</v>
      </c>
    </row>
    <row r="440" spans="1:14" x14ac:dyDescent="0.3">
      <c r="A440">
        <v>439</v>
      </c>
      <c r="B440" s="21">
        <v>40563</v>
      </c>
      <c r="C440" s="25" t="s">
        <v>16</v>
      </c>
      <c r="D440" s="25" t="str" cm="1">
        <f t="array" ref="D440">_xlfn.SWITCH(Sheet5!A440,1,"JANUARY",2,"FEBRUARY")</f>
        <v>JANUARY</v>
      </c>
      <c r="E440">
        <v>7</v>
      </c>
      <c r="F440" t="str" cm="1">
        <f t="array" ref="F440">_xlfn.SWITCH(Sheet5!C440,FALSE,"NO",TRUE,"YES")</f>
        <v>NO</v>
      </c>
      <c r="G440" t="str" cm="1">
        <f t="array" ref="G440">_xlfn.SWITCH(Sheet5!B440,0,"Sunday",1,"Monday",2,"Tuesday",3,"Wednesday",4,"Thursday",5,"Friday",6,"Saturday")</f>
        <v>Thursday</v>
      </c>
      <c r="H440" t="str" cm="1">
        <f t="array" ref="H440">_xlfn.SWITCH(Sheet5!D440, 1, "Clear Sky", 2, "Mist", 3, "Dark Cloud",4,"Heavy Rainfall")</f>
        <v>Clear Sky</v>
      </c>
      <c r="I440" s="26">
        <f>Sheet5!E440*41</f>
        <v>9.02</v>
      </c>
      <c r="J440" s="27">
        <v>0.55000000000000004</v>
      </c>
      <c r="K440">
        <v>0.22389999999999999</v>
      </c>
      <c r="L440">
        <v>1</v>
      </c>
      <c r="M440">
        <v>100</v>
      </c>
      <c r="N440">
        <v>101</v>
      </c>
    </row>
    <row r="441" spans="1:14" x14ac:dyDescent="0.3">
      <c r="A441">
        <v>440</v>
      </c>
      <c r="B441" s="21">
        <v>40563</v>
      </c>
      <c r="C441" s="25" t="s">
        <v>16</v>
      </c>
      <c r="D441" s="25" t="str" cm="1">
        <f t="array" ref="D441">_xlfn.SWITCH(Sheet5!A441,1,"JANUARY",2,"FEBRUARY")</f>
        <v>JANUARY</v>
      </c>
      <c r="E441">
        <v>8</v>
      </c>
      <c r="F441" t="str" cm="1">
        <f t="array" ref="F441">_xlfn.SWITCH(Sheet5!C441,FALSE,"NO",TRUE,"YES")</f>
        <v>NO</v>
      </c>
      <c r="G441" t="str" cm="1">
        <f t="array" ref="G441">_xlfn.SWITCH(Sheet5!B441,0,"Sunday",1,"Monday",2,"Tuesday",3,"Wednesday",4,"Thursday",5,"Friday",6,"Saturday")</f>
        <v>Thursday</v>
      </c>
      <c r="H441" t="str" cm="1">
        <f t="array" ref="H441">_xlfn.SWITCH(Sheet5!D441, 1, "Clear Sky", 2, "Mist", 3, "Dark Cloud",4,"Heavy Rainfall")</f>
        <v>Clear Sky</v>
      </c>
      <c r="I441" s="26">
        <f>Sheet5!E441*41</f>
        <v>9.02</v>
      </c>
      <c r="J441" s="27">
        <v>0.55000000000000004</v>
      </c>
      <c r="K441">
        <v>0.28360000000000002</v>
      </c>
      <c r="L441">
        <v>2</v>
      </c>
      <c r="M441">
        <v>247</v>
      </c>
      <c r="N441">
        <v>249</v>
      </c>
    </row>
    <row r="442" spans="1:14" x14ac:dyDescent="0.3">
      <c r="A442">
        <v>441</v>
      </c>
      <c r="B442" s="21">
        <v>40563</v>
      </c>
      <c r="C442" s="25" t="s">
        <v>16</v>
      </c>
      <c r="D442" s="25" t="str" cm="1">
        <f t="array" ref="D442">_xlfn.SWITCH(Sheet5!A442,1,"JANUARY",2,"FEBRUARY")</f>
        <v>JANUARY</v>
      </c>
      <c r="E442">
        <v>9</v>
      </c>
      <c r="F442" t="str" cm="1">
        <f t="array" ref="F442">_xlfn.SWITCH(Sheet5!C442,FALSE,"NO",TRUE,"YES")</f>
        <v>NO</v>
      </c>
      <c r="G442" t="str" cm="1">
        <f t="array" ref="G442">_xlfn.SWITCH(Sheet5!B442,0,"Sunday",1,"Monday",2,"Tuesday",3,"Wednesday",4,"Thursday",5,"Friday",6,"Saturday")</f>
        <v>Thursday</v>
      </c>
      <c r="H442" t="str" cm="1">
        <f t="array" ref="H442">_xlfn.SWITCH(Sheet5!D442, 1, "Clear Sky", 2, "Mist", 3, "Dark Cloud",4,"Heavy Rainfall")</f>
        <v>Mist</v>
      </c>
      <c r="I442" s="26">
        <f>Sheet5!E442*41</f>
        <v>9.84</v>
      </c>
      <c r="J442" s="27">
        <v>0.52</v>
      </c>
      <c r="K442">
        <v>0.22389999999999999</v>
      </c>
      <c r="L442">
        <v>3</v>
      </c>
      <c r="M442">
        <v>140</v>
      </c>
      <c r="N442">
        <v>143</v>
      </c>
    </row>
    <row r="443" spans="1:14" x14ac:dyDescent="0.3">
      <c r="A443">
        <v>442</v>
      </c>
      <c r="B443" s="21">
        <v>40563</v>
      </c>
      <c r="C443" s="25" t="s">
        <v>16</v>
      </c>
      <c r="D443" s="25" t="str" cm="1">
        <f t="array" ref="D443">_xlfn.SWITCH(Sheet5!A443,1,"JANUARY",2,"FEBRUARY")</f>
        <v>JANUARY</v>
      </c>
      <c r="E443">
        <v>10</v>
      </c>
      <c r="F443" t="str" cm="1">
        <f t="array" ref="F443">_xlfn.SWITCH(Sheet5!C443,FALSE,"NO",TRUE,"YES")</f>
        <v>NO</v>
      </c>
      <c r="G443" t="str" cm="1">
        <f t="array" ref="G443">_xlfn.SWITCH(Sheet5!B443,0,"Sunday",1,"Monday",2,"Tuesday",3,"Wednesday",4,"Thursday",5,"Friday",6,"Saturday")</f>
        <v>Thursday</v>
      </c>
      <c r="H443" t="str" cm="1">
        <f t="array" ref="H443">_xlfn.SWITCH(Sheet5!D443, 1, "Clear Sky", 2, "Mist", 3, "Dark Cloud",4,"Heavy Rainfall")</f>
        <v>Clear Sky</v>
      </c>
      <c r="I443" s="26">
        <f>Sheet5!E443*41</f>
        <v>10.66</v>
      </c>
      <c r="J443" s="27">
        <v>0.48</v>
      </c>
      <c r="K443">
        <v>0.29849999999999999</v>
      </c>
      <c r="L443">
        <v>1</v>
      </c>
      <c r="M443">
        <v>56</v>
      </c>
      <c r="N443">
        <v>57</v>
      </c>
    </row>
    <row r="444" spans="1:14" x14ac:dyDescent="0.3">
      <c r="A444">
        <v>443</v>
      </c>
      <c r="B444" s="21">
        <v>40563</v>
      </c>
      <c r="C444" s="25" t="s">
        <v>16</v>
      </c>
      <c r="D444" s="25" t="str" cm="1">
        <f t="array" ref="D444">_xlfn.SWITCH(Sheet5!A444,1,"JANUARY",2,"FEBRUARY")</f>
        <v>JANUARY</v>
      </c>
      <c r="E444">
        <v>11</v>
      </c>
      <c r="F444" t="str" cm="1">
        <f t="array" ref="F444">_xlfn.SWITCH(Sheet5!C444,FALSE,"NO",TRUE,"YES")</f>
        <v>NO</v>
      </c>
      <c r="G444" t="str" cm="1">
        <f t="array" ref="G444">_xlfn.SWITCH(Sheet5!B444,0,"Sunday",1,"Monday",2,"Tuesday",3,"Wednesday",4,"Thursday",5,"Friday",6,"Saturday")</f>
        <v>Thursday</v>
      </c>
      <c r="H444" t="str" cm="1">
        <f t="array" ref="H444">_xlfn.SWITCH(Sheet5!D444, 1, "Clear Sky", 2, "Mist", 3, "Dark Cloud",4,"Heavy Rainfall")</f>
        <v>Mist</v>
      </c>
      <c r="I444" s="26">
        <f>Sheet5!E444*41</f>
        <v>11.48</v>
      </c>
      <c r="J444" s="27">
        <v>0.45</v>
      </c>
      <c r="K444">
        <v>0.16420000000000001</v>
      </c>
      <c r="L444">
        <v>5</v>
      </c>
      <c r="M444">
        <v>63</v>
      </c>
      <c r="N444">
        <v>68</v>
      </c>
    </row>
    <row r="445" spans="1:14" x14ac:dyDescent="0.3">
      <c r="A445">
        <v>444</v>
      </c>
      <c r="B445" s="21">
        <v>40563</v>
      </c>
      <c r="C445" s="25" t="s">
        <v>16</v>
      </c>
      <c r="D445" s="25" t="str" cm="1">
        <f t="array" ref="D445">_xlfn.SWITCH(Sheet5!A445,1,"JANUARY",2,"FEBRUARY")</f>
        <v>JANUARY</v>
      </c>
      <c r="E445">
        <v>12</v>
      </c>
      <c r="F445" t="str" cm="1">
        <f t="array" ref="F445">_xlfn.SWITCH(Sheet5!C445,FALSE,"NO",TRUE,"YES")</f>
        <v>NO</v>
      </c>
      <c r="G445" t="str" cm="1">
        <f t="array" ref="G445">_xlfn.SWITCH(Sheet5!B445,0,"Sunday",1,"Monday",2,"Tuesday",3,"Wednesday",4,"Thursday",5,"Friday",6,"Saturday")</f>
        <v>Thursday</v>
      </c>
      <c r="H445" t="str" cm="1">
        <f t="array" ref="H445">_xlfn.SWITCH(Sheet5!D445, 1, "Clear Sky", 2, "Mist", 3, "Dark Cloud",4,"Heavy Rainfall")</f>
        <v>Mist</v>
      </c>
      <c r="I445" s="26">
        <f>Sheet5!E445*41</f>
        <v>12.299999999999999</v>
      </c>
      <c r="J445" s="27">
        <v>0.42</v>
      </c>
      <c r="K445">
        <v>0</v>
      </c>
      <c r="L445">
        <v>7</v>
      </c>
      <c r="M445">
        <v>77</v>
      </c>
      <c r="N445">
        <v>84</v>
      </c>
    </row>
    <row r="446" spans="1:14" x14ac:dyDescent="0.3">
      <c r="A446">
        <v>445</v>
      </c>
      <c r="B446" s="21">
        <v>40563</v>
      </c>
      <c r="C446" s="25" t="s">
        <v>16</v>
      </c>
      <c r="D446" s="25" t="str" cm="1">
        <f t="array" ref="D446">_xlfn.SWITCH(Sheet5!A446,1,"JANUARY",2,"FEBRUARY")</f>
        <v>JANUARY</v>
      </c>
      <c r="E446">
        <v>13</v>
      </c>
      <c r="F446" t="str" cm="1">
        <f t="array" ref="F446">_xlfn.SWITCH(Sheet5!C446,FALSE,"NO",TRUE,"YES")</f>
        <v>NO</v>
      </c>
      <c r="G446" t="str" cm="1">
        <f t="array" ref="G446">_xlfn.SWITCH(Sheet5!B446,0,"Sunday",1,"Monday",2,"Tuesday",3,"Wednesday",4,"Thursday",5,"Friday",6,"Saturday")</f>
        <v>Thursday</v>
      </c>
      <c r="H446" t="str" cm="1">
        <f t="array" ref="H446">_xlfn.SWITCH(Sheet5!D446, 1, "Clear Sky", 2, "Mist", 3, "Dark Cloud",4,"Heavy Rainfall")</f>
        <v>Mist</v>
      </c>
      <c r="I446" s="26">
        <f>Sheet5!E446*41</f>
        <v>11.48</v>
      </c>
      <c r="J446" s="27">
        <v>0.45</v>
      </c>
      <c r="K446">
        <v>0.1045</v>
      </c>
      <c r="L446">
        <v>12</v>
      </c>
      <c r="M446">
        <v>86</v>
      </c>
      <c r="N446">
        <v>98</v>
      </c>
    </row>
    <row r="447" spans="1:14" x14ac:dyDescent="0.3">
      <c r="A447">
        <v>446</v>
      </c>
      <c r="B447" s="21">
        <v>40563</v>
      </c>
      <c r="C447" s="25" t="s">
        <v>16</v>
      </c>
      <c r="D447" s="25" t="str" cm="1">
        <f t="array" ref="D447">_xlfn.SWITCH(Sheet5!A447,1,"JANUARY",2,"FEBRUARY")</f>
        <v>JANUARY</v>
      </c>
      <c r="E447">
        <v>14</v>
      </c>
      <c r="F447" t="str" cm="1">
        <f t="array" ref="F447">_xlfn.SWITCH(Sheet5!C447,FALSE,"NO",TRUE,"YES")</f>
        <v>NO</v>
      </c>
      <c r="G447" t="str" cm="1">
        <f t="array" ref="G447">_xlfn.SWITCH(Sheet5!B447,0,"Sunday",1,"Monday",2,"Tuesday",3,"Wednesday",4,"Thursday",5,"Friday",6,"Saturday")</f>
        <v>Thursday</v>
      </c>
      <c r="H447" t="str" cm="1">
        <f t="array" ref="H447">_xlfn.SWITCH(Sheet5!D447, 1, "Clear Sky", 2, "Mist", 3, "Dark Cloud",4,"Heavy Rainfall")</f>
        <v>Mist</v>
      </c>
      <c r="I447" s="26">
        <f>Sheet5!E447*41</f>
        <v>12.299999999999999</v>
      </c>
      <c r="J447" s="27">
        <v>0.45</v>
      </c>
      <c r="K447">
        <v>0.1343</v>
      </c>
      <c r="L447">
        <v>6</v>
      </c>
      <c r="M447">
        <v>75</v>
      </c>
      <c r="N447">
        <v>81</v>
      </c>
    </row>
    <row r="448" spans="1:14" x14ac:dyDescent="0.3">
      <c r="A448">
        <v>447</v>
      </c>
      <c r="B448" s="21">
        <v>40563</v>
      </c>
      <c r="C448" s="25" t="s">
        <v>16</v>
      </c>
      <c r="D448" s="25" t="str" cm="1">
        <f t="array" ref="D448">_xlfn.SWITCH(Sheet5!A448,1,"JANUARY",2,"FEBRUARY")</f>
        <v>JANUARY</v>
      </c>
      <c r="E448">
        <v>15</v>
      </c>
      <c r="F448" t="str" cm="1">
        <f t="array" ref="F448">_xlfn.SWITCH(Sheet5!C448,FALSE,"NO",TRUE,"YES")</f>
        <v>NO</v>
      </c>
      <c r="G448" t="str" cm="1">
        <f t="array" ref="G448">_xlfn.SWITCH(Sheet5!B448,0,"Sunday",1,"Monday",2,"Tuesday",3,"Wednesday",4,"Thursday",5,"Friday",6,"Saturday")</f>
        <v>Thursday</v>
      </c>
      <c r="H448" t="str" cm="1">
        <f t="array" ref="H448">_xlfn.SWITCH(Sheet5!D448, 1, "Clear Sky", 2, "Mist", 3, "Dark Cloud",4,"Heavy Rainfall")</f>
        <v>Mist</v>
      </c>
      <c r="I448" s="26">
        <f>Sheet5!E448*41</f>
        <v>13.120000000000001</v>
      </c>
      <c r="J448" s="27">
        <v>0.45</v>
      </c>
      <c r="K448">
        <v>0.19400000000000001</v>
      </c>
      <c r="L448">
        <v>8</v>
      </c>
      <c r="M448">
        <v>62</v>
      </c>
      <c r="N448">
        <v>70</v>
      </c>
    </row>
    <row r="449" spans="1:14" x14ac:dyDescent="0.3">
      <c r="A449">
        <v>448</v>
      </c>
      <c r="B449" s="21">
        <v>40563</v>
      </c>
      <c r="C449" s="25" t="s">
        <v>16</v>
      </c>
      <c r="D449" s="25" t="str" cm="1">
        <f t="array" ref="D449">_xlfn.SWITCH(Sheet5!A449,1,"JANUARY",2,"FEBRUARY")</f>
        <v>JANUARY</v>
      </c>
      <c r="E449">
        <v>16</v>
      </c>
      <c r="F449" t="str" cm="1">
        <f t="array" ref="F449">_xlfn.SWITCH(Sheet5!C449,FALSE,"NO",TRUE,"YES")</f>
        <v>NO</v>
      </c>
      <c r="G449" t="str" cm="1">
        <f t="array" ref="G449">_xlfn.SWITCH(Sheet5!B449,0,"Sunday",1,"Monday",2,"Tuesday",3,"Wednesday",4,"Thursday",5,"Friday",6,"Saturday")</f>
        <v>Thursday</v>
      </c>
      <c r="H449" t="str" cm="1">
        <f t="array" ref="H449">_xlfn.SWITCH(Sheet5!D449, 1, "Clear Sky", 2, "Mist", 3, "Dark Cloud",4,"Heavy Rainfall")</f>
        <v>Mist</v>
      </c>
      <c r="I449" s="26">
        <f>Sheet5!E449*41</f>
        <v>12.299999999999999</v>
      </c>
      <c r="J449" s="27">
        <v>0.49</v>
      </c>
      <c r="K449">
        <v>0.1343</v>
      </c>
      <c r="L449">
        <v>8</v>
      </c>
      <c r="M449">
        <v>83</v>
      </c>
      <c r="N449">
        <v>91</v>
      </c>
    </row>
    <row r="450" spans="1:14" x14ac:dyDescent="0.3">
      <c r="A450">
        <v>449</v>
      </c>
      <c r="B450" s="21">
        <v>40563</v>
      </c>
      <c r="C450" s="25" t="s">
        <v>16</v>
      </c>
      <c r="D450" s="25" t="str" cm="1">
        <f t="array" ref="D450">_xlfn.SWITCH(Sheet5!A450,1,"JANUARY",2,"FEBRUARY")</f>
        <v>JANUARY</v>
      </c>
      <c r="E450">
        <v>17</v>
      </c>
      <c r="F450" t="str" cm="1">
        <f t="array" ref="F450">_xlfn.SWITCH(Sheet5!C450,FALSE,"NO",TRUE,"YES")</f>
        <v>NO</v>
      </c>
      <c r="G450" t="str" cm="1">
        <f t="array" ref="G450">_xlfn.SWITCH(Sheet5!B450,0,"Sunday",1,"Monday",2,"Tuesday",3,"Wednesday",4,"Thursday",5,"Friday",6,"Saturday")</f>
        <v>Thursday</v>
      </c>
      <c r="H450" t="str" cm="1">
        <f t="array" ref="H450">_xlfn.SWITCH(Sheet5!D450, 1, "Clear Sky", 2, "Mist", 3, "Dark Cloud",4,"Heavy Rainfall")</f>
        <v>Mist</v>
      </c>
      <c r="I450" s="26">
        <f>Sheet5!E450*41</f>
        <v>12.299999999999999</v>
      </c>
      <c r="J450" s="27">
        <v>0.49</v>
      </c>
      <c r="K450">
        <v>0.1045</v>
      </c>
      <c r="L450">
        <v>8</v>
      </c>
      <c r="M450">
        <v>207</v>
      </c>
      <c r="N450">
        <v>215</v>
      </c>
    </row>
    <row r="451" spans="1:14" x14ac:dyDescent="0.3">
      <c r="A451">
        <v>450</v>
      </c>
      <c r="B451" s="21">
        <v>40563</v>
      </c>
      <c r="C451" s="25" t="s">
        <v>16</v>
      </c>
      <c r="D451" s="25" t="str" cm="1">
        <f t="array" ref="D451">_xlfn.SWITCH(Sheet5!A451,1,"JANUARY",2,"FEBRUARY")</f>
        <v>JANUARY</v>
      </c>
      <c r="E451">
        <v>18</v>
      </c>
      <c r="F451" t="str" cm="1">
        <f t="array" ref="F451">_xlfn.SWITCH(Sheet5!C451,FALSE,"NO",TRUE,"YES")</f>
        <v>NO</v>
      </c>
      <c r="G451" t="str" cm="1">
        <f t="array" ref="G451">_xlfn.SWITCH(Sheet5!B451,0,"Sunday",1,"Monday",2,"Tuesday",3,"Wednesday",4,"Thursday",5,"Friday",6,"Saturday")</f>
        <v>Thursday</v>
      </c>
      <c r="H451" t="str" cm="1">
        <f t="array" ref="H451">_xlfn.SWITCH(Sheet5!D451, 1, "Clear Sky", 2, "Mist", 3, "Dark Cloud",4,"Heavy Rainfall")</f>
        <v>Mist</v>
      </c>
      <c r="I451" s="26">
        <f>Sheet5!E451*41</f>
        <v>10.66</v>
      </c>
      <c r="J451" s="27">
        <v>0.56000000000000005</v>
      </c>
      <c r="K451">
        <v>0.19400000000000001</v>
      </c>
      <c r="L451">
        <v>1</v>
      </c>
      <c r="M451">
        <v>184</v>
      </c>
      <c r="N451">
        <v>185</v>
      </c>
    </row>
    <row r="452" spans="1:14" x14ac:dyDescent="0.3">
      <c r="A452">
        <v>451</v>
      </c>
      <c r="B452" s="21">
        <v>40563</v>
      </c>
      <c r="C452" s="25" t="s">
        <v>16</v>
      </c>
      <c r="D452" s="25" t="str" cm="1">
        <f t="array" ref="D452">_xlfn.SWITCH(Sheet5!A452,1,"JANUARY",2,"FEBRUARY")</f>
        <v>JANUARY</v>
      </c>
      <c r="E452">
        <v>19</v>
      </c>
      <c r="F452" t="str" cm="1">
        <f t="array" ref="F452">_xlfn.SWITCH(Sheet5!C452,FALSE,"NO",TRUE,"YES")</f>
        <v>NO</v>
      </c>
      <c r="G452" t="str" cm="1">
        <f t="array" ref="G452">_xlfn.SWITCH(Sheet5!B452,0,"Sunday",1,"Monday",2,"Tuesday",3,"Wednesday",4,"Thursday",5,"Friday",6,"Saturday")</f>
        <v>Thursday</v>
      </c>
      <c r="H452" t="str" cm="1">
        <f t="array" ref="H452">_xlfn.SWITCH(Sheet5!D452, 1, "Clear Sky", 2, "Mist", 3, "Dark Cloud",4,"Heavy Rainfall")</f>
        <v>Clear Sky</v>
      </c>
      <c r="I452" s="26">
        <f>Sheet5!E452*41</f>
        <v>10.66</v>
      </c>
      <c r="J452" s="27">
        <v>0.56000000000000005</v>
      </c>
      <c r="K452">
        <v>0.32840000000000003</v>
      </c>
      <c r="L452">
        <v>6</v>
      </c>
      <c r="M452">
        <v>146</v>
      </c>
      <c r="N452">
        <v>152</v>
      </c>
    </row>
    <row r="453" spans="1:14" x14ac:dyDescent="0.3">
      <c r="A453">
        <v>452</v>
      </c>
      <c r="B453" s="21">
        <v>40563</v>
      </c>
      <c r="C453" s="25" t="s">
        <v>16</v>
      </c>
      <c r="D453" s="25" t="str" cm="1">
        <f t="array" ref="D453">_xlfn.SWITCH(Sheet5!A453,1,"JANUARY",2,"FEBRUARY")</f>
        <v>JANUARY</v>
      </c>
      <c r="E453">
        <v>20</v>
      </c>
      <c r="F453" t="str" cm="1">
        <f t="array" ref="F453">_xlfn.SWITCH(Sheet5!C453,FALSE,"NO",TRUE,"YES")</f>
        <v>NO</v>
      </c>
      <c r="G453" t="str" cm="1">
        <f t="array" ref="G453">_xlfn.SWITCH(Sheet5!B453,0,"Sunday",1,"Monday",2,"Tuesday",3,"Wednesday",4,"Thursday",5,"Friday",6,"Saturday")</f>
        <v>Thursday</v>
      </c>
      <c r="H453" t="str" cm="1">
        <f t="array" ref="H453">_xlfn.SWITCH(Sheet5!D453, 1, "Clear Sky", 2, "Mist", 3, "Dark Cloud",4,"Heavy Rainfall")</f>
        <v>Mist</v>
      </c>
      <c r="I453" s="26">
        <f>Sheet5!E453*41</f>
        <v>10.66</v>
      </c>
      <c r="J453" s="27">
        <v>0.6</v>
      </c>
      <c r="K453">
        <v>0.28360000000000002</v>
      </c>
      <c r="L453">
        <v>2</v>
      </c>
      <c r="M453">
        <v>124</v>
      </c>
      <c r="N453">
        <v>126</v>
      </c>
    </row>
    <row r="454" spans="1:14" x14ac:dyDescent="0.3">
      <c r="A454">
        <v>453</v>
      </c>
      <c r="B454" s="21">
        <v>40563</v>
      </c>
      <c r="C454" s="25" t="s">
        <v>16</v>
      </c>
      <c r="D454" s="25" t="str" cm="1">
        <f t="array" ref="D454">_xlfn.SWITCH(Sheet5!A454,1,"JANUARY",2,"FEBRUARY")</f>
        <v>JANUARY</v>
      </c>
      <c r="E454">
        <v>21</v>
      </c>
      <c r="F454" t="str" cm="1">
        <f t="array" ref="F454">_xlfn.SWITCH(Sheet5!C454,FALSE,"NO",TRUE,"YES")</f>
        <v>NO</v>
      </c>
      <c r="G454" t="str" cm="1">
        <f t="array" ref="G454">_xlfn.SWITCH(Sheet5!B454,0,"Sunday",1,"Monday",2,"Tuesday",3,"Wednesday",4,"Thursday",5,"Friday",6,"Saturday")</f>
        <v>Thursday</v>
      </c>
      <c r="H454" t="str" cm="1">
        <f t="array" ref="H454">_xlfn.SWITCH(Sheet5!D454, 1, "Clear Sky", 2, "Mist", 3, "Dark Cloud",4,"Heavy Rainfall")</f>
        <v>Mist</v>
      </c>
      <c r="I454" s="26">
        <f>Sheet5!E454*41</f>
        <v>9.84</v>
      </c>
      <c r="J454" s="27">
        <v>0.6</v>
      </c>
      <c r="K454">
        <v>0.25369999999999998</v>
      </c>
      <c r="L454">
        <v>3</v>
      </c>
      <c r="M454">
        <v>54</v>
      </c>
      <c r="N454">
        <v>57</v>
      </c>
    </row>
    <row r="455" spans="1:14" x14ac:dyDescent="0.3">
      <c r="A455">
        <v>454</v>
      </c>
      <c r="B455" s="21">
        <v>40563</v>
      </c>
      <c r="C455" s="25" t="s">
        <v>16</v>
      </c>
      <c r="D455" s="25" t="str" cm="1">
        <f t="array" ref="D455">_xlfn.SWITCH(Sheet5!A455,1,"JANUARY",2,"FEBRUARY")</f>
        <v>JANUARY</v>
      </c>
      <c r="E455">
        <v>22</v>
      </c>
      <c r="F455" t="str" cm="1">
        <f t="array" ref="F455">_xlfn.SWITCH(Sheet5!C455,FALSE,"NO",TRUE,"YES")</f>
        <v>NO</v>
      </c>
      <c r="G455" t="str" cm="1">
        <f t="array" ref="G455">_xlfn.SWITCH(Sheet5!B455,0,"Sunday",1,"Monday",2,"Tuesday",3,"Wednesday",4,"Thursday",5,"Friday",6,"Saturday")</f>
        <v>Thursday</v>
      </c>
      <c r="H455" t="str" cm="1">
        <f t="array" ref="H455">_xlfn.SWITCH(Sheet5!D455, 1, "Clear Sky", 2, "Mist", 3, "Dark Cloud",4,"Heavy Rainfall")</f>
        <v>Mist</v>
      </c>
      <c r="I455" s="26">
        <f>Sheet5!E455*41</f>
        <v>9.84</v>
      </c>
      <c r="J455" s="27">
        <v>0.65</v>
      </c>
      <c r="K455">
        <v>0.28360000000000002</v>
      </c>
      <c r="L455">
        <v>0</v>
      </c>
      <c r="M455">
        <v>56</v>
      </c>
      <c r="N455">
        <v>56</v>
      </c>
    </row>
    <row r="456" spans="1:14" x14ac:dyDescent="0.3">
      <c r="A456">
        <v>455</v>
      </c>
      <c r="B456" s="21">
        <v>40563</v>
      </c>
      <c r="C456" s="25" t="s">
        <v>16</v>
      </c>
      <c r="D456" s="25" t="str" cm="1">
        <f t="array" ref="D456">_xlfn.SWITCH(Sheet5!A456,1,"JANUARY",2,"FEBRUARY")</f>
        <v>JANUARY</v>
      </c>
      <c r="E456">
        <v>23</v>
      </c>
      <c r="F456" t="str" cm="1">
        <f t="array" ref="F456">_xlfn.SWITCH(Sheet5!C456,FALSE,"NO",TRUE,"YES")</f>
        <v>NO</v>
      </c>
      <c r="G456" t="str" cm="1">
        <f t="array" ref="G456">_xlfn.SWITCH(Sheet5!B456,0,"Sunday",1,"Monday",2,"Tuesday",3,"Wednesday",4,"Thursday",5,"Friday",6,"Saturday")</f>
        <v>Thursday</v>
      </c>
      <c r="H456" t="str" cm="1">
        <f t="array" ref="H456">_xlfn.SWITCH(Sheet5!D456, 1, "Clear Sky", 2, "Mist", 3, "Dark Cloud",4,"Heavy Rainfall")</f>
        <v>Mist</v>
      </c>
      <c r="I456" s="26">
        <f>Sheet5!E456*41</f>
        <v>9.84</v>
      </c>
      <c r="J456" s="27">
        <v>0.65</v>
      </c>
      <c r="K456">
        <v>0.32840000000000003</v>
      </c>
      <c r="L456">
        <v>3</v>
      </c>
      <c r="M456">
        <v>28</v>
      </c>
      <c r="N456">
        <v>31</v>
      </c>
    </row>
    <row r="457" spans="1:14" x14ac:dyDescent="0.3">
      <c r="A457">
        <v>456</v>
      </c>
      <c r="B457" s="21">
        <v>40564</v>
      </c>
      <c r="C457" s="25" t="s">
        <v>16</v>
      </c>
      <c r="D457" s="25" t="str" cm="1">
        <f t="array" ref="D457">_xlfn.SWITCH(Sheet5!A457,1,"JANUARY",2,"FEBRUARY")</f>
        <v>JANUARY</v>
      </c>
      <c r="E457">
        <v>0</v>
      </c>
      <c r="F457" t="str" cm="1">
        <f t="array" ref="F457">_xlfn.SWITCH(Sheet5!C457,FALSE,"NO",TRUE,"YES")</f>
        <v>NO</v>
      </c>
      <c r="G457" t="str" cm="1">
        <f t="array" ref="G457">_xlfn.SWITCH(Sheet5!B457,0,"Sunday",1,"Monday",2,"Tuesday",3,"Wednesday",4,"Thursday",5,"Friday",6,"Saturday")</f>
        <v>Friday</v>
      </c>
      <c r="H457" t="str" cm="1">
        <f t="array" ref="H457">_xlfn.SWITCH(Sheet5!D457, 1, "Clear Sky", 2, "Mist", 3, "Dark Cloud",4,"Heavy Rainfall")</f>
        <v>Mist</v>
      </c>
      <c r="I457" s="26">
        <f>Sheet5!E457*41</f>
        <v>9.84</v>
      </c>
      <c r="J457" s="27">
        <v>0.7</v>
      </c>
      <c r="K457">
        <v>0.25369999999999998</v>
      </c>
      <c r="L457">
        <v>1</v>
      </c>
      <c r="M457">
        <v>20</v>
      </c>
      <c r="N457">
        <v>21</v>
      </c>
    </row>
    <row r="458" spans="1:14" x14ac:dyDescent="0.3">
      <c r="A458">
        <v>457</v>
      </c>
      <c r="B458" s="21">
        <v>40564</v>
      </c>
      <c r="C458" s="25" t="s">
        <v>16</v>
      </c>
      <c r="D458" s="25" t="str" cm="1">
        <f t="array" ref="D458">_xlfn.SWITCH(Sheet5!A458,1,"JANUARY",2,"FEBRUARY")</f>
        <v>JANUARY</v>
      </c>
      <c r="E458">
        <v>1</v>
      </c>
      <c r="F458" t="str" cm="1">
        <f t="array" ref="F458">_xlfn.SWITCH(Sheet5!C458,FALSE,"NO",TRUE,"YES")</f>
        <v>NO</v>
      </c>
      <c r="G458" t="str" cm="1">
        <f t="array" ref="G458">_xlfn.SWITCH(Sheet5!B458,0,"Sunday",1,"Monday",2,"Tuesday",3,"Wednesday",4,"Thursday",5,"Friday",6,"Saturday")</f>
        <v>Friday</v>
      </c>
      <c r="H458" t="str" cm="1">
        <f t="array" ref="H458">_xlfn.SWITCH(Sheet5!D458, 1, "Clear Sky", 2, "Mist", 3, "Dark Cloud",4,"Heavy Rainfall")</f>
        <v>Mist</v>
      </c>
      <c r="I458" s="26">
        <f>Sheet5!E458*41</f>
        <v>9.84</v>
      </c>
      <c r="J458" s="27">
        <v>0.7</v>
      </c>
      <c r="K458">
        <v>0.25369999999999998</v>
      </c>
      <c r="L458">
        <v>0</v>
      </c>
      <c r="M458">
        <v>6</v>
      </c>
      <c r="N458">
        <v>6</v>
      </c>
    </row>
    <row r="459" spans="1:14" x14ac:dyDescent="0.3">
      <c r="A459">
        <v>458</v>
      </c>
      <c r="B459" s="21">
        <v>40564</v>
      </c>
      <c r="C459" s="25" t="s">
        <v>16</v>
      </c>
      <c r="D459" s="25" t="str" cm="1">
        <f t="array" ref="D459">_xlfn.SWITCH(Sheet5!A459,1,"JANUARY",2,"FEBRUARY")</f>
        <v>JANUARY</v>
      </c>
      <c r="E459">
        <v>2</v>
      </c>
      <c r="F459" t="str" cm="1">
        <f t="array" ref="F459">_xlfn.SWITCH(Sheet5!C459,FALSE,"NO",TRUE,"YES")</f>
        <v>NO</v>
      </c>
      <c r="G459" t="str" cm="1">
        <f t="array" ref="G459">_xlfn.SWITCH(Sheet5!B459,0,"Sunday",1,"Monday",2,"Tuesday",3,"Wednesday",4,"Thursday",5,"Friday",6,"Saturday")</f>
        <v>Friday</v>
      </c>
      <c r="H459" t="str" cm="1">
        <f t="array" ref="H459">_xlfn.SWITCH(Sheet5!D459, 1, "Clear Sky", 2, "Mist", 3, "Dark Cloud",4,"Heavy Rainfall")</f>
        <v>Dark Cloud</v>
      </c>
      <c r="I459" s="26">
        <f>Sheet5!E459*41</f>
        <v>9.84</v>
      </c>
      <c r="J459" s="27">
        <v>0.75</v>
      </c>
      <c r="K459">
        <v>0.16420000000000001</v>
      </c>
      <c r="L459">
        <v>0</v>
      </c>
      <c r="M459">
        <v>2</v>
      </c>
      <c r="N459">
        <v>2</v>
      </c>
    </row>
    <row r="460" spans="1:14" x14ac:dyDescent="0.3">
      <c r="A460">
        <v>459</v>
      </c>
      <c r="B460" s="21">
        <v>40564</v>
      </c>
      <c r="C460" s="25" t="s">
        <v>16</v>
      </c>
      <c r="D460" s="25" t="str" cm="1">
        <f t="array" ref="D460">_xlfn.SWITCH(Sheet5!A460,1,"JANUARY",2,"FEBRUARY")</f>
        <v>JANUARY</v>
      </c>
      <c r="E460">
        <v>3</v>
      </c>
      <c r="F460" t="str" cm="1">
        <f t="array" ref="F460">_xlfn.SWITCH(Sheet5!C460,FALSE,"NO",TRUE,"YES")</f>
        <v>NO</v>
      </c>
      <c r="G460" t="str" cm="1">
        <f t="array" ref="G460">_xlfn.SWITCH(Sheet5!B460,0,"Sunday",1,"Monday",2,"Tuesday",3,"Wednesday",4,"Thursday",5,"Friday",6,"Saturday")</f>
        <v>Friday</v>
      </c>
      <c r="H460" t="str" cm="1">
        <f t="array" ref="H460">_xlfn.SWITCH(Sheet5!D460, 1, "Clear Sky", 2, "Mist", 3, "Dark Cloud",4,"Heavy Rainfall")</f>
        <v>Dark Cloud</v>
      </c>
      <c r="I460" s="26">
        <f>Sheet5!E460*41</f>
        <v>9.02</v>
      </c>
      <c r="J460" s="27">
        <v>0.8</v>
      </c>
      <c r="K460">
        <v>0.29849999999999999</v>
      </c>
      <c r="L460">
        <v>0</v>
      </c>
      <c r="M460">
        <v>1</v>
      </c>
      <c r="N460">
        <v>1</v>
      </c>
    </row>
    <row r="461" spans="1:14" x14ac:dyDescent="0.3">
      <c r="A461">
        <v>460</v>
      </c>
      <c r="B461" s="21">
        <v>40564</v>
      </c>
      <c r="C461" s="25" t="s">
        <v>16</v>
      </c>
      <c r="D461" s="25" t="str" cm="1">
        <f t="array" ref="D461">_xlfn.SWITCH(Sheet5!A461,1,"JANUARY",2,"FEBRUARY")</f>
        <v>JANUARY</v>
      </c>
      <c r="E461">
        <v>4</v>
      </c>
      <c r="F461" t="str" cm="1">
        <f t="array" ref="F461">_xlfn.SWITCH(Sheet5!C461,FALSE,"NO",TRUE,"YES")</f>
        <v>NO</v>
      </c>
      <c r="G461" t="str" cm="1">
        <f t="array" ref="G461">_xlfn.SWITCH(Sheet5!B461,0,"Sunday",1,"Monday",2,"Tuesday",3,"Wednesday",4,"Thursday",5,"Friday",6,"Saturday")</f>
        <v>Friday</v>
      </c>
      <c r="H461" t="str" cm="1">
        <f t="array" ref="H461">_xlfn.SWITCH(Sheet5!D461, 1, "Clear Sky", 2, "Mist", 3, "Dark Cloud",4,"Heavy Rainfall")</f>
        <v>Mist</v>
      </c>
      <c r="I461" s="26">
        <f>Sheet5!E461*41</f>
        <v>9.02</v>
      </c>
      <c r="J461" s="27">
        <v>0.87</v>
      </c>
      <c r="K461">
        <v>8.9599999999999999E-2</v>
      </c>
      <c r="L461">
        <v>0</v>
      </c>
      <c r="M461">
        <v>1</v>
      </c>
      <c r="N461">
        <v>1</v>
      </c>
    </row>
    <row r="462" spans="1:14" x14ac:dyDescent="0.3">
      <c r="A462">
        <v>461</v>
      </c>
      <c r="B462" s="21">
        <v>40564</v>
      </c>
      <c r="C462" s="25" t="s">
        <v>16</v>
      </c>
      <c r="D462" s="25" t="str" cm="1">
        <f t="array" ref="D462">_xlfn.SWITCH(Sheet5!A462,1,"JANUARY",2,"FEBRUARY")</f>
        <v>JANUARY</v>
      </c>
      <c r="E462">
        <v>5</v>
      </c>
      <c r="F462" t="str" cm="1">
        <f t="array" ref="F462">_xlfn.SWITCH(Sheet5!C462,FALSE,"NO",TRUE,"YES")</f>
        <v>NO</v>
      </c>
      <c r="G462" t="str" cm="1">
        <f t="array" ref="G462">_xlfn.SWITCH(Sheet5!B462,0,"Sunday",1,"Monday",2,"Tuesday",3,"Wednesday",4,"Thursday",5,"Friday",6,"Saturday")</f>
        <v>Friday</v>
      </c>
      <c r="H462" t="str" cm="1">
        <f t="array" ref="H462">_xlfn.SWITCH(Sheet5!D462, 1, "Clear Sky", 2, "Mist", 3, "Dark Cloud",4,"Heavy Rainfall")</f>
        <v>Clear Sky</v>
      </c>
      <c r="I462" s="26">
        <f>Sheet5!E462*41</f>
        <v>9.84</v>
      </c>
      <c r="J462" s="27">
        <v>0.6</v>
      </c>
      <c r="K462">
        <v>0.41789999999999999</v>
      </c>
      <c r="L462">
        <v>1</v>
      </c>
      <c r="M462">
        <v>4</v>
      </c>
      <c r="N462">
        <v>5</v>
      </c>
    </row>
    <row r="463" spans="1:14" x14ac:dyDescent="0.3">
      <c r="A463">
        <v>462</v>
      </c>
      <c r="B463" s="21">
        <v>40564</v>
      </c>
      <c r="C463" s="25" t="s">
        <v>16</v>
      </c>
      <c r="D463" s="25" t="str" cm="1">
        <f t="array" ref="D463">_xlfn.SWITCH(Sheet5!A463,1,"JANUARY",2,"FEBRUARY")</f>
        <v>JANUARY</v>
      </c>
      <c r="E463">
        <v>6</v>
      </c>
      <c r="F463" t="str" cm="1">
        <f t="array" ref="F463">_xlfn.SWITCH(Sheet5!C463,FALSE,"NO",TRUE,"YES")</f>
        <v>NO</v>
      </c>
      <c r="G463" t="str" cm="1">
        <f t="array" ref="G463">_xlfn.SWITCH(Sheet5!B463,0,"Sunday",1,"Monday",2,"Tuesday",3,"Wednesday",4,"Thursday",5,"Friday",6,"Saturday")</f>
        <v>Friday</v>
      </c>
      <c r="H463" t="str" cm="1">
        <f t="array" ref="H463">_xlfn.SWITCH(Sheet5!D463, 1, "Clear Sky", 2, "Mist", 3, "Dark Cloud",4,"Heavy Rainfall")</f>
        <v>Clear Sky</v>
      </c>
      <c r="I463" s="26">
        <f>Sheet5!E463*41</f>
        <v>9.02</v>
      </c>
      <c r="J463" s="27">
        <v>0.55000000000000004</v>
      </c>
      <c r="K463">
        <v>0.25369999999999998</v>
      </c>
      <c r="L463">
        <v>0</v>
      </c>
      <c r="M463">
        <v>27</v>
      </c>
      <c r="N463">
        <v>27</v>
      </c>
    </row>
    <row r="464" spans="1:14" x14ac:dyDescent="0.3">
      <c r="A464">
        <v>463</v>
      </c>
      <c r="B464" s="21">
        <v>40564</v>
      </c>
      <c r="C464" s="25" t="s">
        <v>16</v>
      </c>
      <c r="D464" s="25" t="str" cm="1">
        <f t="array" ref="D464">_xlfn.SWITCH(Sheet5!A464,1,"JANUARY",2,"FEBRUARY")</f>
        <v>JANUARY</v>
      </c>
      <c r="E464">
        <v>7</v>
      </c>
      <c r="F464" t="str" cm="1">
        <f t="array" ref="F464">_xlfn.SWITCH(Sheet5!C464,FALSE,"NO",TRUE,"YES")</f>
        <v>NO</v>
      </c>
      <c r="G464" t="str" cm="1">
        <f t="array" ref="G464">_xlfn.SWITCH(Sheet5!B464,0,"Sunday",1,"Monday",2,"Tuesday",3,"Wednesday",4,"Thursday",5,"Friday",6,"Saturday")</f>
        <v>Friday</v>
      </c>
      <c r="H464" t="str" cm="1">
        <f t="array" ref="H464">_xlfn.SWITCH(Sheet5!D464, 1, "Clear Sky", 2, "Mist", 3, "Dark Cloud",4,"Heavy Rainfall")</f>
        <v>Clear Sky</v>
      </c>
      <c r="I464" s="26">
        <f>Sheet5!E464*41</f>
        <v>8.2000000000000011</v>
      </c>
      <c r="J464" s="27">
        <v>0.51</v>
      </c>
      <c r="K464">
        <v>0.28360000000000002</v>
      </c>
      <c r="L464">
        <v>2</v>
      </c>
      <c r="M464">
        <v>66</v>
      </c>
      <c r="N464">
        <v>68</v>
      </c>
    </row>
    <row r="465" spans="1:14" x14ac:dyDescent="0.3">
      <c r="A465">
        <v>464</v>
      </c>
      <c r="B465" s="21">
        <v>40564</v>
      </c>
      <c r="C465" s="25" t="s">
        <v>16</v>
      </c>
      <c r="D465" s="25" t="str" cm="1">
        <f t="array" ref="D465">_xlfn.SWITCH(Sheet5!A465,1,"JANUARY",2,"FEBRUARY")</f>
        <v>JANUARY</v>
      </c>
      <c r="E465">
        <v>8</v>
      </c>
      <c r="F465" t="str" cm="1">
        <f t="array" ref="F465">_xlfn.SWITCH(Sheet5!C465,FALSE,"NO",TRUE,"YES")</f>
        <v>NO</v>
      </c>
      <c r="G465" t="str" cm="1">
        <f t="array" ref="G465">_xlfn.SWITCH(Sheet5!B465,0,"Sunday",1,"Monday",2,"Tuesday",3,"Wednesday",4,"Thursday",5,"Friday",6,"Saturday")</f>
        <v>Friday</v>
      </c>
      <c r="H465" t="str" cm="1">
        <f t="array" ref="H465">_xlfn.SWITCH(Sheet5!D465, 1, "Clear Sky", 2, "Mist", 3, "Dark Cloud",4,"Heavy Rainfall")</f>
        <v>Clear Sky</v>
      </c>
      <c r="I465" s="26">
        <f>Sheet5!E465*41</f>
        <v>8.2000000000000011</v>
      </c>
      <c r="J465" s="27">
        <v>0.47</v>
      </c>
      <c r="K465">
        <v>0.32840000000000003</v>
      </c>
      <c r="L465">
        <v>7</v>
      </c>
      <c r="M465">
        <v>210</v>
      </c>
      <c r="N465">
        <v>217</v>
      </c>
    </row>
    <row r="466" spans="1:14" x14ac:dyDescent="0.3">
      <c r="A466">
        <v>465</v>
      </c>
      <c r="B466" s="21">
        <v>40564</v>
      </c>
      <c r="C466" s="25" t="s">
        <v>16</v>
      </c>
      <c r="D466" s="25" t="str" cm="1">
        <f t="array" ref="D466">_xlfn.SWITCH(Sheet5!A466,1,"JANUARY",2,"FEBRUARY")</f>
        <v>JANUARY</v>
      </c>
      <c r="E466">
        <v>9</v>
      </c>
      <c r="F466" t="str" cm="1">
        <f t="array" ref="F466">_xlfn.SWITCH(Sheet5!C466,FALSE,"NO",TRUE,"YES")</f>
        <v>NO</v>
      </c>
      <c r="G466" t="str" cm="1">
        <f t="array" ref="G466">_xlfn.SWITCH(Sheet5!B466,0,"Sunday",1,"Monday",2,"Tuesday",3,"Wednesday",4,"Thursday",5,"Friday",6,"Saturday")</f>
        <v>Friday</v>
      </c>
      <c r="H466" t="str" cm="1">
        <f t="array" ref="H466">_xlfn.SWITCH(Sheet5!D466, 1, "Clear Sky", 2, "Mist", 3, "Dark Cloud",4,"Heavy Rainfall")</f>
        <v>Clear Sky</v>
      </c>
      <c r="I466" s="26">
        <f>Sheet5!E466*41</f>
        <v>8.2000000000000011</v>
      </c>
      <c r="J466" s="27">
        <v>0.51</v>
      </c>
      <c r="K466">
        <v>0.35820000000000002</v>
      </c>
      <c r="L466">
        <v>7</v>
      </c>
      <c r="M466">
        <v>159</v>
      </c>
      <c r="N466">
        <v>166</v>
      </c>
    </row>
    <row r="467" spans="1:14" x14ac:dyDescent="0.3">
      <c r="A467">
        <v>466</v>
      </c>
      <c r="B467" s="21">
        <v>40564</v>
      </c>
      <c r="C467" s="25" t="s">
        <v>16</v>
      </c>
      <c r="D467" s="25" t="str" cm="1">
        <f t="array" ref="D467">_xlfn.SWITCH(Sheet5!A467,1,"JANUARY",2,"FEBRUARY")</f>
        <v>JANUARY</v>
      </c>
      <c r="E467">
        <v>10</v>
      </c>
      <c r="F467" t="str" cm="1">
        <f t="array" ref="F467">_xlfn.SWITCH(Sheet5!C467,FALSE,"NO",TRUE,"YES")</f>
        <v>NO</v>
      </c>
      <c r="G467" t="str" cm="1">
        <f t="array" ref="G467">_xlfn.SWITCH(Sheet5!B467,0,"Sunday",1,"Monday",2,"Tuesday",3,"Wednesday",4,"Thursday",5,"Friday",6,"Saturday")</f>
        <v>Friday</v>
      </c>
      <c r="H467" t="str" cm="1">
        <f t="array" ref="H467">_xlfn.SWITCH(Sheet5!D467, 1, "Clear Sky", 2, "Mist", 3, "Dark Cloud",4,"Heavy Rainfall")</f>
        <v>Clear Sky</v>
      </c>
      <c r="I467" s="26">
        <f>Sheet5!E467*41</f>
        <v>8.2000000000000011</v>
      </c>
      <c r="J467" s="27">
        <v>0.47</v>
      </c>
      <c r="K467">
        <v>0.4627</v>
      </c>
      <c r="L467">
        <v>6</v>
      </c>
      <c r="M467">
        <v>57</v>
      </c>
      <c r="N467">
        <v>63</v>
      </c>
    </row>
    <row r="468" spans="1:14" x14ac:dyDescent="0.3">
      <c r="A468">
        <v>467</v>
      </c>
      <c r="B468" s="21">
        <v>40564</v>
      </c>
      <c r="C468" s="25" t="s">
        <v>16</v>
      </c>
      <c r="D468" s="25" t="str" cm="1">
        <f t="array" ref="D468">_xlfn.SWITCH(Sheet5!A468,1,"JANUARY",2,"FEBRUARY")</f>
        <v>JANUARY</v>
      </c>
      <c r="E468">
        <v>11</v>
      </c>
      <c r="F468" t="str" cm="1">
        <f t="array" ref="F468">_xlfn.SWITCH(Sheet5!C468,FALSE,"NO",TRUE,"YES")</f>
        <v>NO</v>
      </c>
      <c r="G468" t="str" cm="1">
        <f t="array" ref="G468">_xlfn.SWITCH(Sheet5!B468,0,"Sunday",1,"Monday",2,"Tuesday",3,"Wednesday",4,"Thursday",5,"Friday",6,"Saturday")</f>
        <v>Friday</v>
      </c>
      <c r="H468" t="str" cm="1">
        <f t="array" ref="H468">_xlfn.SWITCH(Sheet5!D468, 1, "Clear Sky", 2, "Mist", 3, "Dark Cloud",4,"Heavy Rainfall")</f>
        <v>Clear Sky</v>
      </c>
      <c r="I468" s="26">
        <f>Sheet5!E468*41</f>
        <v>9.02</v>
      </c>
      <c r="J468" s="27">
        <v>0.41</v>
      </c>
      <c r="K468">
        <v>0.4627</v>
      </c>
      <c r="L468">
        <v>6</v>
      </c>
      <c r="M468">
        <v>53</v>
      </c>
      <c r="N468">
        <v>59</v>
      </c>
    </row>
    <row r="469" spans="1:14" x14ac:dyDescent="0.3">
      <c r="A469">
        <v>468</v>
      </c>
      <c r="B469" s="21">
        <v>40564</v>
      </c>
      <c r="C469" s="25" t="s">
        <v>16</v>
      </c>
      <c r="D469" s="25" t="str" cm="1">
        <f t="array" ref="D469">_xlfn.SWITCH(Sheet5!A469,1,"JANUARY",2,"FEBRUARY")</f>
        <v>JANUARY</v>
      </c>
      <c r="E469">
        <v>12</v>
      </c>
      <c r="F469" t="str" cm="1">
        <f t="array" ref="F469">_xlfn.SWITCH(Sheet5!C469,FALSE,"NO",TRUE,"YES")</f>
        <v>NO</v>
      </c>
      <c r="G469" t="str" cm="1">
        <f t="array" ref="G469">_xlfn.SWITCH(Sheet5!B469,0,"Sunday",1,"Monday",2,"Tuesday",3,"Wednesday",4,"Thursday",5,"Friday",6,"Saturday")</f>
        <v>Friday</v>
      </c>
      <c r="H469" t="str" cm="1">
        <f t="array" ref="H469">_xlfn.SWITCH(Sheet5!D469, 1, "Clear Sky", 2, "Mist", 3, "Dark Cloud",4,"Heavy Rainfall")</f>
        <v>Clear Sky</v>
      </c>
      <c r="I469" s="26">
        <f>Sheet5!E469*41</f>
        <v>9.02</v>
      </c>
      <c r="J469" s="27">
        <v>0.27</v>
      </c>
      <c r="K469">
        <v>0.58209999999999995</v>
      </c>
      <c r="L469">
        <v>11</v>
      </c>
      <c r="M469">
        <v>67</v>
      </c>
      <c r="N469">
        <v>78</v>
      </c>
    </row>
    <row r="470" spans="1:14" x14ac:dyDescent="0.3">
      <c r="A470">
        <v>469</v>
      </c>
      <c r="B470" s="21">
        <v>40564</v>
      </c>
      <c r="C470" s="25" t="s">
        <v>16</v>
      </c>
      <c r="D470" s="25" t="str" cm="1">
        <f t="array" ref="D470">_xlfn.SWITCH(Sheet5!A470,1,"JANUARY",2,"FEBRUARY")</f>
        <v>JANUARY</v>
      </c>
      <c r="E470">
        <v>13</v>
      </c>
      <c r="F470" t="str" cm="1">
        <f t="array" ref="F470">_xlfn.SWITCH(Sheet5!C470,FALSE,"NO",TRUE,"YES")</f>
        <v>NO</v>
      </c>
      <c r="G470" t="str" cm="1">
        <f t="array" ref="G470">_xlfn.SWITCH(Sheet5!B470,0,"Sunday",1,"Monday",2,"Tuesday",3,"Wednesday",4,"Thursday",5,"Friday",6,"Saturday")</f>
        <v>Friday</v>
      </c>
      <c r="H470" t="str" cm="1">
        <f t="array" ref="H470">_xlfn.SWITCH(Sheet5!D470, 1, "Clear Sky", 2, "Mist", 3, "Dark Cloud",4,"Heavy Rainfall")</f>
        <v>Clear Sky</v>
      </c>
      <c r="I470" s="26">
        <f>Sheet5!E470*41</f>
        <v>8.2000000000000011</v>
      </c>
      <c r="J470" s="27">
        <v>0.21</v>
      </c>
      <c r="K470">
        <v>0.58209999999999995</v>
      </c>
      <c r="L470">
        <v>8</v>
      </c>
      <c r="M470">
        <v>65</v>
      </c>
      <c r="N470">
        <v>73</v>
      </c>
    </row>
    <row r="471" spans="1:14" x14ac:dyDescent="0.3">
      <c r="A471">
        <v>470</v>
      </c>
      <c r="B471" s="21">
        <v>40564</v>
      </c>
      <c r="C471" s="25" t="s">
        <v>16</v>
      </c>
      <c r="D471" s="25" t="str" cm="1">
        <f t="array" ref="D471">_xlfn.SWITCH(Sheet5!A471,1,"JANUARY",2,"FEBRUARY")</f>
        <v>JANUARY</v>
      </c>
      <c r="E471">
        <v>14</v>
      </c>
      <c r="F471" t="str" cm="1">
        <f t="array" ref="F471">_xlfn.SWITCH(Sheet5!C471,FALSE,"NO",TRUE,"YES")</f>
        <v>NO</v>
      </c>
      <c r="G471" t="str" cm="1">
        <f t="array" ref="G471">_xlfn.SWITCH(Sheet5!B471,0,"Sunday",1,"Monday",2,"Tuesday",3,"Wednesday",4,"Thursday",5,"Friday",6,"Saturday")</f>
        <v>Friday</v>
      </c>
      <c r="H471" t="str" cm="1">
        <f t="array" ref="H471">_xlfn.SWITCH(Sheet5!D471, 1, "Clear Sky", 2, "Mist", 3, "Dark Cloud",4,"Heavy Rainfall")</f>
        <v>Clear Sky</v>
      </c>
      <c r="I471" s="26">
        <f>Sheet5!E471*41</f>
        <v>8.2000000000000011</v>
      </c>
      <c r="J471" s="27">
        <v>0.25</v>
      </c>
      <c r="K471">
        <v>0.52239999999999998</v>
      </c>
      <c r="L471">
        <v>6</v>
      </c>
      <c r="M471">
        <v>56</v>
      </c>
      <c r="N471">
        <v>62</v>
      </c>
    </row>
    <row r="472" spans="1:14" x14ac:dyDescent="0.3">
      <c r="A472">
        <v>471</v>
      </c>
      <c r="B472" s="21">
        <v>40564</v>
      </c>
      <c r="C472" s="25" t="s">
        <v>16</v>
      </c>
      <c r="D472" s="25" t="str" cm="1">
        <f t="array" ref="D472">_xlfn.SWITCH(Sheet5!A472,1,"JANUARY",2,"FEBRUARY")</f>
        <v>JANUARY</v>
      </c>
      <c r="E472">
        <v>15</v>
      </c>
      <c r="F472" t="str" cm="1">
        <f t="array" ref="F472">_xlfn.SWITCH(Sheet5!C472,FALSE,"NO",TRUE,"YES")</f>
        <v>NO</v>
      </c>
      <c r="G472" t="str" cm="1">
        <f t="array" ref="G472">_xlfn.SWITCH(Sheet5!B472,0,"Sunday",1,"Monday",2,"Tuesday",3,"Wednesday",4,"Thursday",5,"Friday",6,"Saturday")</f>
        <v>Friday</v>
      </c>
      <c r="H472" t="str" cm="1">
        <f t="array" ref="H472">_xlfn.SWITCH(Sheet5!D472, 1, "Clear Sky", 2, "Mist", 3, "Dark Cloud",4,"Heavy Rainfall")</f>
        <v>Clear Sky</v>
      </c>
      <c r="I472" s="26">
        <f>Sheet5!E472*41</f>
        <v>6.5600000000000005</v>
      </c>
      <c r="J472" s="27">
        <v>0.26</v>
      </c>
      <c r="K472">
        <v>0.44779999999999998</v>
      </c>
      <c r="L472">
        <v>4</v>
      </c>
      <c r="M472">
        <v>61</v>
      </c>
      <c r="N472">
        <v>65</v>
      </c>
    </row>
    <row r="473" spans="1:14" x14ac:dyDescent="0.3">
      <c r="A473">
        <v>472</v>
      </c>
      <c r="B473" s="21">
        <v>40564</v>
      </c>
      <c r="C473" s="25" t="s">
        <v>16</v>
      </c>
      <c r="D473" s="25" t="str" cm="1">
        <f t="array" ref="D473">_xlfn.SWITCH(Sheet5!A473,1,"JANUARY",2,"FEBRUARY")</f>
        <v>JANUARY</v>
      </c>
      <c r="E473">
        <v>16</v>
      </c>
      <c r="F473" t="str" cm="1">
        <f t="array" ref="F473">_xlfn.SWITCH(Sheet5!C473,FALSE,"NO",TRUE,"YES")</f>
        <v>NO</v>
      </c>
      <c r="G473" t="str" cm="1">
        <f t="array" ref="G473">_xlfn.SWITCH(Sheet5!B473,0,"Sunday",1,"Monday",2,"Tuesday",3,"Wednesday",4,"Thursday",5,"Friday",6,"Saturday")</f>
        <v>Friday</v>
      </c>
      <c r="H473" t="str" cm="1">
        <f t="array" ref="H473">_xlfn.SWITCH(Sheet5!D473, 1, "Clear Sky", 2, "Mist", 3, "Dark Cloud",4,"Heavy Rainfall")</f>
        <v>Clear Sky</v>
      </c>
      <c r="I473" s="26">
        <f>Sheet5!E473*41</f>
        <v>6.5600000000000005</v>
      </c>
      <c r="J473" s="27">
        <v>0.26</v>
      </c>
      <c r="K473">
        <v>0.35820000000000002</v>
      </c>
      <c r="L473">
        <v>0</v>
      </c>
      <c r="M473">
        <v>97</v>
      </c>
      <c r="N473">
        <v>97</v>
      </c>
    </row>
    <row r="474" spans="1:14" x14ac:dyDescent="0.3">
      <c r="A474">
        <v>473</v>
      </c>
      <c r="B474" s="21">
        <v>40564</v>
      </c>
      <c r="C474" s="25" t="s">
        <v>16</v>
      </c>
      <c r="D474" s="25" t="str" cm="1">
        <f t="array" ref="D474">_xlfn.SWITCH(Sheet5!A474,1,"JANUARY",2,"FEBRUARY")</f>
        <v>JANUARY</v>
      </c>
      <c r="E474">
        <v>17</v>
      </c>
      <c r="F474" t="str" cm="1">
        <f t="array" ref="F474">_xlfn.SWITCH(Sheet5!C474,FALSE,"NO",TRUE,"YES")</f>
        <v>NO</v>
      </c>
      <c r="G474" t="str" cm="1">
        <f t="array" ref="G474">_xlfn.SWITCH(Sheet5!B474,0,"Sunday",1,"Monday",2,"Tuesday",3,"Wednesday",4,"Thursday",5,"Friday",6,"Saturday")</f>
        <v>Friday</v>
      </c>
      <c r="H474" t="str" cm="1">
        <f t="array" ref="H474">_xlfn.SWITCH(Sheet5!D474, 1, "Clear Sky", 2, "Mist", 3, "Dark Cloud",4,"Heavy Rainfall")</f>
        <v>Clear Sky</v>
      </c>
      <c r="I474" s="26">
        <f>Sheet5!E474*41</f>
        <v>5.74</v>
      </c>
      <c r="J474" s="27">
        <v>0.28000000000000003</v>
      </c>
      <c r="K474">
        <v>0.35820000000000002</v>
      </c>
      <c r="L474">
        <v>10</v>
      </c>
      <c r="M474">
        <v>151</v>
      </c>
      <c r="N474">
        <v>161</v>
      </c>
    </row>
    <row r="475" spans="1:14" x14ac:dyDescent="0.3">
      <c r="A475">
        <v>474</v>
      </c>
      <c r="B475" s="21">
        <v>40564</v>
      </c>
      <c r="C475" s="25" t="s">
        <v>16</v>
      </c>
      <c r="D475" s="25" t="str" cm="1">
        <f t="array" ref="D475">_xlfn.SWITCH(Sheet5!A475,1,"JANUARY",2,"FEBRUARY")</f>
        <v>JANUARY</v>
      </c>
      <c r="E475">
        <v>18</v>
      </c>
      <c r="F475" t="str" cm="1">
        <f t="array" ref="F475">_xlfn.SWITCH(Sheet5!C475,FALSE,"NO",TRUE,"YES")</f>
        <v>NO</v>
      </c>
      <c r="G475" t="str" cm="1">
        <f t="array" ref="G475">_xlfn.SWITCH(Sheet5!B475,0,"Sunday",1,"Monday",2,"Tuesday",3,"Wednesday",4,"Thursday",5,"Friday",6,"Saturday")</f>
        <v>Friday</v>
      </c>
      <c r="H475" t="str" cm="1">
        <f t="array" ref="H475">_xlfn.SWITCH(Sheet5!D475, 1, "Clear Sky", 2, "Mist", 3, "Dark Cloud",4,"Heavy Rainfall")</f>
        <v>Clear Sky</v>
      </c>
      <c r="I475" s="26">
        <f>Sheet5!E475*41</f>
        <v>4.92</v>
      </c>
      <c r="J475" s="27">
        <v>0.3</v>
      </c>
      <c r="K475">
        <v>0.25369999999999998</v>
      </c>
      <c r="L475">
        <v>1</v>
      </c>
      <c r="M475">
        <v>119</v>
      </c>
      <c r="N475">
        <v>120</v>
      </c>
    </row>
    <row r="476" spans="1:14" x14ac:dyDescent="0.3">
      <c r="A476">
        <v>475</v>
      </c>
      <c r="B476" s="21">
        <v>40564</v>
      </c>
      <c r="C476" s="25" t="s">
        <v>16</v>
      </c>
      <c r="D476" s="25" t="str" cm="1">
        <f t="array" ref="D476">_xlfn.SWITCH(Sheet5!A476,1,"JANUARY",2,"FEBRUARY")</f>
        <v>JANUARY</v>
      </c>
      <c r="E476">
        <v>19</v>
      </c>
      <c r="F476" t="str" cm="1">
        <f t="array" ref="F476">_xlfn.SWITCH(Sheet5!C476,FALSE,"NO",TRUE,"YES")</f>
        <v>NO</v>
      </c>
      <c r="G476" t="str" cm="1">
        <f t="array" ref="G476">_xlfn.SWITCH(Sheet5!B476,0,"Sunday",1,"Monday",2,"Tuesday",3,"Wednesday",4,"Thursday",5,"Friday",6,"Saturday")</f>
        <v>Friday</v>
      </c>
      <c r="H476" t="str" cm="1">
        <f t="array" ref="H476">_xlfn.SWITCH(Sheet5!D476, 1, "Clear Sky", 2, "Mist", 3, "Dark Cloud",4,"Heavy Rainfall")</f>
        <v>Clear Sky</v>
      </c>
      <c r="I476" s="26">
        <f>Sheet5!E476*41</f>
        <v>4.92</v>
      </c>
      <c r="J476" s="27">
        <v>0.3</v>
      </c>
      <c r="K476">
        <v>0.32840000000000003</v>
      </c>
      <c r="L476">
        <v>3</v>
      </c>
      <c r="M476">
        <v>93</v>
      </c>
      <c r="N476">
        <v>96</v>
      </c>
    </row>
    <row r="477" spans="1:14" x14ac:dyDescent="0.3">
      <c r="A477">
        <v>476</v>
      </c>
      <c r="B477" s="21">
        <v>40564</v>
      </c>
      <c r="C477" s="25" t="s">
        <v>16</v>
      </c>
      <c r="D477" s="25" t="str" cm="1">
        <f t="array" ref="D477">_xlfn.SWITCH(Sheet5!A477,1,"JANUARY",2,"FEBRUARY")</f>
        <v>JANUARY</v>
      </c>
      <c r="E477">
        <v>20</v>
      </c>
      <c r="F477" t="str" cm="1">
        <f t="array" ref="F477">_xlfn.SWITCH(Sheet5!C477,FALSE,"NO",TRUE,"YES")</f>
        <v>NO</v>
      </c>
      <c r="G477" t="str" cm="1">
        <f t="array" ref="G477">_xlfn.SWITCH(Sheet5!B477,0,"Sunday",1,"Monday",2,"Tuesday",3,"Wednesday",4,"Thursday",5,"Friday",6,"Saturday")</f>
        <v>Friday</v>
      </c>
      <c r="H477" t="str" cm="1">
        <f t="array" ref="H477">_xlfn.SWITCH(Sheet5!D477, 1, "Clear Sky", 2, "Mist", 3, "Dark Cloud",4,"Heavy Rainfall")</f>
        <v>Clear Sky</v>
      </c>
      <c r="I477" s="26">
        <f>Sheet5!E477*41</f>
        <v>4.1000000000000005</v>
      </c>
      <c r="J477" s="27">
        <v>0.33</v>
      </c>
      <c r="K477">
        <v>0.41789999999999999</v>
      </c>
      <c r="L477">
        <v>1</v>
      </c>
      <c r="M477">
        <v>52</v>
      </c>
      <c r="N477">
        <v>53</v>
      </c>
    </row>
    <row r="478" spans="1:14" x14ac:dyDescent="0.3">
      <c r="A478">
        <v>477</v>
      </c>
      <c r="B478" s="21">
        <v>40564</v>
      </c>
      <c r="C478" s="25" t="s">
        <v>16</v>
      </c>
      <c r="D478" s="25" t="str" cm="1">
        <f t="array" ref="D478">_xlfn.SWITCH(Sheet5!A478,1,"JANUARY",2,"FEBRUARY")</f>
        <v>JANUARY</v>
      </c>
      <c r="E478">
        <v>21</v>
      </c>
      <c r="F478" t="str" cm="1">
        <f t="array" ref="F478">_xlfn.SWITCH(Sheet5!C478,FALSE,"NO",TRUE,"YES")</f>
        <v>NO</v>
      </c>
      <c r="G478" t="str" cm="1">
        <f t="array" ref="G478">_xlfn.SWITCH(Sheet5!B478,0,"Sunday",1,"Monday",2,"Tuesday",3,"Wednesday",4,"Thursday",5,"Friday",6,"Saturday")</f>
        <v>Friday</v>
      </c>
      <c r="H478" t="str" cm="1">
        <f t="array" ref="H478">_xlfn.SWITCH(Sheet5!D478, 1, "Clear Sky", 2, "Mist", 3, "Dark Cloud",4,"Heavy Rainfall")</f>
        <v>Clear Sky</v>
      </c>
      <c r="I478" s="26">
        <f>Sheet5!E478*41</f>
        <v>3.2800000000000002</v>
      </c>
      <c r="J478" s="27">
        <v>0.38</v>
      </c>
      <c r="K478">
        <v>0.28360000000000002</v>
      </c>
      <c r="L478">
        <v>0</v>
      </c>
      <c r="M478">
        <v>41</v>
      </c>
      <c r="N478">
        <v>41</v>
      </c>
    </row>
    <row r="479" spans="1:14" x14ac:dyDescent="0.3">
      <c r="A479">
        <v>478</v>
      </c>
      <c r="B479" s="21">
        <v>40564</v>
      </c>
      <c r="C479" s="25" t="s">
        <v>16</v>
      </c>
      <c r="D479" s="25" t="str" cm="1">
        <f t="array" ref="D479">_xlfn.SWITCH(Sheet5!A479,1,"JANUARY",2,"FEBRUARY")</f>
        <v>JANUARY</v>
      </c>
      <c r="E479">
        <v>22</v>
      </c>
      <c r="F479" t="str" cm="1">
        <f t="array" ref="F479">_xlfn.SWITCH(Sheet5!C479,FALSE,"NO",TRUE,"YES")</f>
        <v>NO</v>
      </c>
      <c r="G479" t="str" cm="1">
        <f t="array" ref="G479">_xlfn.SWITCH(Sheet5!B479,0,"Sunday",1,"Monday",2,"Tuesday",3,"Wednesday",4,"Thursday",5,"Friday",6,"Saturday")</f>
        <v>Friday</v>
      </c>
      <c r="H479" t="str" cm="1">
        <f t="array" ref="H479">_xlfn.SWITCH(Sheet5!D479, 1, "Clear Sky", 2, "Mist", 3, "Dark Cloud",4,"Heavy Rainfall")</f>
        <v>Clear Sky</v>
      </c>
      <c r="I479" s="26">
        <f>Sheet5!E479*41</f>
        <v>2.46</v>
      </c>
      <c r="J479" s="27">
        <v>0.41</v>
      </c>
      <c r="K479">
        <v>0.3881</v>
      </c>
      <c r="L479">
        <v>1</v>
      </c>
      <c r="M479">
        <v>33</v>
      </c>
      <c r="N479">
        <v>34</v>
      </c>
    </row>
    <row r="480" spans="1:14" x14ac:dyDescent="0.3">
      <c r="A480">
        <v>479</v>
      </c>
      <c r="B480" s="21">
        <v>40564</v>
      </c>
      <c r="C480" s="25" t="s">
        <v>16</v>
      </c>
      <c r="D480" s="25" t="str" cm="1">
        <f t="array" ref="D480">_xlfn.SWITCH(Sheet5!A480,1,"JANUARY",2,"FEBRUARY")</f>
        <v>JANUARY</v>
      </c>
      <c r="E480">
        <v>23</v>
      </c>
      <c r="F480" t="str" cm="1">
        <f t="array" ref="F480">_xlfn.SWITCH(Sheet5!C480,FALSE,"NO",TRUE,"YES")</f>
        <v>NO</v>
      </c>
      <c r="G480" t="str" cm="1">
        <f t="array" ref="G480">_xlfn.SWITCH(Sheet5!B480,0,"Sunday",1,"Monday",2,"Tuesday",3,"Wednesday",4,"Thursday",5,"Friday",6,"Saturday")</f>
        <v>Friday</v>
      </c>
      <c r="H480" t="str" cm="1">
        <f t="array" ref="H480">_xlfn.SWITCH(Sheet5!D480, 1, "Clear Sky", 2, "Mist", 3, "Dark Cloud",4,"Heavy Rainfall")</f>
        <v>Clear Sky</v>
      </c>
      <c r="I480" s="26">
        <f>Sheet5!E480*41</f>
        <v>2.46</v>
      </c>
      <c r="J480" s="27">
        <v>0.38</v>
      </c>
      <c r="K480">
        <v>0.32840000000000003</v>
      </c>
      <c r="L480">
        <v>0</v>
      </c>
      <c r="M480">
        <v>27</v>
      </c>
      <c r="N480">
        <v>27</v>
      </c>
    </row>
    <row r="481" spans="1:14" x14ac:dyDescent="0.3">
      <c r="A481">
        <v>480</v>
      </c>
      <c r="B481" s="21">
        <v>40565</v>
      </c>
      <c r="C481" s="25" t="s">
        <v>16</v>
      </c>
      <c r="D481" s="25" t="str" cm="1">
        <f t="array" ref="D481">_xlfn.SWITCH(Sheet5!A481,1,"JANUARY",2,"FEBRUARY")</f>
        <v>JANUARY</v>
      </c>
      <c r="E481">
        <v>0</v>
      </c>
      <c r="F481" t="str" cm="1">
        <f t="array" ref="F481">_xlfn.SWITCH(Sheet5!C481,FALSE,"NO",TRUE,"YES")</f>
        <v>NO</v>
      </c>
      <c r="G481" t="str" cm="1">
        <f t="array" ref="G481">_xlfn.SWITCH(Sheet5!B481,0,"Sunday",1,"Monday",2,"Tuesday",3,"Wednesday",4,"Thursday",5,"Friday",6,"Saturday")</f>
        <v>Saturday</v>
      </c>
      <c r="H481" t="str" cm="1">
        <f t="array" ref="H481">_xlfn.SWITCH(Sheet5!D481, 1, "Clear Sky", 2, "Mist", 3, "Dark Cloud",4,"Heavy Rainfall")</f>
        <v>Clear Sky</v>
      </c>
      <c r="I481" s="26">
        <f>Sheet5!E481*41</f>
        <v>1.6400000000000001</v>
      </c>
      <c r="J481" s="27">
        <v>0.45</v>
      </c>
      <c r="K481">
        <v>0.25369999999999998</v>
      </c>
      <c r="L481">
        <v>0</v>
      </c>
      <c r="M481">
        <v>13</v>
      </c>
      <c r="N481">
        <v>13</v>
      </c>
    </row>
    <row r="482" spans="1:14" x14ac:dyDescent="0.3">
      <c r="A482">
        <v>481</v>
      </c>
      <c r="B482" s="21">
        <v>40565</v>
      </c>
      <c r="C482" s="25" t="s">
        <v>16</v>
      </c>
      <c r="D482" s="25" t="str" cm="1">
        <f t="array" ref="D482">_xlfn.SWITCH(Sheet5!A482,1,"JANUARY",2,"FEBRUARY")</f>
        <v>JANUARY</v>
      </c>
      <c r="E482">
        <v>1</v>
      </c>
      <c r="F482" t="str" cm="1">
        <f t="array" ref="F482">_xlfn.SWITCH(Sheet5!C482,FALSE,"NO",TRUE,"YES")</f>
        <v>NO</v>
      </c>
      <c r="G482" t="str" cm="1">
        <f t="array" ref="G482">_xlfn.SWITCH(Sheet5!B482,0,"Sunday",1,"Monday",2,"Tuesday",3,"Wednesday",4,"Thursday",5,"Friday",6,"Saturday")</f>
        <v>Saturday</v>
      </c>
      <c r="H482" t="str" cm="1">
        <f t="array" ref="H482">_xlfn.SWITCH(Sheet5!D482, 1, "Clear Sky", 2, "Mist", 3, "Dark Cloud",4,"Heavy Rainfall")</f>
        <v>Mist</v>
      </c>
      <c r="I482" s="26">
        <f>Sheet5!E482*41</f>
        <v>1.6400000000000001</v>
      </c>
      <c r="J482" s="27">
        <v>0.41</v>
      </c>
      <c r="K482">
        <v>0.3881</v>
      </c>
      <c r="L482">
        <v>3</v>
      </c>
      <c r="M482">
        <v>9</v>
      </c>
      <c r="N482">
        <v>12</v>
      </c>
    </row>
    <row r="483" spans="1:14" x14ac:dyDescent="0.3">
      <c r="A483">
        <v>482</v>
      </c>
      <c r="B483" s="21">
        <v>40565</v>
      </c>
      <c r="C483" s="25" t="s">
        <v>16</v>
      </c>
      <c r="D483" s="25" t="str" cm="1">
        <f t="array" ref="D483">_xlfn.SWITCH(Sheet5!A483,1,"JANUARY",2,"FEBRUARY")</f>
        <v>JANUARY</v>
      </c>
      <c r="E483">
        <v>2</v>
      </c>
      <c r="F483" t="str" cm="1">
        <f t="array" ref="F483">_xlfn.SWITCH(Sheet5!C483,FALSE,"NO",TRUE,"YES")</f>
        <v>NO</v>
      </c>
      <c r="G483" t="str" cm="1">
        <f t="array" ref="G483">_xlfn.SWITCH(Sheet5!B483,0,"Sunday",1,"Monday",2,"Tuesday",3,"Wednesday",4,"Thursday",5,"Friday",6,"Saturday")</f>
        <v>Saturday</v>
      </c>
      <c r="H483" t="str" cm="1">
        <f t="array" ref="H483">_xlfn.SWITCH(Sheet5!D483, 1, "Clear Sky", 2, "Mist", 3, "Dark Cloud",4,"Heavy Rainfall")</f>
        <v>Mist</v>
      </c>
      <c r="I483" s="26">
        <f>Sheet5!E483*41</f>
        <v>1.6400000000000001</v>
      </c>
      <c r="J483" s="27">
        <v>0.41</v>
      </c>
      <c r="K483">
        <v>0.25369999999999998</v>
      </c>
      <c r="L483">
        <v>0</v>
      </c>
      <c r="M483">
        <v>11</v>
      </c>
      <c r="N483">
        <v>11</v>
      </c>
    </row>
    <row r="484" spans="1:14" x14ac:dyDescent="0.3">
      <c r="A484">
        <v>483</v>
      </c>
      <c r="B484" s="21">
        <v>40565</v>
      </c>
      <c r="C484" s="25" t="s">
        <v>16</v>
      </c>
      <c r="D484" s="25" t="str" cm="1">
        <f t="array" ref="D484">_xlfn.SWITCH(Sheet5!A484,1,"JANUARY",2,"FEBRUARY")</f>
        <v>JANUARY</v>
      </c>
      <c r="E484">
        <v>3</v>
      </c>
      <c r="F484" t="str" cm="1">
        <f t="array" ref="F484">_xlfn.SWITCH(Sheet5!C484,FALSE,"NO",TRUE,"YES")</f>
        <v>NO</v>
      </c>
      <c r="G484" t="str" cm="1">
        <f t="array" ref="G484">_xlfn.SWITCH(Sheet5!B484,0,"Sunday",1,"Monday",2,"Tuesday",3,"Wednesday",4,"Thursday",5,"Friday",6,"Saturday")</f>
        <v>Saturday</v>
      </c>
      <c r="H484" t="str" cm="1">
        <f t="array" ref="H484">_xlfn.SWITCH(Sheet5!D484, 1, "Clear Sky", 2, "Mist", 3, "Dark Cloud",4,"Heavy Rainfall")</f>
        <v>Mist</v>
      </c>
      <c r="I484" s="26">
        <f>Sheet5!E484*41</f>
        <v>1.6400000000000001</v>
      </c>
      <c r="J484" s="27">
        <v>0.41</v>
      </c>
      <c r="K484">
        <v>0.28360000000000002</v>
      </c>
      <c r="L484">
        <v>1</v>
      </c>
      <c r="M484">
        <v>6</v>
      </c>
      <c r="N484">
        <v>7</v>
      </c>
    </row>
    <row r="485" spans="1:14" x14ac:dyDescent="0.3">
      <c r="A485">
        <v>484</v>
      </c>
      <c r="B485" s="21">
        <v>40565</v>
      </c>
      <c r="C485" s="25" t="s">
        <v>16</v>
      </c>
      <c r="D485" s="25" t="str" cm="1">
        <f t="array" ref="D485">_xlfn.SWITCH(Sheet5!A485,1,"JANUARY",2,"FEBRUARY")</f>
        <v>JANUARY</v>
      </c>
      <c r="E485">
        <v>4</v>
      </c>
      <c r="F485" t="str" cm="1">
        <f t="array" ref="F485">_xlfn.SWITCH(Sheet5!C485,FALSE,"NO",TRUE,"YES")</f>
        <v>NO</v>
      </c>
      <c r="G485" t="str" cm="1">
        <f t="array" ref="G485">_xlfn.SWITCH(Sheet5!B485,0,"Sunday",1,"Monday",2,"Tuesday",3,"Wednesday",4,"Thursday",5,"Friday",6,"Saturday")</f>
        <v>Saturday</v>
      </c>
      <c r="H485" t="str" cm="1">
        <f t="array" ref="H485">_xlfn.SWITCH(Sheet5!D485, 1, "Clear Sky", 2, "Mist", 3, "Dark Cloud",4,"Heavy Rainfall")</f>
        <v>Mist</v>
      </c>
      <c r="I485" s="26">
        <f>Sheet5!E485*41</f>
        <v>0.82000000000000006</v>
      </c>
      <c r="J485" s="27">
        <v>0.48</v>
      </c>
      <c r="K485">
        <v>0.29849999999999999</v>
      </c>
      <c r="L485">
        <v>0</v>
      </c>
      <c r="M485">
        <v>3</v>
      </c>
      <c r="N485">
        <v>3</v>
      </c>
    </row>
    <row r="486" spans="1:14" x14ac:dyDescent="0.3">
      <c r="A486">
        <v>485</v>
      </c>
      <c r="B486" s="21">
        <v>40565</v>
      </c>
      <c r="C486" s="25" t="s">
        <v>16</v>
      </c>
      <c r="D486" s="25" t="str" cm="1">
        <f t="array" ref="D486">_xlfn.SWITCH(Sheet5!A486,1,"JANUARY",2,"FEBRUARY")</f>
        <v>JANUARY</v>
      </c>
      <c r="E486">
        <v>6</v>
      </c>
      <c r="F486" t="str" cm="1">
        <f t="array" ref="F486">_xlfn.SWITCH(Sheet5!C486,FALSE,"NO",TRUE,"YES")</f>
        <v>NO</v>
      </c>
      <c r="G486" t="str" cm="1">
        <f t="array" ref="G486">_xlfn.SWITCH(Sheet5!B486,0,"Sunday",1,"Monday",2,"Tuesday",3,"Wednesday",4,"Thursday",5,"Friday",6,"Saturday")</f>
        <v>Saturday</v>
      </c>
      <c r="H486" t="str" cm="1">
        <f t="array" ref="H486">_xlfn.SWITCH(Sheet5!D486, 1, "Clear Sky", 2, "Mist", 3, "Dark Cloud",4,"Heavy Rainfall")</f>
        <v>Mist</v>
      </c>
      <c r="I486" s="26">
        <f>Sheet5!E486*41</f>
        <v>0.82000000000000006</v>
      </c>
      <c r="J486" s="27">
        <v>0.44</v>
      </c>
      <c r="K486">
        <v>0.22389999999999999</v>
      </c>
      <c r="L486">
        <v>0</v>
      </c>
      <c r="M486">
        <v>2</v>
      </c>
      <c r="N486">
        <v>2</v>
      </c>
    </row>
    <row r="487" spans="1:14" x14ac:dyDescent="0.3">
      <c r="A487">
        <v>486</v>
      </c>
      <c r="B487" s="21">
        <v>40565</v>
      </c>
      <c r="C487" s="25" t="s">
        <v>16</v>
      </c>
      <c r="D487" s="25" t="str" cm="1">
        <f t="array" ref="D487">_xlfn.SWITCH(Sheet5!A487,1,"JANUARY",2,"FEBRUARY")</f>
        <v>JANUARY</v>
      </c>
      <c r="E487">
        <v>7</v>
      </c>
      <c r="F487" t="str" cm="1">
        <f t="array" ref="F487">_xlfn.SWITCH(Sheet5!C487,FALSE,"NO",TRUE,"YES")</f>
        <v>NO</v>
      </c>
      <c r="G487" t="str" cm="1">
        <f t="array" ref="G487">_xlfn.SWITCH(Sheet5!B487,0,"Sunday",1,"Monday",2,"Tuesday",3,"Wednesday",4,"Thursday",5,"Friday",6,"Saturday")</f>
        <v>Saturday</v>
      </c>
      <c r="H487" t="str" cm="1">
        <f t="array" ref="H487">_xlfn.SWITCH(Sheet5!D487, 1, "Clear Sky", 2, "Mist", 3, "Dark Cloud",4,"Heavy Rainfall")</f>
        <v>Clear Sky</v>
      </c>
      <c r="I487" s="26">
        <f>Sheet5!E487*41</f>
        <v>0.82000000000000006</v>
      </c>
      <c r="J487" s="27">
        <v>0.44</v>
      </c>
      <c r="K487">
        <v>0.28360000000000002</v>
      </c>
      <c r="L487">
        <v>0</v>
      </c>
      <c r="M487">
        <v>8</v>
      </c>
      <c r="N487">
        <v>8</v>
      </c>
    </row>
    <row r="488" spans="1:14" x14ac:dyDescent="0.3">
      <c r="A488">
        <v>487</v>
      </c>
      <c r="B488" s="21">
        <v>40565</v>
      </c>
      <c r="C488" s="25" t="s">
        <v>16</v>
      </c>
      <c r="D488" s="25" t="str" cm="1">
        <f t="array" ref="D488">_xlfn.SWITCH(Sheet5!A488,1,"JANUARY",2,"FEBRUARY")</f>
        <v>JANUARY</v>
      </c>
      <c r="E488">
        <v>8</v>
      </c>
      <c r="F488" t="str" cm="1">
        <f t="array" ref="F488">_xlfn.SWITCH(Sheet5!C488,FALSE,"NO",TRUE,"YES")</f>
        <v>NO</v>
      </c>
      <c r="G488" t="str" cm="1">
        <f t="array" ref="G488">_xlfn.SWITCH(Sheet5!B488,0,"Sunday",1,"Monday",2,"Tuesday",3,"Wednesday",4,"Thursday",5,"Friday",6,"Saturday")</f>
        <v>Saturday</v>
      </c>
      <c r="H488" t="str" cm="1">
        <f t="array" ref="H488">_xlfn.SWITCH(Sheet5!D488, 1, "Clear Sky", 2, "Mist", 3, "Dark Cloud",4,"Heavy Rainfall")</f>
        <v>Clear Sky</v>
      </c>
      <c r="I488" s="26">
        <f>Sheet5!E488*41</f>
        <v>0.82000000000000006</v>
      </c>
      <c r="J488" s="27">
        <v>0.44</v>
      </c>
      <c r="K488">
        <v>0.32840000000000003</v>
      </c>
      <c r="L488">
        <v>1</v>
      </c>
      <c r="M488">
        <v>26</v>
      </c>
      <c r="N488">
        <v>27</v>
      </c>
    </row>
    <row r="489" spans="1:14" x14ac:dyDescent="0.3">
      <c r="A489">
        <v>488</v>
      </c>
      <c r="B489" s="21">
        <v>40565</v>
      </c>
      <c r="C489" s="25" t="s">
        <v>16</v>
      </c>
      <c r="D489" s="25" t="str" cm="1">
        <f t="array" ref="D489">_xlfn.SWITCH(Sheet5!A489,1,"JANUARY",2,"FEBRUARY")</f>
        <v>JANUARY</v>
      </c>
      <c r="E489">
        <v>9</v>
      </c>
      <c r="F489" t="str" cm="1">
        <f t="array" ref="F489">_xlfn.SWITCH(Sheet5!C489,FALSE,"NO",TRUE,"YES")</f>
        <v>NO</v>
      </c>
      <c r="G489" t="str" cm="1">
        <f t="array" ref="G489">_xlfn.SWITCH(Sheet5!B489,0,"Sunday",1,"Monday",2,"Tuesday",3,"Wednesday",4,"Thursday",5,"Friday",6,"Saturday")</f>
        <v>Saturday</v>
      </c>
      <c r="H489" t="str" cm="1">
        <f t="array" ref="H489">_xlfn.SWITCH(Sheet5!D489, 1, "Clear Sky", 2, "Mist", 3, "Dark Cloud",4,"Heavy Rainfall")</f>
        <v>Clear Sky</v>
      </c>
      <c r="I489" s="26">
        <f>Sheet5!E489*41</f>
        <v>1.6400000000000001</v>
      </c>
      <c r="J489" s="27">
        <v>0.41</v>
      </c>
      <c r="K489">
        <v>0.25369999999999998</v>
      </c>
      <c r="L489">
        <v>3</v>
      </c>
      <c r="M489">
        <v>37</v>
      </c>
      <c r="N489">
        <v>40</v>
      </c>
    </row>
    <row r="490" spans="1:14" x14ac:dyDescent="0.3">
      <c r="A490">
        <v>489</v>
      </c>
      <c r="B490" s="21">
        <v>40565</v>
      </c>
      <c r="C490" s="25" t="s">
        <v>16</v>
      </c>
      <c r="D490" s="25" t="str" cm="1">
        <f t="array" ref="D490">_xlfn.SWITCH(Sheet5!A490,1,"JANUARY",2,"FEBRUARY")</f>
        <v>JANUARY</v>
      </c>
      <c r="E490">
        <v>10</v>
      </c>
      <c r="F490" t="str" cm="1">
        <f t="array" ref="F490">_xlfn.SWITCH(Sheet5!C490,FALSE,"NO",TRUE,"YES")</f>
        <v>NO</v>
      </c>
      <c r="G490" t="str" cm="1">
        <f t="array" ref="G490">_xlfn.SWITCH(Sheet5!B490,0,"Sunday",1,"Monday",2,"Tuesday",3,"Wednesday",4,"Thursday",5,"Friday",6,"Saturday")</f>
        <v>Saturday</v>
      </c>
      <c r="H490" t="str" cm="1">
        <f t="array" ref="H490">_xlfn.SWITCH(Sheet5!D490, 1, "Clear Sky", 2, "Mist", 3, "Dark Cloud",4,"Heavy Rainfall")</f>
        <v>Mist</v>
      </c>
      <c r="I490" s="26">
        <f>Sheet5!E490*41</f>
        <v>1.6400000000000001</v>
      </c>
      <c r="J490" s="27">
        <v>0.41</v>
      </c>
      <c r="K490">
        <v>0.16420000000000001</v>
      </c>
      <c r="L490">
        <v>3</v>
      </c>
      <c r="M490">
        <v>50</v>
      </c>
      <c r="N490">
        <v>53</v>
      </c>
    </row>
    <row r="491" spans="1:14" x14ac:dyDescent="0.3">
      <c r="A491">
        <v>490</v>
      </c>
      <c r="B491" s="21">
        <v>40565</v>
      </c>
      <c r="C491" s="25" t="s">
        <v>16</v>
      </c>
      <c r="D491" s="25" t="str" cm="1">
        <f t="array" ref="D491">_xlfn.SWITCH(Sheet5!A491,1,"JANUARY",2,"FEBRUARY")</f>
        <v>JANUARY</v>
      </c>
      <c r="E491">
        <v>11</v>
      </c>
      <c r="F491" t="str" cm="1">
        <f t="array" ref="F491">_xlfn.SWITCH(Sheet5!C491,FALSE,"NO",TRUE,"YES")</f>
        <v>NO</v>
      </c>
      <c r="G491" t="str" cm="1">
        <f t="array" ref="G491">_xlfn.SWITCH(Sheet5!B491,0,"Sunday",1,"Monday",2,"Tuesday",3,"Wednesday",4,"Thursday",5,"Friday",6,"Saturday")</f>
        <v>Saturday</v>
      </c>
      <c r="H491" t="str" cm="1">
        <f t="array" ref="H491">_xlfn.SWITCH(Sheet5!D491, 1, "Clear Sky", 2, "Mist", 3, "Dark Cloud",4,"Heavy Rainfall")</f>
        <v>Mist</v>
      </c>
      <c r="I491" s="26">
        <f>Sheet5!E491*41</f>
        <v>2.46</v>
      </c>
      <c r="J491" s="27">
        <v>0.38</v>
      </c>
      <c r="K491">
        <v>0.1343</v>
      </c>
      <c r="L491">
        <v>4</v>
      </c>
      <c r="M491">
        <v>59</v>
      </c>
      <c r="N491">
        <v>63</v>
      </c>
    </row>
    <row r="492" spans="1:14" x14ac:dyDescent="0.3">
      <c r="A492">
        <v>491</v>
      </c>
      <c r="B492" s="21">
        <v>40565</v>
      </c>
      <c r="C492" s="25" t="s">
        <v>16</v>
      </c>
      <c r="D492" s="25" t="str" cm="1">
        <f t="array" ref="D492">_xlfn.SWITCH(Sheet5!A492,1,"JANUARY",2,"FEBRUARY")</f>
        <v>JANUARY</v>
      </c>
      <c r="E492">
        <v>12</v>
      </c>
      <c r="F492" t="str" cm="1">
        <f t="array" ref="F492">_xlfn.SWITCH(Sheet5!C492,FALSE,"NO",TRUE,"YES")</f>
        <v>NO</v>
      </c>
      <c r="G492" t="str" cm="1">
        <f t="array" ref="G492">_xlfn.SWITCH(Sheet5!B492,0,"Sunday",1,"Monday",2,"Tuesday",3,"Wednesday",4,"Thursday",5,"Friday",6,"Saturday")</f>
        <v>Saturday</v>
      </c>
      <c r="H492" t="str" cm="1">
        <f t="array" ref="H492">_xlfn.SWITCH(Sheet5!D492, 1, "Clear Sky", 2, "Mist", 3, "Dark Cloud",4,"Heavy Rainfall")</f>
        <v>Mist</v>
      </c>
      <c r="I492" s="26">
        <f>Sheet5!E492*41</f>
        <v>2.46</v>
      </c>
      <c r="J492" s="27">
        <v>0.38</v>
      </c>
      <c r="K492">
        <v>0.1045</v>
      </c>
      <c r="L492">
        <v>10</v>
      </c>
      <c r="M492">
        <v>60</v>
      </c>
      <c r="N492">
        <v>70</v>
      </c>
    </row>
    <row r="493" spans="1:14" x14ac:dyDescent="0.3">
      <c r="A493">
        <v>492</v>
      </c>
      <c r="B493" s="21">
        <v>40565</v>
      </c>
      <c r="C493" s="25" t="s">
        <v>16</v>
      </c>
      <c r="D493" s="25" t="str" cm="1">
        <f t="array" ref="D493">_xlfn.SWITCH(Sheet5!A493,1,"JANUARY",2,"FEBRUARY")</f>
        <v>JANUARY</v>
      </c>
      <c r="E493">
        <v>13</v>
      </c>
      <c r="F493" t="str" cm="1">
        <f t="array" ref="F493">_xlfn.SWITCH(Sheet5!C493,FALSE,"NO",TRUE,"YES")</f>
        <v>NO</v>
      </c>
      <c r="G493" t="str" cm="1">
        <f t="array" ref="G493">_xlfn.SWITCH(Sheet5!B493,0,"Sunday",1,"Monday",2,"Tuesday",3,"Wednesday",4,"Thursday",5,"Friday",6,"Saturday")</f>
        <v>Saturday</v>
      </c>
      <c r="H493" t="str" cm="1">
        <f t="array" ref="H493">_xlfn.SWITCH(Sheet5!D493, 1, "Clear Sky", 2, "Mist", 3, "Dark Cloud",4,"Heavy Rainfall")</f>
        <v>Clear Sky</v>
      </c>
      <c r="I493" s="26">
        <f>Sheet5!E493*41</f>
        <v>3.2800000000000002</v>
      </c>
      <c r="J493" s="27">
        <v>0.35</v>
      </c>
      <c r="K493">
        <v>0</v>
      </c>
      <c r="L493">
        <v>12</v>
      </c>
      <c r="M493">
        <v>72</v>
      </c>
      <c r="N493">
        <v>84</v>
      </c>
    </row>
    <row r="494" spans="1:14" x14ac:dyDescent="0.3">
      <c r="A494">
        <v>493</v>
      </c>
      <c r="B494" s="21">
        <v>40565</v>
      </c>
      <c r="C494" s="25" t="s">
        <v>16</v>
      </c>
      <c r="D494" s="25" t="str" cm="1">
        <f t="array" ref="D494">_xlfn.SWITCH(Sheet5!A494,1,"JANUARY",2,"FEBRUARY")</f>
        <v>JANUARY</v>
      </c>
      <c r="E494">
        <v>14</v>
      </c>
      <c r="F494" t="str" cm="1">
        <f t="array" ref="F494">_xlfn.SWITCH(Sheet5!C494,FALSE,"NO",TRUE,"YES")</f>
        <v>NO</v>
      </c>
      <c r="G494" t="str" cm="1">
        <f t="array" ref="G494">_xlfn.SWITCH(Sheet5!B494,0,"Sunday",1,"Monday",2,"Tuesday",3,"Wednesday",4,"Thursday",5,"Friday",6,"Saturday")</f>
        <v>Saturday</v>
      </c>
      <c r="H494" t="str" cm="1">
        <f t="array" ref="H494">_xlfn.SWITCH(Sheet5!D494, 1, "Clear Sky", 2, "Mist", 3, "Dark Cloud",4,"Heavy Rainfall")</f>
        <v>Clear Sky</v>
      </c>
      <c r="I494" s="26">
        <f>Sheet5!E494*41</f>
        <v>4.1000000000000005</v>
      </c>
      <c r="J494" s="27">
        <v>0.33</v>
      </c>
      <c r="K494">
        <v>0.1045</v>
      </c>
      <c r="L494">
        <v>11</v>
      </c>
      <c r="M494">
        <v>64</v>
      </c>
      <c r="N494">
        <v>75</v>
      </c>
    </row>
    <row r="495" spans="1:14" x14ac:dyDescent="0.3">
      <c r="A495">
        <v>494</v>
      </c>
      <c r="B495" s="21">
        <v>40565</v>
      </c>
      <c r="C495" s="25" t="s">
        <v>16</v>
      </c>
      <c r="D495" s="25" t="str" cm="1">
        <f t="array" ref="D495">_xlfn.SWITCH(Sheet5!A495,1,"JANUARY",2,"FEBRUARY")</f>
        <v>JANUARY</v>
      </c>
      <c r="E495">
        <v>15</v>
      </c>
      <c r="F495" t="str" cm="1">
        <f t="array" ref="F495">_xlfn.SWITCH(Sheet5!C495,FALSE,"NO",TRUE,"YES")</f>
        <v>NO</v>
      </c>
      <c r="G495" t="str" cm="1">
        <f t="array" ref="G495">_xlfn.SWITCH(Sheet5!B495,0,"Sunday",1,"Monday",2,"Tuesday",3,"Wednesday",4,"Thursday",5,"Friday",6,"Saturday")</f>
        <v>Saturday</v>
      </c>
      <c r="H495" t="str" cm="1">
        <f t="array" ref="H495">_xlfn.SWITCH(Sheet5!D495, 1, "Clear Sky", 2, "Mist", 3, "Dark Cloud",4,"Heavy Rainfall")</f>
        <v>Clear Sky</v>
      </c>
      <c r="I495" s="26">
        <f>Sheet5!E495*41</f>
        <v>4.92</v>
      </c>
      <c r="J495" s="27">
        <v>0.28000000000000003</v>
      </c>
      <c r="K495">
        <v>0</v>
      </c>
      <c r="L495">
        <v>10</v>
      </c>
      <c r="M495">
        <v>93</v>
      </c>
      <c r="N495">
        <v>103</v>
      </c>
    </row>
    <row r="496" spans="1:14" x14ac:dyDescent="0.3">
      <c r="A496">
        <v>495</v>
      </c>
      <c r="B496" s="21">
        <v>40565</v>
      </c>
      <c r="C496" s="25" t="s">
        <v>16</v>
      </c>
      <c r="D496" s="25" t="str" cm="1">
        <f t="array" ref="D496">_xlfn.SWITCH(Sheet5!A496,1,"JANUARY",2,"FEBRUARY")</f>
        <v>JANUARY</v>
      </c>
      <c r="E496">
        <v>16</v>
      </c>
      <c r="F496" t="str" cm="1">
        <f t="array" ref="F496">_xlfn.SWITCH(Sheet5!C496,FALSE,"NO",TRUE,"YES")</f>
        <v>NO</v>
      </c>
      <c r="G496" t="str" cm="1">
        <f t="array" ref="G496">_xlfn.SWITCH(Sheet5!B496,0,"Sunday",1,"Monday",2,"Tuesday",3,"Wednesday",4,"Thursday",5,"Friday",6,"Saturday")</f>
        <v>Saturday</v>
      </c>
      <c r="H496" t="str" cm="1">
        <f t="array" ref="H496">_xlfn.SWITCH(Sheet5!D496, 1, "Clear Sky", 2, "Mist", 3, "Dark Cloud",4,"Heavy Rainfall")</f>
        <v>Clear Sky</v>
      </c>
      <c r="I496" s="26">
        <f>Sheet5!E496*41</f>
        <v>4.92</v>
      </c>
      <c r="J496" s="27">
        <v>0.28000000000000003</v>
      </c>
      <c r="K496">
        <v>0.19400000000000001</v>
      </c>
      <c r="L496">
        <v>11</v>
      </c>
      <c r="M496">
        <v>72</v>
      </c>
      <c r="N496">
        <v>83</v>
      </c>
    </row>
    <row r="497" spans="1:14" x14ac:dyDescent="0.3">
      <c r="A497">
        <v>496</v>
      </c>
      <c r="B497" s="21">
        <v>40565</v>
      </c>
      <c r="C497" s="25" t="s">
        <v>16</v>
      </c>
      <c r="D497" s="25" t="str" cm="1">
        <f t="array" ref="D497">_xlfn.SWITCH(Sheet5!A497,1,"JANUARY",2,"FEBRUARY")</f>
        <v>JANUARY</v>
      </c>
      <c r="E497">
        <v>17</v>
      </c>
      <c r="F497" t="str" cm="1">
        <f t="array" ref="F497">_xlfn.SWITCH(Sheet5!C497,FALSE,"NO",TRUE,"YES")</f>
        <v>NO</v>
      </c>
      <c r="G497" t="str" cm="1">
        <f t="array" ref="G497">_xlfn.SWITCH(Sheet5!B497,0,"Sunday",1,"Monday",2,"Tuesday",3,"Wednesday",4,"Thursday",5,"Friday",6,"Saturday")</f>
        <v>Saturday</v>
      </c>
      <c r="H497" t="str" cm="1">
        <f t="array" ref="H497">_xlfn.SWITCH(Sheet5!D497, 1, "Clear Sky", 2, "Mist", 3, "Dark Cloud",4,"Heavy Rainfall")</f>
        <v>Clear Sky</v>
      </c>
      <c r="I497" s="26">
        <f>Sheet5!E497*41</f>
        <v>4.92</v>
      </c>
      <c r="J497" s="27">
        <v>0.28000000000000003</v>
      </c>
      <c r="K497">
        <v>0</v>
      </c>
      <c r="L497">
        <v>8</v>
      </c>
      <c r="M497">
        <v>59</v>
      </c>
      <c r="N497">
        <v>67</v>
      </c>
    </row>
    <row r="498" spans="1:14" x14ac:dyDescent="0.3">
      <c r="A498">
        <v>497</v>
      </c>
      <c r="B498" s="21">
        <v>40565</v>
      </c>
      <c r="C498" s="25" t="s">
        <v>16</v>
      </c>
      <c r="D498" s="25" t="str" cm="1">
        <f t="array" ref="D498">_xlfn.SWITCH(Sheet5!A498,1,"JANUARY",2,"FEBRUARY")</f>
        <v>JANUARY</v>
      </c>
      <c r="E498">
        <v>18</v>
      </c>
      <c r="F498" t="str" cm="1">
        <f t="array" ref="F498">_xlfn.SWITCH(Sheet5!C498,FALSE,"NO",TRUE,"YES")</f>
        <v>NO</v>
      </c>
      <c r="G498" t="str" cm="1">
        <f t="array" ref="G498">_xlfn.SWITCH(Sheet5!B498,0,"Sunday",1,"Monday",2,"Tuesday",3,"Wednesday",4,"Thursday",5,"Friday",6,"Saturday")</f>
        <v>Saturday</v>
      </c>
      <c r="H498" t="str" cm="1">
        <f t="array" ref="H498">_xlfn.SWITCH(Sheet5!D498, 1, "Clear Sky", 2, "Mist", 3, "Dark Cloud",4,"Heavy Rainfall")</f>
        <v>Clear Sky</v>
      </c>
      <c r="I498" s="26">
        <f>Sheet5!E498*41</f>
        <v>3.2800000000000002</v>
      </c>
      <c r="J498" s="27">
        <v>0.35</v>
      </c>
      <c r="K498">
        <v>0.19400000000000001</v>
      </c>
      <c r="L498">
        <v>0</v>
      </c>
      <c r="M498">
        <v>54</v>
      </c>
      <c r="N498">
        <v>54</v>
      </c>
    </row>
    <row r="499" spans="1:14" x14ac:dyDescent="0.3">
      <c r="A499">
        <v>498</v>
      </c>
      <c r="B499" s="21">
        <v>40565</v>
      </c>
      <c r="C499" s="25" t="s">
        <v>16</v>
      </c>
      <c r="D499" s="25" t="str" cm="1">
        <f t="array" ref="D499">_xlfn.SWITCH(Sheet5!A499,1,"JANUARY",2,"FEBRUARY")</f>
        <v>JANUARY</v>
      </c>
      <c r="E499">
        <v>19</v>
      </c>
      <c r="F499" t="str" cm="1">
        <f t="array" ref="F499">_xlfn.SWITCH(Sheet5!C499,FALSE,"NO",TRUE,"YES")</f>
        <v>NO</v>
      </c>
      <c r="G499" t="str" cm="1">
        <f t="array" ref="G499">_xlfn.SWITCH(Sheet5!B499,0,"Sunday",1,"Monday",2,"Tuesday",3,"Wednesday",4,"Thursday",5,"Friday",6,"Saturday")</f>
        <v>Saturday</v>
      </c>
      <c r="H499" t="str" cm="1">
        <f t="array" ref="H499">_xlfn.SWITCH(Sheet5!D499, 1, "Clear Sky", 2, "Mist", 3, "Dark Cloud",4,"Heavy Rainfall")</f>
        <v>Clear Sky</v>
      </c>
      <c r="I499" s="26">
        <f>Sheet5!E499*41</f>
        <v>3.2800000000000002</v>
      </c>
      <c r="J499" s="27">
        <v>0.35</v>
      </c>
      <c r="K499">
        <v>0.1343</v>
      </c>
      <c r="L499">
        <v>6</v>
      </c>
      <c r="M499">
        <v>53</v>
      </c>
      <c r="N499">
        <v>59</v>
      </c>
    </row>
    <row r="500" spans="1:14" x14ac:dyDescent="0.3">
      <c r="A500">
        <v>499</v>
      </c>
      <c r="B500" s="21">
        <v>40565</v>
      </c>
      <c r="C500" s="25" t="s">
        <v>16</v>
      </c>
      <c r="D500" s="25" t="str" cm="1">
        <f t="array" ref="D500">_xlfn.SWITCH(Sheet5!A500,1,"JANUARY",2,"FEBRUARY")</f>
        <v>JANUARY</v>
      </c>
      <c r="E500">
        <v>20</v>
      </c>
      <c r="F500" t="str" cm="1">
        <f t="array" ref="F500">_xlfn.SWITCH(Sheet5!C500,FALSE,"NO",TRUE,"YES")</f>
        <v>NO</v>
      </c>
      <c r="G500" t="str" cm="1">
        <f t="array" ref="G500">_xlfn.SWITCH(Sheet5!B500,0,"Sunday",1,"Monday",2,"Tuesday",3,"Wednesday",4,"Thursday",5,"Friday",6,"Saturday")</f>
        <v>Saturday</v>
      </c>
      <c r="H500" t="str" cm="1">
        <f t="array" ref="H500">_xlfn.SWITCH(Sheet5!D500, 1, "Clear Sky", 2, "Mist", 3, "Dark Cloud",4,"Heavy Rainfall")</f>
        <v>Clear Sky</v>
      </c>
      <c r="I500" s="26">
        <f>Sheet5!E500*41</f>
        <v>2.46</v>
      </c>
      <c r="J500" s="27">
        <v>0.45</v>
      </c>
      <c r="K500">
        <v>0.16420000000000001</v>
      </c>
      <c r="L500">
        <v>1</v>
      </c>
      <c r="M500">
        <v>44</v>
      </c>
      <c r="N500">
        <v>45</v>
      </c>
    </row>
    <row r="501" spans="1:14" x14ac:dyDescent="0.3">
      <c r="A501">
        <v>500</v>
      </c>
      <c r="B501" s="21">
        <v>40565</v>
      </c>
      <c r="C501" s="25" t="s">
        <v>16</v>
      </c>
      <c r="D501" s="25" t="str" cm="1">
        <f t="array" ref="D501">_xlfn.SWITCH(Sheet5!A501,1,"JANUARY",2,"FEBRUARY")</f>
        <v>JANUARY</v>
      </c>
      <c r="E501">
        <v>21</v>
      </c>
      <c r="F501" t="str" cm="1">
        <f t="array" ref="F501">_xlfn.SWITCH(Sheet5!C501,FALSE,"NO",TRUE,"YES")</f>
        <v>NO</v>
      </c>
      <c r="G501" t="str" cm="1">
        <f t="array" ref="G501">_xlfn.SWITCH(Sheet5!B501,0,"Sunday",1,"Monday",2,"Tuesday",3,"Wednesday",4,"Thursday",5,"Friday",6,"Saturday")</f>
        <v>Saturday</v>
      </c>
      <c r="H501" t="str" cm="1">
        <f t="array" ref="H501">_xlfn.SWITCH(Sheet5!D501, 1, "Clear Sky", 2, "Mist", 3, "Dark Cloud",4,"Heavy Rainfall")</f>
        <v>Clear Sky</v>
      </c>
      <c r="I501" s="26">
        <f>Sheet5!E501*41</f>
        <v>2.46</v>
      </c>
      <c r="J501" s="27">
        <v>0.41</v>
      </c>
      <c r="K501">
        <v>8.9599999999999999E-2</v>
      </c>
      <c r="L501">
        <v>0</v>
      </c>
      <c r="M501">
        <v>39</v>
      </c>
      <c r="N501">
        <v>39</v>
      </c>
    </row>
    <row r="502" spans="1:14" x14ac:dyDescent="0.3">
      <c r="A502">
        <v>501</v>
      </c>
      <c r="B502" s="21">
        <v>40565</v>
      </c>
      <c r="C502" s="25" t="s">
        <v>16</v>
      </c>
      <c r="D502" s="25" t="str" cm="1">
        <f t="array" ref="D502">_xlfn.SWITCH(Sheet5!A502,1,"JANUARY",2,"FEBRUARY")</f>
        <v>JANUARY</v>
      </c>
      <c r="E502">
        <v>22</v>
      </c>
      <c r="F502" t="str" cm="1">
        <f t="array" ref="F502">_xlfn.SWITCH(Sheet5!C502,FALSE,"NO",TRUE,"YES")</f>
        <v>NO</v>
      </c>
      <c r="G502" t="str" cm="1">
        <f t="array" ref="G502">_xlfn.SWITCH(Sheet5!B502,0,"Sunday",1,"Monday",2,"Tuesday",3,"Wednesday",4,"Thursday",5,"Friday",6,"Saturday")</f>
        <v>Saturday</v>
      </c>
      <c r="H502" t="str" cm="1">
        <f t="array" ref="H502">_xlfn.SWITCH(Sheet5!D502, 1, "Clear Sky", 2, "Mist", 3, "Dark Cloud",4,"Heavy Rainfall")</f>
        <v>Clear Sky</v>
      </c>
      <c r="I502" s="26">
        <f>Sheet5!E502*41</f>
        <v>2.46</v>
      </c>
      <c r="J502" s="27">
        <v>0.49</v>
      </c>
      <c r="K502">
        <v>0</v>
      </c>
      <c r="L502">
        <v>7</v>
      </c>
      <c r="M502">
        <v>23</v>
      </c>
      <c r="N502">
        <v>30</v>
      </c>
    </row>
    <row r="503" spans="1:14" x14ac:dyDescent="0.3">
      <c r="A503">
        <v>502</v>
      </c>
      <c r="B503" s="21">
        <v>40565</v>
      </c>
      <c r="C503" s="25" t="s">
        <v>16</v>
      </c>
      <c r="D503" s="25" t="str" cm="1">
        <f t="array" ref="D503">_xlfn.SWITCH(Sheet5!A503,1,"JANUARY",2,"FEBRUARY")</f>
        <v>JANUARY</v>
      </c>
      <c r="E503">
        <v>23</v>
      </c>
      <c r="F503" t="str" cm="1">
        <f t="array" ref="F503">_xlfn.SWITCH(Sheet5!C503,FALSE,"NO",TRUE,"YES")</f>
        <v>NO</v>
      </c>
      <c r="G503" t="str" cm="1">
        <f t="array" ref="G503">_xlfn.SWITCH(Sheet5!B503,0,"Sunday",1,"Monday",2,"Tuesday",3,"Wednesday",4,"Thursday",5,"Friday",6,"Saturday")</f>
        <v>Saturday</v>
      </c>
      <c r="H503" t="str" cm="1">
        <f t="array" ref="H503">_xlfn.SWITCH(Sheet5!D503, 1, "Clear Sky", 2, "Mist", 3, "Dark Cloud",4,"Heavy Rainfall")</f>
        <v>Clear Sky</v>
      </c>
      <c r="I503" s="26">
        <f>Sheet5!E503*41</f>
        <v>1.6400000000000001</v>
      </c>
      <c r="J503" s="27">
        <v>0.56999999999999995</v>
      </c>
      <c r="K503">
        <v>0.1045</v>
      </c>
      <c r="L503">
        <v>2</v>
      </c>
      <c r="M503">
        <v>31</v>
      </c>
      <c r="N503">
        <v>33</v>
      </c>
    </row>
    <row r="504" spans="1:14" x14ac:dyDescent="0.3">
      <c r="A504">
        <v>503</v>
      </c>
      <c r="B504" s="21">
        <v>40566</v>
      </c>
      <c r="C504" s="25" t="s">
        <v>16</v>
      </c>
      <c r="D504" s="25" t="str" cm="1">
        <f t="array" ref="D504">_xlfn.SWITCH(Sheet5!A504,1,"JANUARY",2,"FEBRUARY")</f>
        <v>JANUARY</v>
      </c>
      <c r="E504">
        <v>0</v>
      </c>
      <c r="F504" t="str" cm="1">
        <f t="array" ref="F504">_xlfn.SWITCH(Sheet5!C504,FALSE,"NO",TRUE,"YES")</f>
        <v>NO</v>
      </c>
      <c r="G504" t="str" cm="1">
        <f t="array" ref="G504">_xlfn.SWITCH(Sheet5!B504,0,"Sunday",1,"Monday",2,"Tuesday",3,"Wednesday",4,"Thursday",5,"Friday",6,"Saturday")</f>
        <v>Sunday</v>
      </c>
      <c r="H504" t="str" cm="1">
        <f t="array" ref="H504">_xlfn.SWITCH(Sheet5!D504, 1, "Clear Sky", 2, "Mist", 3, "Dark Cloud",4,"Heavy Rainfall")</f>
        <v>Clear Sky</v>
      </c>
      <c r="I504" s="26">
        <f>Sheet5!E504*41</f>
        <v>1.6400000000000001</v>
      </c>
      <c r="J504" s="27">
        <v>0.56999999999999995</v>
      </c>
      <c r="K504">
        <v>0.1045</v>
      </c>
      <c r="L504">
        <v>2</v>
      </c>
      <c r="M504">
        <v>20</v>
      </c>
      <c r="N504">
        <v>22</v>
      </c>
    </row>
    <row r="505" spans="1:14" x14ac:dyDescent="0.3">
      <c r="A505">
        <v>504</v>
      </c>
      <c r="B505" s="21">
        <v>40566</v>
      </c>
      <c r="C505" s="25" t="s">
        <v>16</v>
      </c>
      <c r="D505" s="25" t="str" cm="1">
        <f t="array" ref="D505">_xlfn.SWITCH(Sheet5!A505,1,"JANUARY",2,"FEBRUARY")</f>
        <v>JANUARY</v>
      </c>
      <c r="E505">
        <v>1</v>
      </c>
      <c r="F505" t="str" cm="1">
        <f t="array" ref="F505">_xlfn.SWITCH(Sheet5!C505,FALSE,"NO",TRUE,"YES")</f>
        <v>NO</v>
      </c>
      <c r="G505" t="str" cm="1">
        <f t="array" ref="G505">_xlfn.SWITCH(Sheet5!B505,0,"Sunday",1,"Monday",2,"Tuesday",3,"Wednesday",4,"Thursday",5,"Friday",6,"Saturday")</f>
        <v>Sunday</v>
      </c>
      <c r="H505" t="str" cm="1">
        <f t="array" ref="H505">_xlfn.SWITCH(Sheet5!D505, 1, "Clear Sky", 2, "Mist", 3, "Dark Cloud",4,"Heavy Rainfall")</f>
        <v>Clear Sky</v>
      </c>
      <c r="I505" s="26">
        <f>Sheet5!E505*41</f>
        <v>1.6400000000000001</v>
      </c>
      <c r="J505" s="27">
        <v>0.56999999999999995</v>
      </c>
      <c r="K505">
        <v>0.1045</v>
      </c>
      <c r="L505">
        <v>1</v>
      </c>
      <c r="M505">
        <v>12</v>
      </c>
      <c r="N505">
        <v>13</v>
      </c>
    </row>
    <row r="506" spans="1:14" x14ac:dyDescent="0.3">
      <c r="A506">
        <v>505</v>
      </c>
      <c r="B506" s="21">
        <v>40566</v>
      </c>
      <c r="C506" s="25" t="s">
        <v>16</v>
      </c>
      <c r="D506" s="25" t="str" cm="1">
        <f t="array" ref="D506">_xlfn.SWITCH(Sheet5!A506,1,"JANUARY",2,"FEBRUARY")</f>
        <v>JANUARY</v>
      </c>
      <c r="E506">
        <v>2</v>
      </c>
      <c r="F506" t="str" cm="1">
        <f t="array" ref="F506">_xlfn.SWITCH(Sheet5!C506,FALSE,"NO",TRUE,"YES")</f>
        <v>NO</v>
      </c>
      <c r="G506" t="str" cm="1">
        <f t="array" ref="G506">_xlfn.SWITCH(Sheet5!B506,0,"Sunday",1,"Monday",2,"Tuesday",3,"Wednesday",4,"Thursday",5,"Friday",6,"Saturday")</f>
        <v>Sunday</v>
      </c>
      <c r="H506" t="str" cm="1">
        <f t="array" ref="H506">_xlfn.SWITCH(Sheet5!D506, 1, "Clear Sky", 2, "Mist", 3, "Dark Cloud",4,"Heavy Rainfall")</f>
        <v>Clear Sky</v>
      </c>
      <c r="I506" s="26">
        <f>Sheet5!E506*41</f>
        <v>0.82000000000000006</v>
      </c>
      <c r="J506" s="27">
        <v>0.62</v>
      </c>
      <c r="K506">
        <v>0.1343</v>
      </c>
      <c r="L506">
        <v>3</v>
      </c>
      <c r="M506">
        <v>15</v>
      </c>
      <c r="N506">
        <v>18</v>
      </c>
    </row>
    <row r="507" spans="1:14" x14ac:dyDescent="0.3">
      <c r="A507">
        <v>506</v>
      </c>
      <c r="B507" s="21">
        <v>40566</v>
      </c>
      <c r="C507" s="25" t="s">
        <v>16</v>
      </c>
      <c r="D507" s="25" t="str" cm="1">
        <f t="array" ref="D507">_xlfn.SWITCH(Sheet5!A507,1,"JANUARY",2,"FEBRUARY")</f>
        <v>JANUARY</v>
      </c>
      <c r="E507">
        <v>3</v>
      </c>
      <c r="F507" t="str" cm="1">
        <f t="array" ref="F507">_xlfn.SWITCH(Sheet5!C507,FALSE,"NO",TRUE,"YES")</f>
        <v>NO</v>
      </c>
      <c r="G507" t="str" cm="1">
        <f t="array" ref="G507">_xlfn.SWITCH(Sheet5!B507,0,"Sunday",1,"Monday",2,"Tuesday",3,"Wednesday",4,"Thursday",5,"Friday",6,"Saturday")</f>
        <v>Sunday</v>
      </c>
      <c r="H507" t="str" cm="1">
        <f t="array" ref="H507">_xlfn.SWITCH(Sheet5!D507, 1, "Clear Sky", 2, "Mist", 3, "Dark Cloud",4,"Heavy Rainfall")</f>
        <v>Clear Sky</v>
      </c>
      <c r="I507" s="26">
        <f>Sheet5!E507*41</f>
        <v>0.82000000000000006</v>
      </c>
      <c r="J507" s="27">
        <v>0.62</v>
      </c>
      <c r="K507">
        <v>0.1343</v>
      </c>
      <c r="L507">
        <v>1</v>
      </c>
      <c r="M507">
        <v>4</v>
      </c>
      <c r="N507">
        <v>5</v>
      </c>
    </row>
    <row r="508" spans="1:14" x14ac:dyDescent="0.3">
      <c r="A508">
        <v>507</v>
      </c>
      <c r="B508" s="21">
        <v>40566</v>
      </c>
      <c r="C508" s="25" t="s">
        <v>16</v>
      </c>
      <c r="D508" s="25" t="str" cm="1">
        <f t="array" ref="D508">_xlfn.SWITCH(Sheet5!A508,1,"JANUARY",2,"FEBRUARY")</f>
        <v>JANUARY</v>
      </c>
      <c r="E508">
        <v>5</v>
      </c>
      <c r="F508" t="str" cm="1">
        <f t="array" ref="F508">_xlfn.SWITCH(Sheet5!C508,FALSE,"NO",TRUE,"YES")</f>
        <v>NO</v>
      </c>
      <c r="G508" t="str" cm="1">
        <f t="array" ref="G508">_xlfn.SWITCH(Sheet5!B508,0,"Sunday",1,"Monday",2,"Tuesday",3,"Wednesday",4,"Thursday",5,"Friday",6,"Saturday")</f>
        <v>Sunday</v>
      </c>
      <c r="H508" t="str" cm="1">
        <f t="array" ref="H508">_xlfn.SWITCH(Sheet5!D508, 1, "Clear Sky", 2, "Mist", 3, "Dark Cloud",4,"Heavy Rainfall")</f>
        <v>Mist</v>
      </c>
      <c r="I508" s="26">
        <f>Sheet5!E508*41</f>
        <v>1.6400000000000001</v>
      </c>
      <c r="J508" s="27">
        <v>0.56999999999999995</v>
      </c>
      <c r="K508">
        <v>0.1045</v>
      </c>
      <c r="L508">
        <v>0</v>
      </c>
      <c r="M508">
        <v>3</v>
      </c>
      <c r="N508">
        <v>3</v>
      </c>
    </row>
    <row r="509" spans="1:14" x14ac:dyDescent="0.3">
      <c r="A509">
        <v>508</v>
      </c>
      <c r="B509" s="21">
        <v>40566</v>
      </c>
      <c r="C509" s="25" t="s">
        <v>16</v>
      </c>
      <c r="D509" s="25" t="str" cm="1">
        <f t="array" ref="D509">_xlfn.SWITCH(Sheet5!A509,1,"JANUARY",2,"FEBRUARY")</f>
        <v>JANUARY</v>
      </c>
      <c r="E509">
        <v>6</v>
      </c>
      <c r="F509" t="str" cm="1">
        <f t="array" ref="F509">_xlfn.SWITCH(Sheet5!C509,FALSE,"NO",TRUE,"YES")</f>
        <v>NO</v>
      </c>
      <c r="G509" t="str" cm="1">
        <f t="array" ref="G509">_xlfn.SWITCH(Sheet5!B509,0,"Sunday",1,"Monday",2,"Tuesday",3,"Wednesday",4,"Thursday",5,"Friday",6,"Saturday")</f>
        <v>Sunday</v>
      </c>
      <c r="H509" t="str" cm="1">
        <f t="array" ref="H509">_xlfn.SWITCH(Sheet5!D509, 1, "Clear Sky", 2, "Mist", 3, "Dark Cloud",4,"Heavy Rainfall")</f>
        <v>Mist</v>
      </c>
      <c r="I509" s="26">
        <f>Sheet5!E509*41</f>
        <v>1.6400000000000001</v>
      </c>
      <c r="J509" s="27">
        <v>0.56999999999999995</v>
      </c>
      <c r="K509">
        <v>0.1045</v>
      </c>
      <c r="L509">
        <v>0</v>
      </c>
      <c r="M509">
        <v>1</v>
      </c>
      <c r="N509">
        <v>1</v>
      </c>
    </row>
    <row r="510" spans="1:14" x14ac:dyDescent="0.3">
      <c r="A510">
        <v>509</v>
      </c>
      <c r="B510" s="21">
        <v>40566</v>
      </c>
      <c r="C510" s="25" t="s">
        <v>16</v>
      </c>
      <c r="D510" s="25" t="str" cm="1">
        <f t="array" ref="D510">_xlfn.SWITCH(Sheet5!A510,1,"JANUARY",2,"FEBRUARY")</f>
        <v>JANUARY</v>
      </c>
      <c r="E510">
        <v>7</v>
      </c>
      <c r="F510" t="str" cm="1">
        <f t="array" ref="F510">_xlfn.SWITCH(Sheet5!C510,FALSE,"NO",TRUE,"YES")</f>
        <v>NO</v>
      </c>
      <c r="G510" t="str" cm="1">
        <f t="array" ref="G510">_xlfn.SWITCH(Sheet5!B510,0,"Sunday",1,"Monday",2,"Tuesday",3,"Wednesday",4,"Thursday",5,"Friday",6,"Saturday")</f>
        <v>Sunday</v>
      </c>
      <c r="H510" t="str" cm="1">
        <f t="array" ref="H510">_xlfn.SWITCH(Sheet5!D510, 1, "Clear Sky", 2, "Mist", 3, "Dark Cloud",4,"Heavy Rainfall")</f>
        <v>Clear Sky</v>
      </c>
      <c r="I510" s="26">
        <f>Sheet5!E510*41</f>
        <v>3.2800000000000002</v>
      </c>
      <c r="J510" s="27">
        <v>0.57999999999999996</v>
      </c>
      <c r="K510">
        <v>0.16420000000000001</v>
      </c>
      <c r="L510">
        <v>1</v>
      </c>
      <c r="M510">
        <v>1</v>
      </c>
      <c r="N510">
        <v>2</v>
      </c>
    </row>
    <row r="511" spans="1:14" x14ac:dyDescent="0.3">
      <c r="A511">
        <v>510</v>
      </c>
      <c r="B511" s="21">
        <v>40566</v>
      </c>
      <c r="C511" s="25" t="s">
        <v>16</v>
      </c>
      <c r="D511" s="25" t="str" cm="1">
        <f t="array" ref="D511">_xlfn.SWITCH(Sheet5!A511,1,"JANUARY",2,"FEBRUARY")</f>
        <v>JANUARY</v>
      </c>
      <c r="E511">
        <v>8</v>
      </c>
      <c r="F511" t="str" cm="1">
        <f t="array" ref="F511">_xlfn.SWITCH(Sheet5!C511,FALSE,"NO",TRUE,"YES")</f>
        <v>NO</v>
      </c>
      <c r="G511" t="str" cm="1">
        <f t="array" ref="G511">_xlfn.SWITCH(Sheet5!B511,0,"Sunday",1,"Monday",2,"Tuesday",3,"Wednesday",4,"Thursday",5,"Friday",6,"Saturday")</f>
        <v>Sunday</v>
      </c>
      <c r="H511" t="str" cm="1">
        <f t="array" ref="H511">_xlfn.SWITCH(Sheet5!D511, 1, "Clear Sky", 2, "Mist", 3, "Dark Cloud",4,"Heavy Rainfall")</f>
        <v>Clear Sky</v>
      </c>
      <c r="I511" s="26">
        <f>Sheet5!E511*41</f>
        <v>2.46</v>
      </c>
      <c r="J511" s="27">
        <v>0.62</v>
      </c>
      <c r="K511">
        <v>0.16420000000000001</v>
      </c>
      <c r="L511">
        <v>2</v>
      </c>
      <c r="M511">
        <v>17</v>
      </c>
      <c r="N511">
        <v>19</v>
      </c>
    </row>
    <row r="512" spans="1:14" x14ac:dyDescent="0.3">
      <c r="A512">
        <v>511</v>
      </c>
      <c r="B512" s="21">
        <v>40566</v>
      </c>
      <c r="C512" s="25" t="s">
        <v>16</v>
      </c>
      <c r="D512" s="25" t="str" cm="1">
        <f t="array" ref="D512">_xlfn.SWITCH(Sheet5!A512,1,"JANUARY",2,"FEBRUARY")</f>
        <v>JANUARY</v>
      </c>
      <c r="E512">
        <v>9</v>
      </c>
      <c r="F512" t="str" cm="1">
        <f t="array" ref="F512">_xlfn.SWITCH(Sheet5!C512,FALSE,"NO",TRUE,"YES")</f>
        <v>NO</v>
      </c>
      <c r="G512" t="str" cm="1">
        <f t="array" ref="G512">_xlfn.SWITCH(Sheet5!B512,0,"Sunday",1,"Monday",2,"Tuesday",3,"Wednesday",4,"Thursday",5,"Friday",6,"Saturday")</f>
        <v>Sunday</v>
      </c>
      <c r="H512" t="str" cm="1">
        <f t="array" ref="H512">_xlfn.SWITCH(Sheet5!D512, 1, "Clear Sky", 2, "Mist", 3, "Dark Cloud",4,"Heavy Rainfall")</f>
        <v>Clear Sky</v>
      </c>
      <c r="I512" s="26">
        <f>Sheet5!E512*41</f>
        <v>4.1000000000000005</v>
      </c>
      <c r="J512" s="27">
        <v>0.54</v>
      </c>
      <c r="K512">
        <v>0.35820000000000002</v>
      </c>
      <c r="L512">
        <v>3</v>
      </c>
      <c r="M512">
        <v>25</v>
      </c>
      <c r="N512">
        <v>28</v>
      </c>
    </row>
    <row r="513" spans="1:14" x14ac:dyDescent="0.3">
      <c r="A513">
        <v>512</v>
      </c>
      <c r="B513" s="21">
        <v>40566</v>
      </c>
      <c r="C513" s="25" t="s">
        <v>16</v>
      </c>
      <c r="D513" s="25" t="str" cm="1">
        <f t="array" ref="D513">_xlfn.SWITCH(Sheet5!A513,1,"JANUARY",2,"FEBRUARY")</f>
        <v>JANUARY</v>
      </c>
      <c r="E513">
        <v>10</v>
      </c>
      <c r="F513" t="str" cm="1">
        <f t="array" ref="F513">_xlfn.SWITCH(Sheet5!C513,FALSE,"NO",TRUE,"YES")</f>
        <v>NO</v>
      </c>
      <c r="G513" t="str" cm="1">
        <f t="array" ref="G513">_xlfn.SWITCH(Sheet5!B513,0,"Sunday",1,"Monday",2,"Tuesday",3,"Wednesday",4,"Thursday",5,"Friday",6,"Saturday")</f>
        <v>Sunday</v>
      </c>
      <c r="H513" t="str" cm="1">
        <f t="array" ref="H513">_xlfn.SWITCH(Sheet5!D513, 1, "Clear Sky", 2, "Mist", 3, "Dark Cloud",4,"Heavy Rainfall")</f>
        <v>Clear Sky</v>
      </c>
      <c r="I513" s="26">
        <f>Sheet5!E513*41</f>
        <v>5.74</v>
      </c>
      <c r="J513" s="27">
        <v>0.46</v>
      </c>
      <c r="K513">
        <v>0.3881</v>
      </c>
      <c r="L513">
        <v>7</v>
      </c>
      <c r="M513">
        <v>51</v>
      </c>
      <c r="N513">
        <v>58</v>
      </c>
    </row>
    <row r="514" spans="1:14" x14ac:dyDescent="0.3">
      <c r="A514">
        <v>513</v>
      </c>
      <c r="B514" s="21">
        <v>40566</v>
      </c>
      <c r="C514" s="25" t="s">
        <v>16</v>
      </c>
      <c r="D514" s="25" t="str" cm="1">
        <f t="array" ref="D514">_xlfn.SWITCH(Sheet5!A514,1,"JANUARY",2,"FEBRUARY")</f>
        <v>JANUARY</v>
      </c>
      <c r="E514">
        <v>11</v>
      </c>
      <c r="F514" t="str" cm="1">
        <f t="array" ref="F514">_xlfn.SWITCH(Sheet5!C514,FALSE,"NO",TRUE,"YES")</f>
        <v>NO</v>
      </c>
      <c r="G514" t="str" cm="1">
        <f t="array" ref="G514">_xlfn.SWITCH(Sheet5!B514,0,"Sunday",1,"Monday",2,"Tuesday",3,"Wednesday",4,"Thursday",5,"Friday",6,"Saturday")</f>
        <v>Sunday</v>
      </c>
      <c r="H514" t="str" cm="1">
        <f t="array" ref="H514">_xlfn.SWITCH(Sheet5!D514, 1, "Clear Sky", 2, "Mist", 3, "Dark Cloud",4,"Heavy Rainfall")</f>
        <v>Clear Sky</v>
      </c>
      <c r="I514" s="26">
        <f>Sheet5!E514*41</f>
        <v>5.74</v>
      </c>
      <c r="J514" s="27">
        <v>0.43</v>
      </c>
      <c r="K514">
        <v>0.22389999999999999</v>
      </c>
      <c r="L514">
        <v>22</v>
      </c>
      <c r="M514">
        <v>77</v>
      </c>
      <c r="N514">
        <v>99</v>
      </c>
    </row>
    <row r="515" spans="1:14" x14ac:dyDescent="0.3">
      <c r="A515">
        <v>514</v>
      </c>
      <c r="B515" s="21">
        <v>40566</v>
      </c>
      <c r="C515" s="25" t="s">
        <v>16</v>
      </c>
      <c r="D515" s="25" t="str" cm="1">
        <f t="array" ref="D515">_xlfn.SWITCH(Sheet5!A515,1,"JANUARY",2,"FEBRUARY")</f>
        <v>JANUARY</v>
      </c>
      <c r="E515">
        <v>12</v>
      </c>
      <c r="F515" t="str" cm="1">
        <f t="array" ref="F515">_xlfn.SWITCH(Sheet5!C515,FALSE,"NO",TRUE,"YES")</f>
        <v>NO</v>
      </c>
      <c r="G515" t="str" cm="1">
        <f t="array" ref="G515">_xlfn.SWITCH(Sheet5!B515,0,"Sunday",1,"Monday",2,"Tuesday",3,"Wednesday",4,"Thursday",5,"Friday",6,"Saturday")</f>
        <v>Sunday</v>
      </c>
      <c r="H515" t="str" cm="1">
        <f t="array" ref="H515">_xlfn.SWITCH(Sheet5!D515, 1, "Clear Sky", 2, "Mist", 3, "Dark Cloud",4,"Heavy Rainfall")</f>
        <v>Clear Sky</v>
      </c>
      <c r="I515" s="26">
        <f>Sheet5!E515*41</f>
        <v>6.5600000000000005</v>
      </c>
      <c r="J515" s="27">
        <v>0.37</v>
      </c>
      <c r="K515">
        <v>0.4627</v>
      </c>
      <c r="L515">
        <v>24</v>
      </c>
      <c r="M515">
        <v>92</v>
      </c>
      <c r="N515">
        <v>116</v>
      </c>
    </row>
    <row r="516" spans="1:14" x14ac:dyDescent="0.3">
      <c r="A516">
        <v>515</v>
      </c>
      <c r="B516" s="21">
        <v>40566</v>
      </c>
      <c r="C516" s="25" t="s">
        <v>16</v>
      </c>
      <c r="D516" s="25" t="str" cm="1">
        <f t="array" ref="D516">_xlfn.SWITCH(Sheet5!A516,1,"JANUARY",2,"FEBRUARY")</f>
        <v>JANUARY</v>
      </c>
      <c r="E516">
        <v>13</v>
      </c>
      <c r="F516" t="str" cm="1">
        <f t="array" ref="F516">_xlfn.SWITCH(Sheet5!C516,FALSE,"NO",TRUE,"YES")</f>
        <v>NO</v>
      </c>
      <c r="G516" t="str" cm="1">
        <f t="array" ref="G516">_xlfn.SWITCH(Sheet5!B516,0,"Sunday",1,"Monday",2,"Tuesday",3,"Wednesday",4,"Thursday",5,"Friday",6,"Saturday")</f>
        <v>Sunday</v>
      </c>
      <c r="H516" t="str" cm="1">
        <f t="array" ref="H516">_xlfn.SWITCH(Sheet5!D516, 1, "Clear Sky", 2, "Mist", 3, "Dark Cloud",4,"Heavy Rainfall")</f>
        <v>Clear Sky</v>
      </c>
      <c r="I516" s="26">
        <f>Sheet5!E516*41</f>
        <v>5.74</v>
      </c>
      <c r="J516" s="27">
        <v>0.33</v>
      </c>
      <c r="K516">
        <v>0.3881</v>
      </c>
      <c r="L516">
        <v>12</v>
      </c>
      <c r="M516">
        <v>75</v>
      </c>
      <c r="N516">
        <v>87</v>
      </c>
    </row>
    <row r="517" spans="1:14" x14ac:dyDescent="0.3">
      <c r="A517">
        <v>516</v>
      </c>
      <c r="B517" s="21">
        <v>40566</v>
      </c>
      <c r="C517" s="25" t="s">
        <v>16</v>
      </c>
      <c r="D517" s="25" t="str" cm="1">
        <f t="array" ref="D517">_xlfn.SWITCH(Sheet5!A517,1,"JANUARY",2,"FEBRUARY")</f>
        <v>JANUARY</v>
      </c>
      <c r="E517">
        <v>14</v>
      </c>
      <c r="F517" t="str" cm="1">
        <f t="array" ref="F517">_xlfn.SWITCH(Sheet5!C517,FALSE,"NO",TRUE,"YES")</f>
        <v>NO</v>
      </c>
      <c r="G517" t="str" cm="1">
        <f t="array" ref="G517">_xlfn.SWITCH(Sheet5!B517,0,"Sunday",1,"Monday",2,"Tuesday",3,"Wednesday",4,"Thursday",5,"Friday",6,"Saturday")</f>
        <v>Sunday</v>
      </c>
      <c r="H517" t="str" cm="1">
        <f t="array" ref="H517">_xlfn.SWITCH(Sheet5!D517, 1, "Clear Sky", 2, "Mist", 3, "Dark Cloud",4,"Heavy Rainfall")</f>
        <v>Clear Sky</v>
      </c>
      <c r="I517" s="26">
        <f>Sheet5!E517*41</f>
        <v>6.5600000000000005</v>
      </c>
      <c r="J517" s="27">
        <v>0.28000000000000003</v>
      </c>
      <c r="K517">
        <v>0.35820000000000002</v>
      </c>
      <c r="L517">
        <v>17</v>
      </c>
      <c r="M517">
        <v>93</v>
      </c>
      <c r="N517">
        <v>110</v>
      </c>
    </row>
    <row r="518" spans="1:14" x14ac:dyDescent="0.3">
      <c r="A518">
        <v>517</v>
      </c>
      <c r="B518" s="21">
        <v>40566</v>
      </c>
      <c r="C518" s="25" t="s">
        <v>16</v>
      </c>
      <c r="D518" s="25" t="str" cm="1">
        <f t="array" ref="D518">_xlfn.SWITCH(Sheet5!A518,1,"JANUARY",2,"FEBRUARY")</f>
        <v>JANUARY</v>
      </c>
      <c r="E518">
        <v>15</v>
      </c>
      <c r="F518" t="str" cm="1">
        <f t="array" ref="F518">_xlfn.SWITCH(Sheet5!C518,FALSE,"NO",TRUE,"YES")</f>
        <v>NO</v>
      </c>
      <c r="G518" t="str" cm="1">
        <f t="array" ref="G518">_xlfn.SWITCH(Sheet5!B518,0,"Sunday",1,"Monday",2,"Tuesday",3,"Wednesday",4,"Thursday",5,"Friday",6,"Saturday")</f>
        <v>Sunday</v>
      </c>
      <c r="H518" t="str" cm="1">
        <f t="array" ref="H518">_xlfn.SWITCH(Sheet5!D518, 1, "Clear Sky", 2, "Mist", 3, "Dark Cloud",4,"Heavy Rainfall")</f>
        <v>Clear Sky</v>
      </c>
      <c r="I518" s="26">
        <f>Sheet5!E518*41</f>
        <v>6.5600000000000005</v>
      </c>
      <c r="J518" s="27">
        <v>0.28000000000000003</v>
      </c>
      <c r="K518">
        <v>0.35820000000000002</v>
      </c>
      <c r="L518">
        <v>13</v>
      </c>
      <c r="M518">
        <v>64</v>
      </c>
      <c r="N518">
        <v>77</v>
      </c>
    </row>
    <row r="519" spans="1:14" x14ac:dyDescent="0.3">
      <c r="A519">
        <v>518</v>
      </c>
      <c r="B519" s="21">
        <v>40566</v>
      </c>
      <c r="C519" s="25" t="s">
        <v>16</v>
      </c>
      <c r="D519" s="25" t="str" cm="1">
        <f t="array" ref="D519">_xlfn.SWITCH(Sheet5!A519,1,"JANUARY",2,"FEBRUARY")</f>
        <v>JANUARY</v>
      </c>
      <c r="E519">
        <v>16</v>
      </c>
      <c r="F519" t="str" cm="1">
        <f t="array" ref="F519">_xlfn.SWITCH(Sheet5!C519,FALSE,"NO",TRUE,"YES")</f>
        <v>NO</v>
      </c>
      <c r="G519" t="str" cm="1">
        <f t="array" ref="G519">_xlfn.SWITCH(Sheet5!B519,0,"Sunday",1,"Monday",2,"Tuesday",3,"Wednesday",4,"Thursday",5,"Friday",6,"Saturday")</f>
        <v>Sunday</v>
      </c>
      <c r="H519" t="str" cm="1">
        <f t="array" ref="H519">_xlfn.SWITCH(Sheet5!D519, 1, "Clear Sky", 2, "Mist", 3, "Dark Cloud",4,"Heavy Rainfall")</f>
        <v>Clear Sky</v>
      </c>
      <c r="I519" s="26">
        <f>Sheet5!E519*41</f>
        <v>6.5600000000000005</v>
      </c>
      <c r="J519" s="27">
        <v>0.26</v>
      </c>
      <c r="K519">
        <v>0.32840000000000003</v>
      </c>
      <c r="L519">
        <v>9</v>
      </c>
      <c r="M519">
        <v>56</v>
      </c>
      <c r="N519">
        <v>65</v>
      </c>
    </row>
    <row r="520" spans="1:14" x14ac:dyDescent="0.3">
      <c r="A520">
        <v>519</v>
      </c>
      <c r="B520" s="21">
        <v>40566</v>
      </c>
      <c r="C520" s="25" t="s">
        <v>16</v>
      </c>
      <c r="D520" s="25" t="str" cm="1">
        <f t="array" ref="D520">_xlfn.SWITCH(Sheet5!A520,1,"JANUARY",2,"FEBRUARY")</f>
        <v>JANUARY</v>
      </c>
      <c r="E520">
        <v>17</v>
      </c>
      <c r="F520" t="str" cm="1">
        <f t="array" ref="F520">_xlfn.SWITCH(Sheet5!C520,FALSE,"NO",TRUE,"YES")</f>
        <v>NO</v>
      </c>
      <c r="G520" t="str" cm="1">
        <f t="array" ref="G520">_xlfn.SWITCH(Sheet5!B520,0,"Sunday",1,"Monday",2,"Tuesday",3,"Wednesday",4,"Thursday",5,"Friday",6,"Saturday")</f>
        <v>Sunday</v>
      </c>
      <c r="H520" t="str" cm="1">
        <f t="array" ref="H520">_xlfn.SWITCH(Sheet5!D520, 1, "Clear Sky", 2, "Mist", 3, "Dark Cloud",4,"Heavy Rainfall")</f>
        <v>Clear Sky</v>
      </c>
      <c r="I520" s="26">
        <f>Sheet5!E520*41</f>
        <v>5.74</v>
      </c>
      <c r="J520" s="27">
        <v>0.26</v>
      </c>
      <c r="K520">
        <v>0.3881</v>
      </c>
      <c r="L520">
        <v>5</v>
      </c>
      <c r="M520">
        <v>50</v>
      </c>
      <c r="N520">
        <v>55</v>
      </c>
    </row>
    <row r="521" spans="1:14" x14ac:dyDescent="0.3">
      <c r="A521">
        <v>520</v>
      </c>
      <c r="B521" s="21">
        <v>40566</v>
      </c>
      <c r="C521" s="25" t="s">
        <v>16</v>
      </c>
      <c r="D521" s="25" t="str" cm="1">
        <f t="array" ref="D521">_xlfn.SWITCH(Sheet5!A521,1,"JANUARY",2,"FEBRUARY")</f>
        <v>JANUARY</v>
      </c>
      <c r="E521">
        <v>18</v>
      </c>
      <c r="F521" t="str" cm="1">
        <f t="array" ref="F521">_xlfn.SWITCH(Sheet5!C521,FALSE,"NO",TRUE,"YES")</f>
        <v>NO</v>
      </c>
      <c r="G521" t="str" cm="1">
        <f t="array" ref="G521">_xlfn.SWITCH(Sheet5!B521,0,"Sunday",1,"Monday",2,"Tuesday",3,"Wednesday",4,"Thursday",5,"Friday",6,"Saturday")</f>
        <v>Sunday</v>
      </c>
      <c r="H521" t="str" cm="1">
        <f t="array" ref="H521">_xlfn.SWITCH(Sheet5!D521, 1, "Clear Sky", 2, "Mist", 3, "Dark Cloud",4,"Heavy Rainfall")</f>
        <v>Clear Sky</v>
      </c>
      <c r="I521" s="26">
        <f>Sheet5!E521*41</f>
        <v>4.92</v>
      </c>
      <c r="J521" s="27">
        <v>0.3</v>
      </c>
      <c r="K521">
        <v>0.25369999999999998</v>
      </c>
      <c r="L521">
        <v>5</v>
      </c>
      <c r="M521">
        <v>44</v>
      </c>
      <c r="N521">
        <v>49</v>
      </c>
    </row>
    <row r="522" spans="1:14" x14ac:dyDescent="0.3">
      <c r="A522">
        <v>521</v>
      </c>
      <c r="B522" s="21">
        <v>40566</v>
      </c>
      <c r="C522" s="25" t="s">
        <v>16</v>
      </c>
      <c r="D522" s="25" t="str" cm="1">
        <f t="array" ref="D522">_xlfn.SWITCH(Sheet5!A522,1,"JANUARY",2,"FEBRUARY")</f>
        <v>JANUARY</v>
      </c>
      <c r="E522">
        <v>19</v>
      </c>
      <c r="F522" t="str" cm="1">
        <f t="array" ref="F522">_xlfn.SWITCH(Sheet5!C522,FALSE,"NO",TRUE,"YES")</f>
        <v>NO</v>
      </c>
      <c r="G522" t="str" cm="1">
        <f t="array" ref="G522">_xlfn.SWITCH(Sheet5!B522,0,"Sunday",1,"Monday",2,"Tuesday",3,"Wednesday",4,"Thursday",5,"Friday",6,"Saturday")</f>
        <v>Sunday</v>
      </c>
      <c r="H522" t="str" cm="1">
        <f t="array" ref="H522">_xlfn.SWITCH(Sheet5!D522, 1, "Clear Sky", 2, "Mist", 3, "Dark Cloud",4,"Heavy Rainfall")</f>
        <v>Clear Sky</v>
      </c>
      <c r="I522" s="26">
        <f>Sheet5!E522*41</f>
        <v>4.92</v>
      </c>
      <c r="J522" s="27">
        <v>0.3</v>
      </c>
      <c r="K522">
        <v>0.28360000000000002</v>
      </c>
      <c r="L522">
        <v>5</v>
      </c>
      <c r="M522">
        <v>45</v>
      </c>
      <c r="N522">
        <v>50</v>
      </c>
    </row>
    <row r="523" spans="1:14" x14ac:dyDescent="0.3">
      <c r="A523">
        <v>522</v>
      </c>
      <c r="B523" s="21">
        <v>40566</v>
      </c>
      <c r="C523" s="25" t="s">
        <v>16</v>
      </c>
      <c r="D523" s="25" t="str" cm="1">
        <f t="array" ref="D523">_xlfn.SWITCH(Sheet5!A523,1,"JANUARY",2,"FEBRUARY")</f>
        <v>JANUARY</v>
      </c>
      <c r="E523">
        <v>20</v>
      </c>
      <c r="F523" t="str" cm="1">
        <f t="array" ref="F523">_xlfn.SWITCH(Sheet5!C523,FALSE,"NO",TRUE,"YES")</f>
        <v>NO</v>
      </c>
      <c r="G523" t="str" cm="1">
        <f t="array" ref="G523">_xlfn.SWITCH(Sheet5!B523,0,"Sunday",1,"Monday",2,"Tuesday",3,"Wednesday",4,"Thursday",5,"Friday",6,"Saturday")</f>
        <v>Sunday</v>
      </c>
      <c r="H523" t="str" cm="1">
        <f t="array" ref="H523">_xlfn.SWITCH(Sheet5!D523, 1, "Clear Sky", 2, "Mist", 3, "Dark Cloud",4,"Heavy Rainfall")</f>
        <v>Clear Sky</v>
      </c>
      <c r="I523" s="26">
        <f>Sheet5!E523*41</f>
        <v>4.1000000000000005</v>
      </c>
      <c r="J523" s="27">
        <v>0.36</v>
      </c>
      <c r="K523">
        <v>0.25369999999999998</v>
      </c>
      <c r="L523">
        <v>4</v>
      </c>
      <c r="M523">
        <v>31</v>
      </c>
      <c r="N523">
        <v>35</v>
      </c>
    </row>
    <row r="524" spans="1:14" x14ac:dyDescent="0.3">
      <c r="A524">
        <v>523</v>
      </c>
      <c r="B524" s="21">
        <v>40566</v>
      </c>
      <c r="C524" s="25" t="s">
        <v>16</v>
      </c>
      <c r="D524" s="25" t="str" cm="1">
        <f t="array" ref="D524">_xlfn.SWITCH(Sheet5!A524,1,"JANUARY",2,"FEBRUARY")</f>
        <v>JANUARY</v>
      </c>
      <c r="E524">
        <v>21</v>
      </c>
      <c r="F524" t="str" cm="1">
        <f t="array" ref="F524">_xlfn.SWITCH(Sheet5!C524,FALSE,"NO",TRUE,"YES")</f>
        <v>NO</v>
      </c>
      <c r="G524" t="str" cm="1">
        <f t="array" ref="G524">_xlfn.SWITCH(Sheet5!B524,0,"Sunday",1,"Monday",2,"Tuesday",3,"Wednesday",4,"Thursday",5,"Friday",6,"Saturday")</f>
        <v>Sunday</v>
      </c>
      <c r="H524" t="str" cm="1">
        <f t="array" ref="H524">_xlfn.SWITCH(Sheet5!D524, 1, "Clear Sky", 2, "Mist", 3, "Dark Cloud",4,"Heavy Rainfall")</f>
        <v>Clear Sky</v>
      </c>
      <c r="I524" s="26">
        <f>Sheet5!E524*41</f>
        <v>4.1000000000000005</v>
      </c>
      <c r="J524" s="27">
        <v>0.36</v>
      </c>
      <c r="K524">
        <v>0.19400000000000001</v>
      </c>
      <c r="L524">
        <v>5</v>
      </c>
      <c r="M524">
        <v>20</v>
      </c>
      <c r="N524">
        <v>25</v>
      </c>
    </row>
    <row r="525" spans="1:14" x14ac:dyDescent="0.3">
      <c r="A525">
        <v>524</v>
      </c>
      <c r="B525" s="21">
        <v>40566</v>
      </c>
      <c r="C525" s="25" t="s">
        <v>16</v>
      </c>
      <c r="D525" s="25" t="str" cm="1">
        <f t="array" ref="D525">_xlfn.SWITCH(Sheet5!A525,1,"JANUARY",2,"FEBRUARY")</f>
        <v>JANUARY</v>
      </c>
      <c r="E525">
        <v>22</v>
      </c>
      <c r="F525" t="str" cm="1">
        <f t="array" ref="F525">_xlfn.SWITCH(Sheet5!C525,FALSE,"NO",TRUE,"YES")</f>
        <v>NO</v>
      </c>
      <c r="G525" t="str" cm="1">
        <f t="array" ref="G525">_xlfn.SWITCH(Sheet5!B525,0,"Sunday",1,"Monday",2,"Tuesday",3,"Wednesday",4,"Thursday",5,"Friday",6,"Saturday")</f>
        <v>Sunday</v>
      </c>
      <c r="H525" t="str" cm="1">
        <f t="array" ref="H525">_xlfn.SWITCH(Sheet5!D525, 1, "Clear Sky", 2, "Mist", 3, "Dark Cloud",4,"Heavy Rainfall")</f>
        <v>Clear Sky</v>
      </c>
      <c r="I525" s="26">
        <f>Sheet5!E525*41</f>
        <v>3.2800000000000002</v>
      </c>
      <c r="J525" s="27">
        <v>0.38</v>
      </c>
      <c r="K525">
        <v>0.19400000000000001</v>
      </c>
      <c r="L525">
        <v>5</v>
      </c>
      <c r="M525">
        <v>23</v>
      </c>
      <c r="N525">
        <v>28</v>
      </c>
    </row>
    <row r="526" spans="1:14" x14ac:dyDescent="0.3">
      <c r="A526">
        <v>525</v>
      </c>
      <c r="B526" s="21">
        <v>40566</v>
      </c>
      <c r="C526" s="25" t="s">
        <v>16</v>
      </c>
      <c r="D526" s="25" t="str" cm="1">
        <f t="array" ref="D526">_xlfn.SWITCH(Sheet5!A526,1,"JANUARY",2,"FEBRUARY")</f>
        <v>JANUARY</v>
      </c>
      <c r="E526">
        <v>23</v>
      </c>
      <c r="F526" t="str" cm="1">
        <f t="array" ref="F526">_xlfn.SWITCH(Sheet5!C526,FALSE,"NO",TRUE,"YES")</f>
        <v>NO</v>
      </c>
      <c r="G526" t="str" cm="1">
        <f t="array" ref="G526">_xlfn.SWITCH(Sheet5!B526,0,"Sunday",1,"Monday",2,"Tuesday",3,"Wednesday",4,"Thursday",5,"Friday",6,"Saturday")</f>
        <v>Sunday</v>
      </c>
      <c r="H526" t="str" cm="1">
        <f t="array" ref="H526">_xlfn.SWITCH(Sheet5!D526, 1, "Clear Sky", 2, "Mist", 3, "Dark Cloud",4,"Heavy Rainfall")</f>
        <v>Clear Sky</v>
      </c>
      <c r="I526" s="26">
        <f>Sheet5!E526*41</f>
        <v>2.46</v>
      </c>
      <c r="J526" s="27">
        <v>0.41</v>
      </c>
      <c r="K526">
        <v>0.22389999999999999</v>
      </c>
      <c r="L526">
        <v>4</v>
      </c>
      <c r="M526">
        <v>17</v>
      </c>
      <c r="N526">
        <v>21</v>
      </c>
    </row>
    <row r="527" spans="1:14" x14ac:dyDescent="0.3">
      <c r="A527">
        <v>526</v>
      </c>
      <c r="B527" s="21">
        <v>40567</v>
      </c>
      <c r="C527" s="25" t="s">
        <v>16</v>
      </c>
      <c r="D527" s="25" t="str" cm="1">
        <f t="array" ref="D527">_xlfn.SWITCH(Sheet5!A527,1,"JANUARY",2,"FEBRUARY")</f>
        <v>JANUARY</v>
      </c>
      <c r="E527">
        <v>0</v>
      </c>
      <c r="F527" t="str" cm="1">
        <f t="array" ref="F527">_xlfn.SWITCH(Sheet5!C527,FALSE,"NO",TRUE,"YES")</f>
        <v>NO</v>
      </c>
      <c r="G527" t="str" cm="1">
        <f t="array" ref="G527">_xlfn.SWITCH(Sheet5!B527,0,"Sunday",1,"Monday",2,"Tuesday",3,"Wednesday",4,"Thursday",5,"Friday",6,"Saturday")</f>
        <v>Monday</v>
      </c>
      <c r="H527" t="str" cm="1">
        <f t="array" ref="H527">_xlfn.SWITCH(Sheet5!D527, 1, "Clear Sky", 2, "Mist", 3, "Dark Cloud",4,"Heavy Rainfall")</f>
        <v>Clear Sky</v>
      </c>
      <c r="I527" s="26">
        <f>Sheet5!E527*41</f>
        <v>2.46</v>
      </c>
      <c r="J527" s="27">
        <v>0.41</v>
      </c>
      <c r="K527">
        <v>0.19400000000000001</v>
      </c>
      <c r="L527">
        <v>0</v>
      </c>
      <c r="M527">
        <v>7</v>
      </c>
      <c r="N527">
        <v>7</v>
      </c>
    </row>
    <row r="528" spans="1:14" x14ac:dyDescent="0.3">
      <c r="A528">
        <v>527</v>
      </c>
      <c r="B528" s="21">
        <v>40567</v>
      </c>
      <c r="C528" s="25" t="s">
        <v>16</v>
      </c>
      <c r="D528" s="25" t="str" cm="1">
        <f t="array" ref="D528">_xlfn.SWITCH(Sheet5!A528,1,"JANUARY",2,"FEBRUARY")</f>
        <v>JANUARY</v>
      </c>
      <c r="E528">
        <v>1</v>
      </c>
      <c r="F528" t="str" cm="1">
        <f t="array" ref="F528">_xlfn.SWITCH(Sheet5!C528,FALSE,"NO",TRUE,"YES")</f>
        <v>NO</v>
      </c>
      <c r="G528" t="str" cm="1">
        <f t="array" ref="G528">_xlfn.SWITCH(Sheet5!B528,0,"Sunday",1,"Monday",2,"Tuesday",3,"Wednesday",4,"Thursday",5,"Friday",6,"Saturday")</f>
        <v>Monday</v>
      </c>
      <c r="H528" t="str" cm="1">
        <f t="array" ref="H528">_xlfn.SWITCH(Sheet5!D528, 1, "Clear Sky", 2, "Mist", 3, "Dark Cloud",4,"Heavy Rainfall")</f>
        <v>Clear Sky</v>
      </c>
      <c r="I528" s="26">
        <f>Sheet5!E528*41</f>
        <v>1.6400000000000001</v>
      </c>
      <c r="J528" s="27">
        <v>0.45</v>
      </c>
      <c r="K528">
        <v>0.19400000000000001</v>
      </c>
      <c r="L528">
        <v>0</v>
      </c>
      <c r="M528">
        <v>1</v>
      </c>
      <c r="N528">
        <v>1</v>
      </c>
    </row>
    <row r="529" spans="1:14" x14ac:dyDescent="0.3">
      <c r="A529">
        <v>528</v>
      </c>
      <c r="B529" s="21">
        <v>40567</v>
      </c>
      <c r="C529" s="25" t="s">
        <v>16</v>
      </c>
      <c r="D529" s="25" t="str" cm="1">
        <f t="array" ref="D529">_xlfn.SWITCH(Sheet5!A529,1,"JANUARY",2,"FEBRUARY")</f>
        <v>JANUARY</v>
      </c>
      <c r="E529">
        <v>3</v>
      </c>
      <c r="F529" t="str" cm="1">
        <f t="array" ref="F529">_xlfn.SWITCH(Sheet5!C529,FALSE,"NO",TRUE,"YES")</f>
        <v>NO</v>
      </c>
      <c r="G529" t="str" cm="1">
        <f t="array" ref="G529">_xlfn.SWITCH(Sheet5!B529,0,"Sunday",1,"Monday",2,"Tuesday",3,"Wednesday",4,"Thursday",5,"Friday",6,"Saturday")</f>
        <v>Monday</v>
      </c>
      <c r="H529" t="str" cm="1">
        <f t="array" ref="H529">_xlfn.SWITCH(Sheet5!D529, 1, "Clear Sky", 2, "Mist", 3, "Dark Cloud",4,"Heavy Rainfall")</f>
        <v>Clear Sky</v>
      </c>
      <c r="I529" s="26">
        <f>Sheet5!E529*41</f>
        <v>1.6400000000000001</v>
      </c>
      <c r="J529" s="27">
        <v>0.45</v>
      </c>
      <c r="K529">
        <v>0.25369999999999998</v>
      </c>
      <c r="L529">
        <v>0</v>
      </c>
      <c r="M529">
        <v>1</v>
      </c>
      <c r="N529">
        <v>1</v>
      </c>
    </row>
    <row r="530" spans="1:14" x14ac:dyDescent="0.3">
      <c r="A530">
        <v>529</v>
      </c>
      <c r="B530" s="21">
        <v>40567</v>
      </c>
      <c r="C530" s="25" t="s">
        <v>16</v>
      </c>
      <c r="D530" s="25" t="str" cm="1">
        <f t="array" ref="D530">_xlfn.SWITCH(Sheet5!A530,1,"JANUARY",2,"FEBRUARY")</f>
        <v>JANUARY</v>
      </c>
      <c r="E530">
        <v>4</v>
      </c>
      <c r="F530" t="str" cm="1">
        <f t="array" ref="F530">_xlfn.SWITCH(Sheet5!C530,FALSE,"NO",TRUE,"YES")</f>
        <v>NO</v>
      </c>
      <c r="G530" t="str" cm="1">
        <f t="array" ref="G530">_xlfn.SWITCH(Sheet5!B530,0,"Sunday",1,"Monday",2,"Tuesday",3,"Wednesday",4,"Thursday",5,"Friday",6,"Saturday")</f>
        <v>Monday</v>
      </c>
      <c r="H530" t="str" cm="1">
        <f t="array" ref="H530">_xlfn.SWITCH(Sheet5!D530, 1, "Clear Sky", 2, "Mist", 3, "Dark Cloud",4,"Heavy Rainfall")</f>
        <v>Clear Sky</v>
      </c>
      <c r="I530" s="26">
        <f>Sheet5!E530*41</f>
        <v>0.82000000000000006</v>
      </c>
      <c r="J530" s="27">
        <v>0.48</v>
      </c>
      <c r="K530">
        <v>0.1343</v>
      </c>
      <c r="L530">
        <v>0</v>
      </c>
      <c r="M530">
        <v>1</v>
      </c>
      <c r="N530">
        <v>1</v>
      </c>
    </row>
    <row r="531" spans="1:14" x14ac:dyDescent="0.3">
      <c r="A531">
        <v>530</v>
      </c>
      <c r="B531" s="21">
        <v>40567</v>
      </c>
      <c r="C531" s="25" t="s">
        <v>16</v>
      </c>
      <c r="D531" s="25" t="str" cm="1">
        <f t="array" ref="D531">_xlfn.SWITCH(Sheet5!A531,1,"JANUARY",2,"FEBRUARY")</f>
        <v>JANUARY</v>
      </c>
      <c r="E531">
        <v>5</v>
      </c>
      <c r="F531" t="str" cm="1">
        <f t="array" ref="F531">_xlfn.SWITCH(Sheet5!C531,FALSE,"NO",TRUE,"YES")</f>
        <v>NO</v>
      </c>
      <c r="G531" t="str" cm="1">
        <f t="array" ref="G531">_xlfn.SWITCH(Sheet5!B531,0,"Sunday",1,"Monday",2,"Tuesday",3,"Wednesday",4,"Thursday",5,"Friday",6,"Saturday")</f>
        <v>Monday</v>
      </c>
      <c r="H531" t="str" cm="1">
        <f t="array" ref="H531">_xlfn.SWITCH(Sheet5!D531, 1, "Clear Sky", 2, "Mist", 3, "Dark Cloud",4,"Heavy Rainfall")</f>
        <v>Clear Sky</v>
      </c>
      <c r="I531" s="26">
        <f>Sheet5!E531*41</f>
        <v>0.82000000000000006</v>
      </c>
      <c r="J531" s="27">
        <v>0.48</v>
      </c>
      <c r="K531">
        <v>0.1343</v>
      </c>
      <c r="L531">
        <v>0</v>
      </c>
      <c r="M531">
        <v>5</v>
      </c>
      <c r="N531">
        <v>5</v>
      </c>
    </row>
    <row r="532" spans="1:14" x14ac:dyDescent="0.3">
      <c r="A532">
        <v>531</v>
      </c>
      <c r="B532" s="21">
        <v>40567</v>
      </c>
      <c r="C532" s="25" t="s">
        <v>16</v>
      </c>
      <c r="D532" s="25" t="str" cm="1">
        <f t="array" ref="D532">_xlfn.SWITCH(Sheet5!A532,1,"JANUARY",2,"FEBRUARY")</f>
        <v>JANUARY</v>
      </c>
      <c r="E532">
        <v>6</v>
      </c>
      <c r="F532" t="str" cm="1">
        <f t="array" ref="F532">_xlfn.SWITCH(Sheet5!C532,FALSE,"NO",TRUE,"YES")</f>
        <v>NO</v>
      </c>
      <c r="G532" t="str" cm="1">
        <f t="array" ref="G532">_xlfn.SWITCH(Sheet5!B532,0,"Sunday",1,"Monday",2,"Tuesday",3,"Wednesday",4,"Thursday",5,"Friday",6,"Saturday")</f>
        <v>Monday</v>
      </c>
      <c r="H532" t="str" cm="1">
        <f t="array" ref="H532">_xlfn.SWITCH(Sheet5!D532, 1, "Clear Sky", 2, "Mist", 3, "Dark Cloud",4,"Heavy Rainfall")</f>
        <v>Clear Sky</v>
      </c>
      <c r="I532" s="26">
        <f>Sheet5!E532*41</f>
        <v>0.82000000000000006</v>
      </c>
      <c r="J532" s="27">
        <v>0.48</v>
      </c>
      <c r="K532">
        <v>8.9599999999999999E-2</v>
      </c>
      <c r="L532">
        <v>0</v>
      </c>
      <c r="M532">
        <v>15</v>
      </c>
      <c r="N532">
        <v>15</v>
      </c>
    </row>
    <row r="533" spans="1:14" x14ac:dyDescent="0.3">
      <c r="A533">
        <v>532</v>
      </c>
      <c r="B533" s="21">
        <v>40567</v>
      </c>
      <c r="C533" s="25" t="s">
        <v>16</v>
      </c>
      <c r="D533" s="25" t="str" cm="1">
        <f t="array" ref="D533">_xlfn.SWITCH(Sheet5!A533,1,"JANUARY",2,"FEBRUARY")</f>
        <v>JANUARY</v>
      </c>
      <c r="E533">
        <v>7</v>
      </c>
      <c r="F533" t="str" cm="1">
        <f t="array" ref="F533">_xlfn.SWITCH(Sheet5!C533,FALSE,"NO",TRUE,"YES")</f>
        <v>NO</v>
      </c>
      <c r="G533" t="str" cm="1">
        <f t="array" ref="G533">_xlfn.SWITCH(Sheet5!B533,0,"Sunday",1,"Monday",2,"Tuesday",3,"Wednesday",4,"Thursday",5,"Friday",6,"Saturday")</f>
        <v>Monday</v>
      </c>
      <c r="H533" t="str" cm="1">
        <f t="array" ref="H533">_xlfn.SWITCH(Sheet5!D533, 1, "Clear Sky", 2, "Mist", 3, "Dark Cloud",4,"Heavy Rainfall")</f>
        <v>Clear Sky</v>
      </c>
      <c r="I533" s="26">
        <f>Sheet5!E533*41</f>
        <v>0.82000000000000006</v>
      </c>
      <c r="J533" s="27">
        <v>0.48</v>
      </c>
      <c r="K533">
        <v>0</v>
      </c>
      <c r="L533">
        <v>5</v>
      </c>
      <c r="M533">
        <v>79</v>
      </c>
      <c r="N533">
        <v>84</v>
      </c>
    </row>
    <row r="534" spans="1:14" x14ac:dyDescent="0.3">
      <c r="A534">
        <v>533</v>
      </c>
      <c r="B534" s="21">
        <v>40567</v>
      </c>
      <c r="C534" s="25" t="s">
        <v>16</v>
      </c>
      <c r="D534" s="25" t="str" cm="1">
        <f t="array" ref="D534">_xlfn.SWITCH(Sheet5!A534,1,"JANUARY",2,"FEBRUARY")</f>
        <v>JANUARY</v>
      </c>
      <c r="E534">
        <v>8</v>
      </c>
      <c r="F534" t="str" cm="1">
        <f t="array" ref="F534">_xlfn.SWITCH(Sheet5!C534,FALSE,"NO",TRUE,"YES")</f>
        <v>NO</v>
      </c>
      <c r="G534" t="str" cm="1">
        <f t="array" ref="G534">_xlfn.SWITCH(Sheet5!B534,0,"Sunday",1,"Monday",2,"Tuesday",3,"Wednesday",4,"Thursday",5,"Friday",6,"Saturday")</f>
        <v>Monday</v>
      </c>
      <c r="H534" t="str" cm="1">
        <f t="array" ref="H534">_xlfn.SWITCH(Sheet5!D534, 1, "Clear Sky", 2, "Mist", 3, "Dark Cloud",4,"Heavy Rainfall")</f>
        <v>Clear Sky</v>
      </c>
      <c r="I534" s="26">
        <f>Sheet5!E534*41</f>
        <v>1.6400000000000001</v>
      </c>
      <c r="J534" s="27">
        <v>0.49</v>
      </c>
      <c r="K534">
        <v>0</v>
      </c>
      <c r="L534">
        <v>6</v>
      </c>
      <c r="M534">
        <v>171</v>
      </c>
      <c r="N534">
        <v>177</v>
      </c>
    </row>
    <row r="535" spans="1:14" x14ac:dyDescent="0.3">
      <c r="A535">
        <v>534</v>
      </c>
      <c r="B535" s="21">
        <v>40567</v>
      </c>
      <c r="C535" s="25" t="s">
        <v>16</v>
      </c>
      <c r="D535" s="25" t="str" cm="1">
        <f t="array" ref="D535">_xlfn.SWITCH(Sheet5!A535,1,"JANUARY",2,"FEBRUARY")</f>
        <v>JANUARY</v>
      </c>
      <c r="E535">
        <v>9</v>
      </c>
      <c r="F535" t="str" cm="1">
        <f t="array" ref="F535">_xlfn.SWITCH(Sheet5!C535,FALSE,"NO",TRUE,"YES")</f>
        <v>NO</v>
      </c>
      <c r="G535" t="str" cm="1">
        <f t="array" ref="G535">_xlfn.SWITCH(Sheet5!B535,0,"Sunday",1,"Monday",2,"Tuesday",3,"Wednesday",4,"Thursday",5,"Friday",6,"Saturday")</f>
        <v>Monday</v>
      </c>
      <c r="H535" t="str" cm="1">
        <f t="array" ref="H535">_xlfn.SWITCH(Sheet5!D535, 1, "Clear Sky", 2, "Mist", 3, "Dark Cloud",4,"Heavy Rainfall")</f>
        <v>Clear Sky</v>
      </c>
      <c r="I535" s="26">
        <f>Sheet5!E535*41</f>
        <v>2.46</v>
      </c>
      <c r="J535" s="27">
        <v>0.41</v>
      </c>
      <c r="K535">
        <v>0</v>
      </c>
      <c r="L535">
        <v>4</v>
      </c>
      <c r="M535">
        <v>98</v>
      </c>
      <c r="N535">
        <v>102</v>
      </c>
    </row>
    <row r="536" spans="1:14" x14ac:dyDescent="0.3">
      <c r="A536">
        <v>535</v>
      </c>
      <c r="B536" s="21">
        <v>40567</v>
      </c>
      <c r="C536" s="25" t="s">
        <v>16</v>
      </c>
      <c r="D536" s="25" t="str" cm="1">
        <f t="array" ref="D536">_xlfn.SWITCH(Sheet5!A536,1,"JANUARY",2,"FEBRUARY")</f>
        <v>JANUARY</v>
      </c>
      <c r="E536">
        <v>10</v>
      </c>
      <c r="F536" t="str" cm="1">
        <f t="array" ref="F536">_xlfn.SWITCH(Sheet5!C536,FALSE,"NO",TRUE,"YES")</f>
        <v>NO</v>
      </c>
      <c r="G536" t="str" cm="1">
        <f t="array" ref="G536">_xlfn.SWITCH(Sheet5!B536,0,"Sunday",1,"Monday",2,"Tuesday",3,"Wednesday",4,"Thursday",5,"Friday",6,"Saturday")</f>
        <v>Monday</v>
      </c>
      <c r="H536" t="str" cm="1">
        <f t="array" ref="H536">_xlfn.SWITCH(Sheet5!D536, 1, "Clear Sky", 2, "Mist", 3, "Dark Cloud",4,"Heavy Rainfall")</f>
        <v>Clear Sky</v>
      </c>
      <c r="I536" s="26">
        <f>Sheet5!E536*41</f>
        <v>4.1000000000000005</v>
      </c>
      <c r="J536" s="27">
        <v>0.42</v>
      </c>
      <c r="K536">
        <v>0</v>
      </c>
      <c r="L536">
        <v>6</v>
      </c>
      <c r="M536">
        <v>34</v>
      </c>
      <c r="N536">
        <v>40</v>
      </c>
    </row>
    <row r="537" spans="1:14" x14ac:dyDescent="0.3">
      <c r="A537">
        <v>536</v>
      </c>
      <c r="B537" s="21">
        <v>40567</v>
      </c>
      <c r="C537" s="25" t="s">
        <v>16</v>
      </c>
      <c r="D537" s="25" t="str" cm="1">
        <f t="array" ref="D537">_xlfn.SWITCH(Sheet5!A537,1,"JANUARY",2,"FEBRUARY")</f>
        <v>JANUARY</v>
      </c>
      <c r="E537">
        <v>11</v>
      </c>
      <c r="F537" t="str" cm="1">
        <f t="array" ref="F537">_xlfn.SWITCH(Sheet5!C537,FALSE,"NO",TRUE,"YES")</f>
        <v>NO</v>
      </c>
      <c r="G537" t="str" cm="1">
        <f t="array" ref="G537">_xlfn.SWITCH(Sheet5!B537,0,"Sunday",1,"Monday",2,"Tuesday",3,"Wednesday",4,"Thursday",5,"Friday",6,"Saturday")</f>
        <v>Monday</v>
      </c>
      <c r="H537" t="str" cm="1">
        <f t="array" ref="H537">_xlfn.SWITCH(Sheet5!D537, 1, "Clear Sky", 2, "Mist", 3, "Dark Cloud",4,"Heavy Rainfall")</f>
        <v>Clear Sky</v>
      </c>
      <c r="I537" s="26">
        <f>Sheet5!E537*41</f>
        <v>4.1000000000000005</v>
      </c>
      <c r="J537" s="27">
        <v>0.46</v>
      </c>
      <c r="K537">
        <v>0.1343</v>
      </c>
      <c r="L537">
        <v>3</v>
      </c>
      <c r="M537">
        <v>43</v>
      </c>
      <c r="N537">
        <v>46</v>
      </c>
    </row>
    <row r="538" spans="1:14" x14ac:dyDescent="0.3">
      <c r="A538">
        <v>537</v>
      </c>
      <c r="B538" s="21">
        <v>40567</v>
      </c>
      <c r="C538" s="25" t="s">
        <v>16</v>
      </c>
      <c r="D538" s="25" t="str" cm="1">
        <f t="array" ref="D538">_xlfn.SWITCH(Sheet5!A538,1,"JANUARY",2,"FEBRUARY")</f>
        <v>JANUARY</v>
      </c>
      <c r="E538">
        <v>12</v>
      </c>
      <c r="F538" t="str" cm="1">
        <f t="array" ref="F538">_xlfn.SWITCH(Sheet5!C538,FALSE,"NO",TRUE,"YES")</f>
        <v>NO</v>
      </c>
      <c r="G538" t="str" cm="1">
        <f t="array" ref="G538">_xlfn.SWITCH(Sheet5!B538,0,"Sunday",1,"Monday",2,"Tuesday",3,"Wednesday",4,"Thursday",5,"Friday",6,"Saturday")</f>
        <v>Monday</v>
      </c>
      <c r="H538" t="str" cm="1">
        <f t="array" ref="H538">_xlfn.SWITCH(Sheet5!D538, 1, "Clear Sky", 2, "Mist", 3, "Dark Cloud",4,"Heavy Rainfall")</f>
        <v>Mist</v>
      </c>
      <c r="I538" s="26">
        <f>Sheet5!E538*41</f>
        <v>4.92</v>
      </c>
      <c r="J538" s="27">
        <v>0.42</v>
      </c>
      <c r="K538">
        <v>0.19400000000000001</v>
      </c>
      <c r="L538">
        <v>11</v>
      </c>
      <c r="M538">
        <v>52</v>
      </c>
      <c r="N538">
        <v>63</v>
      </c>
    </row>
    <row r="539" spans="1:14" x14ac:dyDescent="0.3">
      <c r="A539">
        <v>538</v>
      </c>
      <c r="B539" s="21">
        <v>40567</v>
      </c>
      <c r="C539" s="25" t="s">
        <v>16</v>
      </c>
      <c r="D539" s="25" t="str" cm="1">
        <f t="array" ref="D539">_xlfn.SWITCH(Sheet5!A539,1,"JANUARY",2,"FEBRUARY")</f>
        <v>JANUARY</v>
      </c>
      <c r="E539">
        <v>13</v>
      </c>
      <c r="F539" t="str" cm="1">
        <f t="array" ref="F539">_xlfn.SWITCH(Sheet5!C539,FALSE,"NO",TRUE,"YES")</f>
        <v>NO</v>
      </c>
      <c r="G539" t="str" cm="1">
        <f t="array" ref="G539">_xlfn.SWITCH(Sheet5!B539,0,"Sunday",1,"Monday",2,"Tuesday",3,"Wednesday",4,"Thursday",5,"Friday",6,"Saturday")</f>
        <v>Monday</v>
      </c>
      <c r="H539" t="str" cm="1">
        <f t="array" ref="H539">_xlfn.SWITCH(Sheet5!D539, 1, "Clear Sky", 2, "Mist", 3, "Dark Cloud",4,"Heavy Rainfall")</f>
        <v>Mist</v>
      </c>
      <c r="I539" s="26">
        <f>Sheet5!E539*41</f>
        <v>5.74</v>
      </c>
      <c r="J539" s="27">
        <v>0.43</v>
      </c>
      <c r="K539">
        <v>0.22389999999999999</v>
      </c>
      <c r="L539">
        <v>6</v>
      </c>
      <c r="M539">
        <v>54</v>
      </c>
      <c r="N539">
        <v>60</v>
      </c>
    </row>
    <row r="540" spans="1:14" x14ac:dyDescent="0.3">
      <c r="A540">
        <v>539</v>
      </c>
      <c r="B540" s="21">
        <v>40567</v>
      </c>
      <c r="C540" s="25" t="s">
        <v>16</v>
      </c>
      <c r="D540" s="25" t="str" cm="1">
        <f t="array" ref="D540">_xlfn.SWITCH(Sheet5!A540,1,"JANUARY",2,"FEBRUARY")</f>
        <v>JANUARY</v>
      </c>
      <c r="E540">
        <v>14</v>
      </c>
      <c r="F540" t="str" cm="1">
        <f t="array" ref="F540">_xlfn.SWITCH(Sheet5!C540,FALSE,"NO",TRUE,"YES")</f>
        <v>NO</v>
      </c>
      <c r="G540" t="str" cm="1">
        <f t="array" ref="G540">_xlfn.SWITCH(Sheet5!B540,0,"Sunday",1,"Monday",2,"Tuesday",3,"Wednesday",4,"Thursday",5,"Friday",6,"Saturday")</f>
        <v>Monday</v>
      </c>
      <c r="H540" t="str" cm="1">
        <f t="array" ref="H540">_xlfn.SWITCH(Sheet5!D540, 1, "Clear Sky", 2, "Mist", 3, "Dark Cloud",4,"Heavy Rainfall")</f>
        <v>Mist</v>
      </c>
      <c r="I540" s="26">
        <f>Sheet5!E540*41</f>
        <v>5.74</v>
      </c>
      <c r="J540" s="27">
        <v>0.46</v>
      </c>
      <c r="K540">
        <v>0.22389999999999999</v>
      </c>
      <c r="L540">
        <v>2</v>
      </c>
      <c r="M540">
        <v>43</v>
      </c>
      <c r="N540">
        <v>45</v>
      </c>
    </row>
    <row r="541" spans="1:14" x14ac:dyDescent="0.3">
      <c r="A541">
        <v>540</v>
      </c>
      <c r="B541" s="21">
        <v>40567</v>
      </c>
      <c r="C541" s="25" t="s">
        <v>16</v>
      </c>
      <c r="D541" s="25" t="str" cm="1">
        <f t="array" ref="D541">_xlfn.SWITCH(Sheet5!A541,1,"JANUARY",2,"FEBRUARY")</f>
        <v>JANUARY</v>
      </c>
      <c r="E541">
        <v>15</v>
      </c>
      <c r="F541" t="str" cm="1">
        <f t="array" ref="F541">_xlfn.SWITCH(Sheet5!C541,FALSE,"NO",TRUE,"YES")</f>
        <v>NO</v>
      </c>
      <c r="G541" t="str" cm="1">
        <f t="array" ref="G541">_xlfn.SWITCH(Sheet5!B541,0,"Sunday",1,"Monday",2,"Tuesday",3,"Wednesday",4,"Thursday",5,"Friday",6,"Saturday")</f>
        <v>Monday</v>
      </c>
      <c r="H541" t="str" cm="1">
        <f t="array" ref="H541">_xlfn.SWITCH(Sheet5!D541, 1, "Clear Sky", 2, "Mist", 3, "Dark Cloud",4,"Heavy Rainfall")</f>
        <v>Clear Sky</v>
      </c>
      <c r="I541" s="26">
        <f>Sheet5!E541*41</f>
        <v>6.5600000000000005</v>
      </c>
      <c r="J541" s="27">
        <v>0.4</v>
      </c>
      <c r="K541">
        <v>0.16420000000000001</v>
      </c>
      <c r="L541">
        <v>7</v>
      </c>
      <c r="M541">
        <v>50</v>
      </c>
      <c r="N541">
        <v>57</v>
      </c>
    </row>
    <row r="542" spans="1:14" x14ac:dyDescent="0.3">
      <c r="A542">
        <v>541</v>
      </c>
      <c r="B542" s="21">
        <v>40567</v>
      </c>
      <c r="C542" s="25" t="s">
        <v>16</v>
      </c>
      <c r="D542" s="25" t="str" cm="1">
        <f t="array" ref="D542">_xlfn.SWITCH(Sheet5!A542,1,"JANUARY",2,"FEBRUARY")</f>
        <v>JANUARY</v>
      </c>
      <c r="E542">
        <v>16</v>
      </c>
      <c r="F542" t="str" cm="1">
        <f t="array" ref="F542">_xlfn.SWITCH(Sheet5!C542,FALSE,"NO",TRUE,"YES")</f>
        <v>NO</v>
      </c>
      <c r="G542" t="str" cm="1">
        <f t="array" ref="G542">_xlfn.SWITCH(Sheet5!B542,0,"Sunday",1,"Monday",2,"Tuesday",3,"Wednesday",4,"Thursday",5,"Friday",6,"Saturday")</f>
        <v>Monday</v>
      </c>
      <c r="H542" t="str" cm="1">
        <f t="array" ref="H542">_xlfn.SWITCH(Sheet5!D542, 1, "Clear Sky", 2, "Mist", 3, "Dark Cloud",4,"Heavy Rainfall")</f>
        <v>Clear Sky</v>
      </c>
      <c r="I542" s="26">
        <f>Sheet5!E542*41</f>
        <v>6.5600000000000005</v>
      </c>
      <c r="J542" s="27">
        <v>0.47</v>
      </c>
      <c r="K542">
        <v>0.25369999999999998</v>
      </c>
      <c r="L542">
        <v>4</v>
      </c>
      <c r="M542">
        <v>66</v>
      </c>
      <c r="N542">
        <v>70</v>
      </c>
    </row>
    <row r="543" spans="1:14" x14ac:dyDescent="0.3">
      <c r="A543">
        <v>542</v>
      </c>
      <c r="B543" s="21">
        <v>40567</v>
      </c>
      <c r="C543" s="25" t="s">
        <v>16</v>
      </c>
      <c r="D543" s="25" t="str" cm="1">
        <f t="array" ref="D543">_xlfn.SWITCH(Sheet5!A543,1,"JANUARY",2,"FEBRUARY")</f>
        <v>JANUARY</v>
      </c>
      <c r="E543">
        <v>17</v>
      </c>
      <c r="F543" t="str" cm="1">
        <f t="array" ref="F543">_xlfn.SWITCH(Sheet5!C543,FALSE,"NO",TRUE,"YES")</f>
        <v>NO</v>
      </c>
      <c r="G543" t="str" cm="1">
        <f t="array" ref="G543">_xlfn.SWITCH(Sheet5!B543,0,"Sunday",1,"Monday",2,"Tuesday",3,"Wednesday",4,"Thursday",5,"Friday",6,"Saturday")</f>
        <v>Monday</v>
      </c>
      <c r="H543" t="str" cm="1">
        <f t="array" ref="H543">_xlfn.SWITCH(Sheet5!D543, 1, "Clear Sky", 2, "Mist", 3, "Dark Cloud",4,"Heavy Rainfall")</f>
        <v>Clear Sky</v>
      </c>
      <c r="I543" s="26">
        <f>Sheet5!E543*41</f>
        <v>5.74</v>
      </c>
      <c r="J543" s="27">
        <v>0.5</v>
      </c>
      <c r="K543">
        <v>0.25369999999999998</v>
      </c>
      <c r="L543">
        <v>6</v>
      </c>
      <c r="M543">
        <v>178</v>
      </c>
      <c r="N543">
        <v>184</v>
      </c>
    </row>
    <row r="544" spans="1:14" x14ac:dyDescent="0.3">
      <c r="A544">
        <v>543</v>
      </c>
      <c r="B544" s="21">
        <v>40567</v>
      </c>
      <c r="C544" s="25" t="s">
        <v>16</v>
      </c>
      <c r="D544" s="25" t="str" cm="1">
        <f t="array" ref="D544">_xlfn.SWITCH(Sheet5!A544,1,"JANUARY",2,"FEBRUARY")</f>
        <v>JANUARY</v>
      </c>
      <c r="E544">
        <v>18</v>
      </c>
      <c r="F544" t="str" cm="1">
        <f t="array" ref="F544">_xlfn.SWITCH(Sheet5!C544,FALSE,"NO",TRUE,"YES")</f>
        <v>NO</v>
      </c>
      <c r="G544" t="str" cm="1">
        <f t="array" ref="G544">_xlfn.SWITCH(Sheet5!B544,0,"Sunday",1,"Monday",2,"Tuesday",3,"Wednesday",4,"Thursday",5,"Friday",6,"Saturday")</f>
        <v>Monday</v>
      </c>
      <c r="H544" t="str" cm="1">
        <f t="array" ref="H544">_xlfn.SWITCH(Sheet5!D544, 1, "Clear Sky", 2, "Mist", 3, "Dark Cloud",4,"Heavy Rainfall")</f>
        <v>Clear Sky</v>
      </c>
      <c r="I544" s="26">
        <f>Sheet5!E544*41</f>
        <v>5.74</v>
      </c>
      <c r="J544" s="27">
        <v>0.59</v>
      </c>
      <c r="K544">
        <v>0.19400000000000001</v>
      </c>
      <c r="L544">
        <v>8</v>
      </c>
      <c r="M544">
        <v>145</v>
      </c>
      <c r="N544">
        <v>153</v>
      </c>
    </row>
    <row r="545" spans="1:14" x14ac:dyDescent="0.3">
      <c r="A545">
        <v>544</v>
      </c>
      <c r="B545" s="21">
        <v>40567</v>
      </c>
      <c r="C545" s="25" t="s">
        <v>16</v>
      </c>
      <c r="D545" s="25" t="str" cm="1">
        <f t="array" ref="D545">_xlfn.SWITCH(Sheet5!A545,1,"JANUARY",2,"FEBRUARY")</f>
        <v>JANUARY</v>
      </c>
      <c r="E545">
        <v>19</v>
      </c>
      <c r="F545" t="str" cm="1">
        <f t="array" ref="F545">_xlfn.SWITCH(Sheet5!C545,FALSE,"NO",TRUE,"YES")</f>
        <v>NO</v>
      </c>
      <c r="G545" t="str" cm="1">
        <f t="array" ref="G545">_xlfn.SWITCH(Sheet5!B545,0,"Sunday",1,"Monday",2,"Tuesday",3,"Wednesday",4,"Thursday",5,"Friday",6,"Saturday")</f>
        <v>Monday</v>
      </c>
      <c r="H545" t="str" cm="1">
        <f t="array" ref="H545">_xlfn.SWITCH(Sheet5!D545, 1, "Clear Sky", 2, "Mist", 3, "Dark Cloud",4,"Heavy Rainfall")</f>
        <v>Clear Sky</v>
      </c>
      <c r="I545" s="26">
        <f>Sheet5!E545*41</f>
        <v>5.74</v>
      </c>
      <c r="J545" s="27">
        <v>0.54</v>
      </c>
      <c r="K545">
        <v>0.16420000000000001</v>
      </c>
      <c r="L545">
        <v>5</v>
      </c>
      <c r="M545">
        <v>101</v>
      </c>
      <c r="N545">
        <v>106</v>
      </c>
    </row>
    <row r="546" spans="1:14" x14ac:dyDescent="0.3">
      <c r="A546">
        <v>545</v>
      </c>
      <c r="B546" s="21">
        <v>40567</v>
      </c>
      <c r="C546" s="25" t="s">
        <v>16</v>
      </c>
      <c r="D546" s="25" t="str" cm="1">
        <f t="array" ref="D546">_xlfn.SWITCH(Sheet5!A546,1,"JANUARY",2,"FEBRUARY")</f>
        <v>JANUARY</v>
      </c>
      <c r="E546">
        <v>20</v>
      </c>
      <c r="F546" t="str" cm="1">
        <f t="array" ref="F546">_xlfn.SWITCH(Sheet5!C546,FALSE,"NO",TRUE,"YES")</f>
        <v>NO</v>
      </c>
      <c r="G546" t="str" cm="1">
        <f t="array" ref="G546">_xlfn.SWITCH(Sheet5!B546,0,"Sunday",1,"Monday",2,"Tuesday",3,"Wednesday",4,"Thursday",5,"Friday",6,"Saturday")</f>
        <v>Monday</v>
      </c>
      <c r="H546" t="str" cm="1">
        <f t="array" ref="H546">_xlfn.SWITCH(Sheet5!D546, 1, "Clear Sky", 2, "Mist", 3, "Dark Cloud",4,"Heavy Rainfall")</f>
        <v>Clear Sky</v>
      </c>
      <c r="I546" s="26">
        <f>Sheet5!E546*41</f>
        <v>5.74</v>
      </c>
      <c r="J546" s="27">
        <v>0.59</v>
      </c>
      <c r="K546">
        <v>0.19400000000000001</v>
      </c>
      <c r="L546">
        <v>1</v>
      </c>
      <c r="M546">
        <v>80</v>
      </c>
      <c r="N546">
        <v>81</v>
      </c>
    </row>
    <row r="547" spans="1:14" x14ac:dyDescent="0.3">
      <c r="A547">
        <v>546</v>
      </c>
      <c r="B547" s="21">
        <v>40567</v>
      </c>
      <c r="C547" s="25" t="s">
        <v>16</v>
      </c>
      <c r="D547" s="25" t="str" cm="1">
        <f t="array" ref="D547">_xlfn.SWITCH(Sheet5!A547,1,"JANUARY",2,"FEBRUARY")</f>
        <v>JANUARY</v>
      </c>
      <c r="E547">
        <v>21</v>
      </c>
      <c r="F547" t="str" cm="1">
        <f t="array" ref="F547">_xlfn.SWITCH(Sheet5!C547,FALSE,"NO",TRUE,"YES")</f>
        <v>NO</v>
      </c>
      <c r="G547" t="str" cm="1">
        <f t="array" ref="G547">_xlfn.SWITCH(Sheet5!B547,0,"Sunday",1,"Monday",2,"Tuesday",3,"Wednesday",4,"Thursday",5,"Friday",6,"Saturday")</f>
        <v>Monday</v>
      </c>
      <c r="H547" t="str" cm="1">
        <f t="array" ref="H547">_xlfn.SWITCH(Sheet5!D547, 1, "Clear Sky", 2, "Mist", 3, "Dark Cloud",4,"Heavy Rainfall")</f>
        <v>Clear Sky</v>
      </c>
      <c r="I547" s="26">
        <f>Sheet5!E547*41</f>
        <v>5.74</v>
      </c>
      <c r="J547" s="27">
        <v>0.63</v>
      </c>
      <c r="K547">
        <v>0.16420000000000001</v>
      </c>
      <c r="L547">
        <v>6</v>
      </c>
      <c r="M547">
        <v>53</v>
      </c>
      <c r="N547">
        <v>59</v>
      </c>
    </row>
    <row r="548" spans="1:14" x14ac:dyDescent="0.3">
      <c r="A548">
        <v>547</v>
      </c>
      <c r="B548" s="21">
        <v>40567</v>
      </c>
      <c r="C548" s="25" t="s">
        <v>16</v>
      </c>
      <c r="D548" s="25" t="str" cm="1">
        <f t="array" ref="D548">_xlfn.SWITCH(Sheet5!A548,1,"JANUARY",2,"FEBRUARY")</f>
        <v>JANUARY</v>
      </c>
      <c r="E548">
        <v>22</v>
      </c>
      <c r="F548" t="str" cm="1">
        <f t="array" ref="F548">_xlfn.SWITCH(Sheet5!C548,FALSE,"NO",TRUE,"YES")</f>
        <v>NO</v>
      </c>
      <c r="G548" t="str" cm="1">
        <f t="array" ref="G548">_xlfn.SWITCH(Sheet5!B548,0,"Sunday",1,"Monday",2,"Tuesday",3,"Wednesday",4,"Thursday",5,"Friday",6,"Saturday")</f>
        <v>Monday</v>
      </c>
      <c r="H548" t="str" cm="1">
        <f t="array" ref="H548">_xlfn.SWITCH(Sheet5!D548, 1, "Clear Sky", 2, "Mist", 3, "Dark Cloud",4,"Heavy Rainfall")</f>
        <v>Mist</v>
      </c>
      <c r="I548" s="26">
        <f>Sheet5!E548*41</f>
        <v>5.74</v>
      </c>
      <c r="J548" s="27">
        <v>0.63</v>
      </c>
      <c r="K548">
        <v>0.22389999999999999</v>
      </c>
      <c r="L548">
        <v>3</v>
      </c>
      <c r="M548">
        <v>32</v>
      </c>
      <c r="N548">
        <v>35</v>
      </c>
    </row>
    <row r="549" spans="1:14" x14ac:dyDescent="0.3">
      <c r="A549">
        <v>548</v>
      </c>
      <c r="B549" s="21">
        <v>40567</v>
      </c>
      <c r="C549" s="25" t="s">
        <v>16</v>
      </c>
      <c r="D549" s="25" t="str" cm="1">
        <f t="array" ref="D549">_xlfn.SWITCH(Sheet5!A549,1,"JANUARY",2,"FEBRUARY")</f>
        <v>JANUARY</v>
      </c>
      <c r="E549">
        <v>23</v>
      </c>
      <c r="F549" t="str" cm="1">
        <f t="array" ref="F549">_xlfn.SWITCH(Sheet5!C549,FALSE,"NO",TRUE,"YES")</f>
        <v>NO</v>
      </c>
      <c r="G549" t="str" cm="1">
        <f t="array" ref="G549">_xlfn.SWITCH(Sheet5!B549,0,"Sunday",1,"Monday",2,"Tuesday",3,"Wednesday",4,"Thursday",5,"Friday",6,"Saturday")</f>
        <v>Monday</v>
      </c>
      <c r="H549" t="str" cm="1">
        <f t="array" ref="H549">_xlfn.SWITCH(Sheet5!D549, 1, "Clear Sky", 2, "Mist", 3, "Dark Cloud",4,"Heavy Rainfall")</f>
        <v>Mist</v>
      </c>
      <c r="I549" s="26">
        <f>Sheet5!E549*41</f>
        <v>6.5600000000000005</v>
      </c>
      <c r="J549" s="27">
        <v>0.64</v>
      </c>
      <c r="K549">
        <v>0.25369999999999998</v>
      </c>
      <c r="L549">
        <v>3</v>
      </c>
      <c r="M549">
        <v>21</v>
      </c>
      <c r="N549">
        <v>24</v>
      </c>
    </row>
    <row r="550" spans="1:14" x14ac:dyDescent="0.3">
      <c r="A550">
        <v>549</v>
      </c>
      <c r="B550" s="21">
        <v>40568</v>
      </c>
      <c r="C550" s="25" t="s">
        <v>16</v>
      </c>
      <c r="D550" s="25" t="str" cm="1">
        <f t="array" ref="D550">_xlfn.SWITCH(Sheet5!A550,1,"JANUARY",2,"FEBRUARY")</f>
        <v>JANUARY</v>
      </c>
      <c r="E550">
        <v>0</v>
      </c>
      <c r="F550" t="str" cm="1">
        <f t="array" ref="F550">_xlfn.SWITCH(Sheet5!C550,FALSE,"NO",TRUE,"YES")</f>
        <v>NO</v>
      </c>
      <c r="G550" t="str" cm="1">
        <f t="array" ref="G550">_xlfn.SWITCH(Sheet5!B550,0,"Sunday",1,"Monday",2,"Tuesday",3,"Wednesday",4,"Thursday",5,"Friday",6,"Saturday")</f>
        <v>Tuesday</v>
      </c>
      <c r="H550" t="str" cm="1">
        <f t="array" ref="H550">_xlfn.SWITCH(Sheet5!D550, 1, "Clear Sky", 2, "Mist", 3, "Dark Cloud",4,"Heavy Rainfall")</f>
        <v>Mist</v>
      </c>
      <c r="I550" s="26">
        <f>Sheet5!E550*41</f>
        <v>6.5600000000000005</v>
      </c>
      <c r="J550" s="27">
        <v>0.69</v>
      </c>
      <c r="K550">
        <v>0.28360000000000002</v>
      </c>
      <c r="L550">
        <v>3</v>
      </c>
      <c r="M550">
        <v>6</v>
      </c>
      <c r="N550">
        <v>9</v>
      </c>
    </row>
    <row r="551" spans="1:14" x14ac:dyDescent="0.3">
      <c r="A551">
        <v>550</v>
      </c>
      <c r="B551" s="21">
        <v>40568</v>
      </c>
      <c r="C551" s="25" t="s">
        <v>16</v>
      </c>
      <c r="D551" s="25" t="str" cm="1">
        <f t="array" ref="D551">_xlfn.SWITCH(Sheet5!A551,1,"JANUARY",2,"FEBRUARY")</f>
        <v>JANUARY</v>
      </c>
      <c r="E551">
        <v>1</v>
      </c>
      <c r="F551" t="str" cm="1">
        <f t="array" ref="F551">_xlfn.SWITCH(Sheet5!C551,FALSE,"NO",TRUE,"YES")</f>
        <v>NO</v>
      </c>
      <c r="G551" t="str" cm="1">
        <f t="array" ref="G551">_xlfn.SWITCH(Sheet5!B551,0,"Sunday",1,"Monday",2,"Tuesday",3,"Wednesday",4,"Thursday",5,"Friday",6,"Saturday")</f>
        <v>Tuesday</v>
      </c>
      <c r="H551" t="str" cm="1">
        <f t="array" ref="H551">_xlfn.SWITCH(Sheet5!D551, 1, "Clear Sky", 2, "Mist", 3, "Dark Cloud",4,"Heavy Rainfall")</f>
        <v>Mist</v>
      </c>
      <c r="I551" s="26">
        <f>Sheet5!E551*41</f>
        <v>6.5600000000000005</v>
      </c>
      <c r="J551" s="27">
        <v>0.69</v>
      </c>
      <c r="K551">
        <v>0.16420000000000001</v>
      </c>
      <c r="L551">
        <v>0</v>
      </c>
      <c r="M551">
        <v>5</v>
      </c>
      <c r="N551">
        <v>5</v>
      </c>
    </row>
    <row r="552" spans="1:14" x14ac:dyDescent="0.3">
      <c r="A552">
        <v>551</v>
      </c>
      <c r="B552" s="21">
        <v>40568</v>
      </c>
      <c r="C552" s="25" t="s">
        <v>16</v>
      </c>
      <c r="D552" s="25" t="str" cm="1">
        <f t="array" ref="D552">_xlfn.SWITCH(Sheet5!A552,1,"JANUARY",2,"FEBRUARY")</f>
        <v>JANUARY</v>
      </c>
      <c r="E552">
        <v>2</v>
      </c>
      <c r="F552" t="str" cm="1">
        <f t="array" ref="F552">_xlfn.SWITCH(Sheet5!C552,FALSE,"NO",TRUE,"YES")</f>
        <v>NO</v>
      </c>
      <c r="G552" t="str" cm="1">
        <f t="array" ref="G552">_xlfn.SWITCH(Sheet5!B552,0,"Sunday",1,"Monday",2,"Tuesday",3,"Wednesday",4,"Thursday",5,"Friday",6,"Saturday")</f>
        <v>Tuesday</v>
      </c>
      <c r="H552" t="str" cm="1">
        <f t="array" ref="H552">_xlfn.SWITCH(Sheet5!D552, 1, "Clear Sky", 2, "Mist", 3, "Dark Cloud",4,"Heavy Rainfall")</f>
        <v>Clear Sky</v>
      </c>
      <c r="I552" s="26">
        <f>Sheet5!E552*41</f>
        <v>6.5600000000000005</v>
      </c>
      <c r="J552" s="27">
        <v>0.69</v>
      </c>
      <c r="K552">
        <v>0.22389999999999999</v>
      </c>
      <c r="L552">
        <v>0</v>
      </c>
      <c r="M552">
        <v>2</v>
      </c>
      <c r="N552">
        <v>2</v>
      </c>
    </row>
    <row r="553" spans="1:14" x14ac:dyDescent="0.3">
      <c r="A553">
        <v>552</v>
      </c>
      <c r="B553" s="21">
        <v>40568</v>
      </c>
      <c r="C553" s="25" t="s">
        <v>16</v>
      </c>
      <c r="D553" s="25" t="str" cm="1">
        <f t="array" ref="D553">_xlfn.SWITCH(Sheet5!A553,1,"JANUARY",2,"FEBRUARY")</f>
        <v>JANUARY</v>
      </c>
      <c r="E553">
        <v>4</v>
      </c>
      <c r="F553" t="str" cm="1">
        <f t="array" ref="F553">_xlfn.SWITCH(Sheet5!C553,FALSE,"NO",TRUE,"YES")</f>
        <v>NO</v>
      </c>
      <c r="G553" t="str" cm="1">
        <f t="array" ref="G553">_xlfn.SWITCH(Sheet5!B553,0,"Sunday",1,"Monday",2,"Tuesday",3,"Wednesday",4,"Thursday",5,"Friday",6,"Saturday")</f>
        <v>Tuesday</v>
      </c>
      <c r="H553" t="str" cm="1">
        <f t="array" ref="H553">_xlfn.SWITCH(Sheet5!D553, 1, "Clear Sky", 2, "Mist", 3, "Dark Cloud",4,"Heavy Rainfall")</f>
        <v>Clear Sky</v>
      </c>
      <c r="I553" s="26">
        <f>Sheet5!E553*41</f>
        <v>5.74</v>
      </c>
      <c r="J553" s="27">
        <v>0.74</v>
      </c>
      <c r="K553">
        <v>0.1045</v>
      </c>
      <c r="L553">
        <v>0</v>
      </c>
      <c r="M553">
        <v>1</v>
      </c>
      <c r="N553">
        <v>1</v>
      </c>
    </row>
    <row r="554" spans="1:14" x14ac:dyDescent="0.3">
      <c r="A554">
        <v>553</v>
      </c>
      <c r="B554" s="21">
        <v>40568</v>
      </c>
      <c r="C554" s="25" t="s">
        <v>16</v>
      </c>
      <c r="D554" s="25" t="str" cm="1">
        <f t="array" ref="D554">_xlfn.SWITCH(Sheet5!A554,1,"JANUARY",2,"FEBRUARY")</f>
        <v>JANUARY</v>
      </c>
      <c r="E554">
        <v>5</v>
      </c>
      <c r="F554" t="str" cm="1">
        <f t="array" ref="F554">_xlfn.SWITCH(Sheet5!C554,FALSE,"NO",TRUE,"YES")</f>
        <v>NO</v>
      </c>
      <c r="G554" t="str" cm="1">
        <f t="array" ref="G554">_xlfn.SWITCH(Sheet5!B554,0,"Sunday",1,"Monday",2,"Tuesday",3,"Wednesday",4,"Thursday",5,"Friday",6,"Saturday")</f>
        <v>Tuesday</v>
      </c>
      <c r="H554" t="str" cm="1">
        <f t="array" ref="H554">_xlfn.SWITCH(Sheet5!D554, 1, "Clear Sky", 2, "Mist", 3, "Dark Cloud",4,"Heavy Rainfall")</f>
        <v>Clear Sky</v>
      </c>
      <c r="I554" s="26">
        <f>Sheet5!E554*41</f>
        <v>5.74</v>
      </c>
      <c r="J554" s="27">
        <v>0.74</v>
      </c>
      <c r="K554">
        <v>0.22389999999999999</v>
      </c>
      <c r="L554">
        <v>0</v>
      </c>
      <c r="M554">
        <v>9</v>
      </c>
      <c r="N554">
        <v>9</v>
      </c>
    </row>
    <row r="555" spans="1:14" x14ac:dyDescent="0.3">
      <c r="A555">
        <v>554</v>
      </c>
      <c r="B555" s="21">
        <v>40568</v>
      </c>
      <c r="C555" s="25" t="s">
        <v>16</v>
      </c>
      <c r="D555" s="25" t="str" cm="1">
        <f t="array" ref="D555">_xlfn.SWITCH(Sheet5!A555,1,"JANUARY",2,"FEBRUARY")</f>
        <v>JANUARY</v>
      </c>
      <c r="E555">
        <v>6</v>
      </c>
      <c r="F555" t="str" cm="1">
        <f t="array" ref="F555">_xlfn.SWITCH(Sheet5!C555,FALSE,"NO",TRUE,"YES")</f>
        <v>NO</v>
      </c>
      <c r="G555" t="str" cm="1">
        <f t="array" ref="G555">_xlfn.SWITCH(Sheet5!B555,0,"Sunday",1,"Monday",2,"Tuesday",3,"Wednesday",4,"Thursday",5,"Friday",6,"Saturday")</f>
        <v>Tuesday</v>
      </c>
      <c r="H555" t="str" cm="1">
        <f t="array" ref="H555">_xlfn.SWITCH(Sheet5!D555, 1, "Clear Sky", 2, "Mist", 3, "Dark Cloud",4,"Heavy Rainfall")</f>
        <v>Clear Sky</v>
      </c>
      <c r="I555" s="26">
        <f>Sheet5!E555*41</f>
        <v>6.5600000000000005</v>
      </c>
      <c r="J555" s="27">
        <v>0.74</v>
      </c>
      <c r="K555">
        <v>0.1045</v>
      </c>
      <c r="L555">
        <v>1</v>
      </c>
      <c r="M555">
        <v>35</v>
      </c>
      <c r="N555">
        <v>36</v>
      </c>
    </row>
    <row r="556" spans="1:14" x14ac:dyDescent="0.3">
      <c r="A556">
        <v>555</v>
      </c>
      <c r="B556" s="21">
        <v>40568</v>
      </c>
      <c r="C556" s="25" t="s">
        <v>16</v>
      </c>
      <c r="D556" s="25" t="str" cm="1">
        <f t="array" ref="D556">_xlfn.SWITCH(Sheet5!A556,1,"JANUARY",2,"FEBRUARY")</f>
        <v>JANUARY</v>
      </c>
      <c r="E556">
        <v>7</v>
      </c>
      <c r="F556" t="str" cm="1">
        <f t="array" ref="F556">_xlfn.SWITCH(Sheet5!C556,FALSE,"NO",TRUE,"YES")</f>
        <v>NO</v>
      </c>
      <c r="G556" t="str" cm="1">
        <f t="array" ref="G556">_xlfn.SWITCH(Sheet5!B556,0,"Sunday",1,"Monday",2,"Tuesday",3,"Wednesday",4,"Thursday",5,"Friday",6,"Saturday")</f>
        <v>Tuesday</v>
      </c>
      <c r="H556" t="str" cm="1">
        <f t="array" ref="H556">_xlfn.SWITCH(Sheet5!D556, 1, "Clear Sky", 2, "Mist", 3, "Dark Cloud",4,"Heavy Rainfall")</f>
        <v>Clear Sky</v>
      </c>
      <c r="I556" s="26">
        <f>Sheet5!E556*41</f>
        <v>6.5600000000000005</v>
      </c>
      <c r="J556" s="27">
        <v>0.74</v>
      </c>
      <c r="K556">
        <v>0.22389999999999999</v>
      </c>
      <c r="L556">
        <v>5</v>
      </c>
      <c r="M556">
        <v>103</v>
      </c>
      <c r="N556">
        <v>108</v>
      </c>
    </row>
    <row r="557" spans="1:14" x14ac:dyDescent="0.3">
      <c r="A557">
        <v>556</v>
      </c>
      <c r="B557" s="21">
        <v>40568</v>
      </c>
      <c r="C557" s="25" t="s">
        <v>16</v>
      </c>
      <c r="D557" s="25" t="str" cm="1">
        <f t="array" ref="D557">_xlfn.SWITCH(Sheet5!A557,1,"JANUARY",2,"FEBRUARY")</f>
        <v>JANUARY</v>
      </c>
      <c r="E557">
        <v>8</v>
      </c>
      <c r="F557" t="str" cm="1">
        <f t="array" ref="F557">_xlfn.SWITCH(Sheet5!C557,FALSE,"NO",TRUE,"YES")</f>
        <v>NO</v>
      </c>
      <c r="G557" t="str" cm="1">
        <f t="array" ref="G557">_xlfn.SWITCH(Sheet5!B557,0,"Sunday",1,"Monday",2,"Tuesday",3,"Wednesday",4,"Thursday",5,"Friday",6,"Saturday")</f>
        <v>Tuesday</v>
      </c>
      <c r="H557" t="str" cm="1">
        <f t="array" ref="H557">_xlfn.SWITCH(Sheet5!D557, 1, "Clear Sky", 2, "Mist", 3, "Dark Cloud",4,"Heavy Rainfall")</f>
        <v>Mist</v>
      </c>
      <c r="I557" s="26">
        <f>Sheet5!E557*41</f>
        <v>6.5600000000000005</v>
      </c>
      <c r="J557" s="27">
        <v>0.74</v>
      </c>
      <c r="K557">
        <v>0.1343</v>
      </c>
      <c r="L557">
        <v>5</v>
      </c>
      <c r="M557">
        <v>233</v>
      </c>
      <c r="N557">
        <v>238</v>
      </c>
    </row>
    <row r="558" spans="1:14" x14ac:dyDescent="0.3">
      <c r="A558">
        <v>557</v>
      </c>
      <c r="B558" s="21">
        <v>40568</v>
      </c>
      <c r="C558" s="25" t="s">
        <v>16</v>
      </c>
      <c r="D558" s="25" t="str" cm="1">
        <f t="array" ref="D558">_xlfn.SWITCH(Sheet5!A558,1,"JANUARY",2,"FEBRUARY")</f>
        <v>JANUARY</v>
      </c>
      <c r="E558">
        <v>9</v>
      </c>
      <c r="F558" t="str" cm="1">
        <f t="array" ref="F558">_xlfn.SWITCH(Sheet5!C558,FALSE,"NO",TRUE,"YES")</f>
        <v>NO</v>
      </c>
      <c r="G558" t="str" cm="1">
        <f t="array" ref="G558">_xlfn.SWITCH(Sheet5!B558,0,"Sunday",1,"Monday",2,"Tuesday",3,"Wednesday",4,"Thursday",5,"Friday",6,"Saturday")</f>
        <v>Tuesday</v>
      </c>
      <c r="H558" t="str" cm="1">
        <f t="array" ref="H558">_xlfn.SWITCH(Sheet5!D558, 1, "Clear Sky", 2, "Mist", 3, "Dark Cloud",4,"Heavy Rainfall")</f>
        <v>Mist</v>
      </c>
      <c r="I558" s="26">
        <f>Sheet5!E558*41</f>
        <v>8.2000000000000011</v>
      </c>
      <c r="J558" s="27">
        <v>0.64</v>
      </c>
      <c r="K558">
        <v>8.9599999999999999E-2</v>
      </c>
      <c r="L558">
        <v>10</v>
      </c>
      <c r="M558">
        <v>134</v>
      </c>
      <c r="N558">
        <v>144</v>
      </c>
    </row>
    <row r="559" spans="1:14" x14ac:dyDescent="0.3">
      <c r="A559">
        <v>558</v>
      </c>
      <c r="B559" s="21">
        <v>40568</v>
      </c>
      <c r="C559" s="25" t="s">
        <v>16</v>
      </c>
      <c r="D559" s="25" t="str" cm="1">
        <f t="array" ref="D559">_xlfn.SWITCH(Sheet5!A559,1,"JANUARY",2,"FEBRUARY")</f>
        <v>JANUARY</v>
      </c>
      <c r="E559">
        <v>10</v>
      </c>
      <c r="F559" t="str" cm="1">
        <f t="array" ref="F559">_xlfn.SWITCH(Sheet5!C559,FALSE,"NO",TRUE,"YES")</f>
        <v>NO</v>
      </c>
      <c r="G559" t="str" cm="1">
        <f t="array" ref="G559">_xlfn.SWITCH(Sheet5!B559,0,"Sunday",1,"Monday",2,"Tuesday",3,"Wednesday",4,"Thursday",5,"Friday",6,"Saturday")</f>
        <v>Tuesday</v>
      </c>
      <c r="H559" t="str" cm="1">
        <f t="array" ref="H559">_xlfn.SWITCH(Sheet5!D559, 1, "Clear Sky", 2, "Mist", 3, "Dark Cloud",4,"Heavy Rainfall")</f>
        <v>Mist</v>
      </c>
      <c r="I559" s="26">
        <f>Sheet5!E559*41</f>
        <v>9.02</v>
      </c>
      <c r="J559" s="27">
        <v>0.6</v>
      </c>
      <c r="K559">
        <v>0.1045</v>
      </c>
      <c r="L559">
        <v>6</v>
      </c>
      <c r="M559">
        <v>49</v>
      </c>
      <c r="N559">
        <v>55</v>
      </c>
    </row>
    <row r="560" spans="1:14" x14ac:dyDescent="0.3">
      <c r="A560">
        <v>559</v>
      </c>
      <c r="B560" s="21">
        <v>40568</v>
      </c>
      <c r="C560" s="25" t="s">
        <v>16</v>
      </c>
      <c r="D560" s="25" t="str" cm="1">
        <f t="array" ref="D560">_xlfn.SWITCH(Sheet5!A560,1,"JANUARY",2,"FEBRUARY")</f>
        <v>JANUARY</v>
      </c>
      <c r="E560">
        <v>11</v>
      </c>
      <c r="F560" t="str" cm="1">
        <f t="array" ref="F560">_xlfn.SWITCH(Sheet5!C560,FALSE,"NO",TRUE,"YES")</f>
        <v>NO</v>
      </c>
      <c r="G560" t="str" cm="1">
        <f t="array" ref="G560">_xlfn.SWITCH(Sheet5!B560,0,"Sunday",1,"Monday",2,"Tuesday",3,"Wednesday",4,"Thursday",5,"Friday",6,"Saturday")</f>
        <v>Tuesday</v>
      </c>
      <c r="H560" t="str" cm="1">
        <f t="array" ref="H560">_xlfn.SWITCH(Sheet5!D560, 1, "Clear Sky", 2, "Mist", 3, "Dark Cloud",4,"Heavy Rainfall")</f>
        <v>Mist</v>
      </c>
      <c r="I560" s="26">
        <f>Sheet5!E560*41</f>
        <v>9.84</v>
      </c>
      <c r="J560" s="27">
        <v>0.6</v>
      </c>
      <c r="K560">
        <v>0.1343</v>
      </c>
      <c r="L560">
        <v>6</v>
      </c>
      <c r="M560">
        <v>55</v>
      </c>
      <c r="N560">
        <v>61</v>
      </c>
    </row>
    <row r="561" spans="1:14" x14ac:dyDescent="0.3">
      <c r="A561">
        <v>560</v>
      </c>
      <c r="B561" s="21">
        <v>40568</v>
      </c>
      <c r="C561" s="25" t="s">
        <v>16</v>
      </c>
      <c r="D561" s="25" t="str" cm="1">
        <f t="array" ref="D561">_xlfn.SWITCH(Sheet5!A561,1,"JANUARY",2,"FEBRUARY")</f>
        <v>JANUARY</v>
      </c>
      <c r="E561">
        <v>12</v>
      </c>
      <c r="F561" t="str" cm="1">
        <f t="array" ref="F561">_xlfn.SWITCH(Sheet5!C561,FALSE,"NO",TRUE,"YES")</f>
        <v>NO</v>
      </c>
      <c r="G561" t="str" cm="1">
        <f t="array" ref="G561">_xlfn.SWITCH(Sheet5!B561,0,"Sunday",1,"Monday",2,"Tuesday",3,"Wednesday",4,"Thursday",5,"Friday",6,"Saturday")</f>
        <v>Tuesday</v>
      </c>
      <c r="H561" t="str" cm="1">
        <f t="array" ref="H561">_xlfn.SWITCH(Sheet5!D561, 1, "Clear Sky", 2, "Mist", 3, "Dark Cloud",4,"Heavy Rainfall")</f>
        <v>Mist</v>
      </c>
      <c r="I561" s="26">
        <f>Sheet5!E561*41</f>
        <v>10.66</v>
      </c>
      <c r="J561" s="27">
        <v>0.56000000000000005</v>
      </c>
      <c r="K561">
        <v>8.9599999999999999E-2</v>
      </c>
      <c r="L561">
        <v>21</v>
      </c>
      <c r="M561">
        <v>85</v>
      </c>
      <c r="N561">
        <v>106</v>
      </c>
    </row>
    <row r="562" spans="1:14" x14ac:dyDescent="0.3">
      <c r="A562">
        <v>561</v>
      </c>
      <c r="B562" s="21">
        <v>40568</v>
      </c>
      <c r="C562" s="25" t="s">
        <v>16</v>
      </c>
      <c r="D562" s="25" t="str" cm="1">
        <f t="array" ref="D562">_xlfn.SWITCH(Sheet5!A562,1,"JANUARY",2,"FEBRUARY")</f>
        <v>JANUARY</v>
      </c>
      <c r="E562">
        <v>13</v>
      </c>
      <c r="F562" t="str" cm="1">
        <f t="array" ref="F562">_xlfn.SWITCH(Sheet5!C562,FALSE,"NO",TRUE,"YES")</f>
        <v>NO</v>
      </c>
      <c r="G562" t="str" cm="1">
        <f t="array" ref="G562">_xlfn.SWITCH(Sheet5!B562,0,"Sunday",1,"Monday",2,"Tuesday",3,"Wednesday",4,"Thursday",5,"Friday",6,"Saturday")</f>
        <v>Tuesday</v>
      </c>
      <c r="H562" t="str" cm="1">
        <f t="array" ref="H562">_xlfn.SWITCH(Sheet5!D562, 1, "Clear Sky", 2, "Mist", 3, "Dark Cloud",4,"Heavy Rainfall")</f>
        <v>Mist</v>
      </c>
      <c r="I562" s="26">
        <f>Sheet5!E562*41</f>
        <v>10.66</v>
      </c>
      <c r="J562" s="27">
        <v>0.56000000000000005</v>
      </c>
      <c r="K562">
        <v>0.1343</v>
      </c>
      <c r="L562">
        <v>21</v>
      </c>
      <c r="M562">
        <v>72</v>
      </c>
      <c r="N562">
        <v>93</v>
      </c>
    </row>
    <row r="563" spans="1:14" x14ac:dyDescent="0.3">
      <c r="A563">
        <v>562</v>
      </c>
      <c r="B563" s="21">
        <v>40568</v>
      </c>
      <c r="C563" s="25" t="s">
        <v>16</v>
      </c>
      <c r="D563" s="25" t="str" cm="1">
        <f t="array" ref="D563">_xlfn.SWITCH(Sheet5!A563,1,"JANUARY",2,"FEBRUARY")</f>
        <v>JANUARY</v>
      </c>
      <c r="E563">
        <v>14</v>
      </c>
      <c r="F563" t="str" cm="1">
        <f t="array" ref="F563">_xlfn.SWITCH(Sheet5!C563,FALSE,"NO",TRUE,"YES")</f>
        <v>NO</v>
      </c>
      <c r="G563" t="str" cm="1">
        <f t="array" ref="G563">_xlfn.SWITCH(Sheet5!B563,0,"Sunday",1,"Monday",2,"Tuesday",3,"Wednesday",4,"Thursday",5,"Friday",6,"Saturday")</f>
        <v>Tuesday</v>
      </c>
      <c r="H563" t="str" cm="1">
        <f t="array" ref="H563">_xlfn.SWITCH(Sheet5!D563, 1, "Clear Sky", 2, "Mist", 3, "Dark Cloud",4,"Heavy Rainfall")</f>
        <v>Mist</v>
      </c>
      <c r="I563" s="26">
        <f>Sheet5!E563*41</f>
        <v>12.299999999999999</v>
      </c>
      <c r="J563" s="27">
        <v>0.45</v>
      </c>
      <c r="K563">
        <v>0</v>
      </c>
      <c r="L563">
        <v>11</v>
      </c>
      <c r="M563">
        <v>57</v>
      </c>
      <c r="N563">
        <v>68</v>
      </c>
    </row>
    <row r="564" spans="1:14" x14ac:dyDescent="0.3">
      <c r="A564">
        <v>563</v>
      </c>
      <c r="B564" s="21">
        <v>40568</v>
      </c>
      <c r="C564" s="25" t="s">
        <v>16</v>
      </c>
      <c r="D564" s="25" t="str" cm="1">
        <f t="array" ref="D564">_xlfn.SWITCH(Sheet5!A564,1,"JANUARY",2,"FEBRUARY")</f>
        <v>JANUARY</v>
      </c>
      <c r="E564">
        <v>15</v>
      </c>
      <c r="F564" t="str" cm="1">
        <f t="array" ref="F564">_xlfn.SWITCH(Sheet5!C564,FALSE,"NO",TRUE,"YES")</f>
        <v>NO</v>
      </c>
      <c r="G564" t="str" cm="1">
        <f t="array" ref="G564">_xlfn.SWITCH(Sheet5!B564,0,"Sunday",1,"Monday",2,"Tuesday",3,"Wednesday",4,"Thursday",5,"Friday",6,"Saturday")</f>
        <v>Tuesday</v>
      </c>
      <c r="H564" t="str" cm="1">
        <f t="array" ref="H564">_xlfn.SWITCH(Sheet5!D564, 1, "Clear Sky", 2, "Mist", 3, "Dark Cloud",4,"Heavy Rainfall")</f>
        <v>Mist</v>
      </c>
      <c r="I564" s="26">
        <f>Sheet5!E564*41</f>
        <v>13.120000000000001</v>
      </c>
      <c r="J564" s="27">
        <v>0.42</v>
      </c>
      <c r="K564">
        <v>0</v>
      </c>
      <c r="L564">
        <v>21</v>
      </c>
      <c r="M564">
        <v>63</v>
      </c>
      <c r="N564">
        <v>84</v>
      </c>
    </row>
    <row r="565" spans="1:14" x14ac:dyDescent="0.3">
      <c r="A565">
        <v>564</v>
      </c>
      <c r="B565" s="21">
        <v>40568</v>
      </c>
      <c r="C565" s="25" t="s">
        <v>16</v>
      </c>
      <c r="D565" s="25" t="str" cm="1">
        <f t="array" ref="D565">_xlfn.SWITCH(Sheet5!A565,1,"JANUARY",2,"FEBRUARY")</f>
        <v>JANUARY</v>
      </c>
      <c r="E565">
        <v>16</v>
      </c>
      <c r="F565" t="str" cm="1">
        <f t="array" ref="F565">_xlfn.SWITCH(Sheet5!C565,FALSE,"NO",TRUE,"YES")</f>
        <v>NO</v>
      </c>
      <c r="G565" t="str" cm="1">
        <f t="array" ref="G565">_xlfn.SWITCH(Sheet5!B565,0,"Sunday",1,"Monday",2,"Tuesday",3,"Wednesday",4,"Thursday",5,"Friday",6,"Saturday")</f>
        <v>Tuesday</v>
      </c>
      <c r="H565" t="str" cm="1">
        <f t="array" ref="H565">_xlfn.SWITCH(Sheet5!D565, 1, "Clear Sky", 2, "Mist", 3, "Dark Cloud",4,"Heavy Rainfall")</f>
        <v>Mist</v>
      </c>
      <c r="I565" s="26">
        <f>Sheet5!E565*41</f>
        <v>13.120000000000001</v>
      </c>
      <c r="J565" s="27">
        <v>0.42</v>
      </c>
      <c r="K565">
        <v>0</v>
      </c>
      <c r="L565">
        <v>14</v>
      </c>
      <c r="M565">
        <v>102</v>
      </c>
      <c r="N565">
        <v>116</v>
      </c>
    </row>
    <row r="566" spans="1:14" x14ac:dyDescent="0.3">
      <c r="A566">
        <v>565</v>
      </c>
      <c r="B566" s="21">
        <v>40568</v>
      </c>
      <c r="C566" s="25" t="s">
        <v>16</v>
      </c>
      <c r="D566" s="25" t="str" cm="1">
        <f t="array" ref="D566">_xlfn.SWITCH(Sheet5!A566,1,"JANUARY",2,"FEBRUARY")</f>
        <v>JANUARY</v>
      </c>
      <c r="E566">
        <v>17</v>
      </c>
      <c r="F566" t="str" cm="1">
        <f t="array" ref="F566">_xlfn.SWITCH(Sheet5!C566,FALSE,"NO",TRUE,"YES")</f>
        <v>NO</v>
      </c>
      <c r="G566" t="str" cm="1">
        <f t="array" ref="G566">_xlfn.SWITCH(Sheet5!B566,0,"Sunday",1,"Monday",2,"Tuesday",3,"Wednesday",4,"Thursday",5,"Friday",6,"Saturday")</f>
        <v>Tuesday</v>
      </c>
      <c r="H566" t="str" cm="1">
        <f t="array" ref="H566">_xlfn.SWITCH(Sheet5!D566, 1, "Clear Sky", 2, "Mist", 3, "Dark Cloud",4,"Heavy Rainfall")</f>
        <v>Clear Sky</v>
      </c>
      <c r="I566" s="26">
        <f>Sheet5!E566*41</f>
        <v>12.299999999999999</v>
      </c>
      <c r="J566" s="27">
        <v>0.45</v>
      </c>
      <c r="K566">
        <v>0</v>
      </c>
      <c r="L566">
        <v>14</v>
      </c>
      <c r="M566">
        <v>208</v>
      </c>
      <c r="N566">
        <v>222</v>
      </c>
    </row>
    <row r="567" spans="1:14" x14ac:dyDescent="0.3">
      <c r="A567">
        <v>566</v>
      </c>
      <c r="B567" s="21">
        <v>40568</v>
      </c>
      <c r="C567" s="25" t="s">
        <v>16</v>
      </c>
      <c r="D567" s="25" t="str" cm="1">
        <f t="array" ref="D567">_xlfn.SWITCH(Sheet5!A567,1,"JANUARY",2,"FEBRUARY")</f>
        <v>JANUARY</v>
      </c>
      <c r="E567">
        <v>18</v>
      </c>
      <c r="F567" t="str" cm="1">
        <f t="array" ref="F567">_xlfn.SWITCH(Sheet5!C567,FALSE,"NO",TRUE,"YES")</f>
        <v>NO</v>
      </c>
      <c r="G567" t="str" cm="1">
        <f t="array" ref="G567">_xlfn.SWITCH(Sheet5!B567,0,"Sunday",1,"Monday",2,"Tuesday",3,"Wednesday",4,"Thursday",5,"Friday",6,"Saturday")</f>
        <v>Tuesday</v>
      </c>
      <c r="H567" t="str" cm="1">
        <f t="array" ref="H567">_xlfn.SWITCH(Sheet5!D567, 1, "Clear Sky", 2, "Mist", 3, "Dark Cloud",4,"Heavy Rainfall")</f>
        <v>Mist</v>
      </c>
      <c r="I567" s="26">
        <f>Sheet5!E567*41</f>
        <v>12.299999999999999</v>
      </c>
      <c r="J567" s="27">
        <v>0.49</v>
      </c>
      <c r="K567">
        <v>8.9599999999999999E-2</v>
      </c>
      <c r="L567">
        <v>7</v>
      </c>
      <c r="M567">
        <v>218</v>
      </c>
      <c r="N567">
        <v>225</v>
      </c>
    </row>
    <row r="568" spans="1:14" x14ac:dyDescent="0.3">
      <c r="A568">
        <v>567</v>
      </c>
      <c r="B568" s="21">
        <v>40568</v>
      </c>
      <c r="C568" s="25" t="s">
        <v>16</v>
      </c>
      <c r="D568" s="25" t="str" cm="1">
        <f t="array" ref="D568">_xlfn.SWITCH(Sheet5!A568,1,"JANUARY",2,"FEBRUARY")</f>
        <v>JANUARY</v>
      </c>
      <c r="E568">
        <v>19</v>
      </c>
      <c r="F568" t="str" cm="1">
        <f t="array" ref="F568">_xlfn.SWITCH(Sheet5!C568,FALSE,"NO",TRUE,"YES")</f>
        <v>NO</v>
      </c>
      <c r="G568" t="str" cm="1">
        <f t="array" ref="G568">_xlfn.SWITCH(Sheet5!B568,0,"Sunday",1,"Monday",2,"Tuesday",3,"Wednesday",4,"Thursday",5,"Friday",6,"Saturday")</f>
        <v>Tuesday</v>
      </c>
      <c r="H568" t="str" cm="1">
        <f t="array" ref="H568">_xlfn.SWITCH(Sheet5!D568, 1, "Clear Sky", 2, "Mist", 3, "Dark Cloud",4,"Heavy Rainfall")</f>
        <v>Mist</v>
      </c>
      <c r="I568" s="26">
        <f>Sheet5!E568*41</f>
        <v>10.66</v>
      </c>
      <c r="J568" s="27">
        <v>0.65</v>
      </c>
      <c r="K568">
        <v>0.16420000000000001</v>
      </c>
      <c r="L568">
        <v>13</v>
      </c>
      <c r="M568">
        <v>133</v>
      </c>
      <c r="N568">
        <v>146</v>
      </c>
    </row>
    <row r="569" spans="1:14" x14ac:dyDescent="0.3">
      <c r="A569">
        <v>568</v>
      </c>
      <c r="B569" s="21">
        <v>40568</v>
      </c>
      <c r="C569" s="25" t="s">
        <v>16</v>
      </c>
      <c r="D569" s="25" t="str" cm="1">
        <f t="array" ref="D569">_xlfn.SWITCH(Sheet5!A569,1,"JANUARY",2,"FEBRUARY")</f>
        <v>JANUARY</v>
      </c>
      <c r="E569">
        <v>20</v>
      </c>
      <c r="F569" t="str" cm="1">
        <f t="array" ref="F569">_xlfn.SWITCH(Sheet5!C569,FALSE,"NO",TRUE,"YES")</f>
        <v>NO</v>
      </c>
      <c r="G569" t="str" cm="1">
        <f t="array" ref="G569">_xlfn.SWITCH(Sheet5!B569,0,"Sunday",1,"Monday",2,"Tuesday",3,"Wednesday",4,"Thursday",5,"Friday",6,"Saturday")</f>
        <v>Tuesday</v>
      </c>
      <c r="H569" t="str" cm="1">
        <f t="array" ref="H569">_xlfn.SWITCH(Sheet5!D569, 1, "Clear Sky", 2, "Mist", 3, "Dark Cloud",4,"Heavy Rainfall")</f>
        <v>Clear Sky</v>
      </c>
      <c r="I569" s="26">
        <f>Sheet5!E569*41</f>
        <v>9.84</v>
      </c>
      <c r="J569" s="27">
        <v>0.65</v>
      </c>
      <c r="K569">
        <v>0.19400000000000001</v>
      </c>
      <c r="L569">
        <v>16</v>
      </c>
      <c r="M569">
        <v>103</v>
      </c>
      <c r="N569">
        <v>119</v>
      </c>
    </row>
    <row r="570" spans="1:14" x14ac:dyDescent="0.3">
      <c r="A570">
        <v>569</v>
      </c>
      <c r="B570" s="21">
        <v>40568</v>
      </c>
      <c r="C570" s="25" t="s">
        <v>16</v>
      </c>
      <c r="D570" s="25" t="str" cm="1">
        <f t="array" ref="D570">_xlfn.SWITCH(Sheet5!A570,1,"JANUARY",2,"FEBRUARY")</f>
        <v>JANUARY</v>
      </c>
      <c r="E570">
        <v>21</v>
      </c>
      <c r="F570" t="str" cm="1">
        <f t="array" ref="F570">_xlfn.SWITCH(Sheet5!C570,FALSE,"NO",TRUE,"YES")</f>
        <v>NO</v>
      </c>
      <c r="G570" t="str" cm="1">
        <f t="array" ref="G570">_xlfn.SWITCH(Sheet5!B570,0,"Sunday",1,"Monday",2,"Tuesday",3,"Wednesday",4,"Thursday",5,"Friday",6,"Saturday")</f>
        <v>Tuesday</v>
      </c>
      <c r="H570" t="str" cm="1">
        <f t="array" ref="H570">_xlfn.SWITCH(Sheet5!D570, 1, "Clear Sky", 2, "Mist", 3, "Dark Cloud",4,"Heavy Rainfall")</f>
        <v>Clear Sky</v>
      </c>
      <c r="I570" s="26">
        <f>Sheet5!E570*41</f>
        <v>9.84</v>
      </c>
      <c r="J570" s="27">
        <v>0.65</v>
      </c>
      <c r="K570">
        <v>0.19400000000000001</v>
      </c>
      <c r="L570">
        <v>5</v>
      </c>
      <c r="M570">
        <v>40</v>
      </c>
      <c r="N570">
        <v>45</v>
      </c>
    </row>
    <row r="571" spans="1:14" x14ac:dyDescent="0.3">
      <c r="A571">
        <v>570</v>
      </c>
      <c r="B571" s="21">
        <v>40568</v>
      </c>
      <c r="C571" s="25" t="s">
        <v>16</v>
      </c>
      <c r="D571" s="25" t="str" cm="1">
        <f t="array" ref="D571">_xlfn.SWITCH(Sheet5!A571,1,"JANUARY",2,"FEBRUARY")</f>
        <v>JANUARY</v>
      </c>
      <c r="E571">
        <v>22</v>
      </c>
      <c r="F571" t="str" cm="1">
        <f t="array" ref="F571">_xlfn.SWITCH(Sheet5!C571,FALSE,"NO",TRUE,"YES")</f>
        <v>NO</v>
      </c>
      <c r="G571" t="str" cm="1">
        <f t="array" ref="G571">_xlfn.SWITCH(Sheet5!B571,0,"Sunday",1,"Monday",2,"Tuesday",3,"Wednesday",4,"Thursday",5,"Friday",6,"Saturday")</f>
        <v>Tuesday</v>
      </c>
      <c r="H571" t="str" cm="1">
        <f t="array" ref="H571">_xlfn.SWITCH(Sheet5!D571, 1, "Clear Sky", 2, "Mist", 3, "Dark Cloud",4,"Heavy Rainfall")</f>
        <v>Clear Sky</v>
      </c>
      <c r="I571" s="26">
        <f>Sheet5!E571*41</f>
        <v>9.02</v>
      </c>
      <c r="J571" s="27">
        <v>0.64</v>
      </c>
      <c r="K571">
        <v>0.16420000000000001</v>
      </c>
      <c r="L571">
        <v>4</v>
      </c>
      <c r="M571">
        <v>49</v>
      </c>
      <c r="N571">
        <v>53</v>
      </c>
    </row>
    <row r="572" spans="1:14" x14ac:dyDescent="0.3">
      <c r="A572">
        <v>571</v>
      </c>
      <c r="B572" s="21">
        <v>40568</v>
      </c>
      <c r="C572" s="25" t="s">
        <v>16</v>
      </c>
      <c r="D572" s="25" t="str" cm="1">
        <f t="array" ref="D572">_xlfn.SWITCH(Sheet5!A572,1,"JANUARY",2,"FEBRUARY")</f>
        <v>JANUARY</v>
      </c>
      <c r="E572">
        <v>23</v>
      </c>
      <c r="F572" t="str" cm="1">
        <f t="array" ref="F572">_xlfn.SWITCH(Sheet5!C572,FALSE,"NO",TRUE,"YES")</f>
        <v>NO</v>
      </c>
      <c r="G572" t="str" cm="1">
        <f t="array" ref="G572">_xlfn.SWITCH(Sheet5!B572,0,"Sunday",1,"Monday",2,"Tuesday",3,"Wednesday",4,"Thursday",5,"Friday",6,"Saturday")</f>
        <v>Tuesday</v>
      </c>
      <c r="H572" t="str" cm="1">
        <f t="array" ref="H572">_xlfn.SWITCH(Sheet5!D572, 1, "Clear Sky", 2, "Mist", 3, "Dark Cloud",4,"Heavy Rainfall")</f>
        <v>Mist</v>
      </c>
      <c r="I572" s="26">
        <f>Sheet5!E572*41</f>
        <v>9.02</v>
      </c>
      <c r="J572" s="27">
        <v>0.64</v>
      </c>
      <c r="K572">
        <v>0.16420000000000001</v>
      </c>
      <c r="L572">
        <v>3</v>
      </c>
      <c r="M572">
        <v>37</v>
      </c>
      <c r="N572">
        <v>40</v>
      </c>
    </row>
    <row r="573" spans="1:14" x14ac:dyDescent="0.3">
      <c r="A573">
        <v>572</v>
      </c>
      <c r="B573" s="21">
        <v>40569</v>
      </c>
      <c r="C573" s="25" t="s">
        <v>16</v>
      </c>
      <c r="D573" s="25" t="str" cm="1">
        <f t="array" ref="D573">_xlfn.SWITCH(Sheet5!A573,1,"JANUARY",2,"FEBRUARY")</f>
        <v>JANUARY</v>
      </c>
      <c r="E573">
        <v>0</v>
      </c>
      <c r="F573" t="str" cm="1">
        <f t="array" ref="F573">_xlfn.SWITCH(Sheet5!C573,FALSE,"NO",TRUE,"YES")</f>
        <v>NO</v>
      </c>
      <c r="G573" t="str" cm="1">
        <f t="array" ref="G573">_xlfn.SWITCH(Sheet5!B573,0,"Sunday",1,"Monday",2,"Tuesday",3,"Wednesday",4,"Thursday",5,"Friday",6,"Saturday")</f>
        <v>Wednesday</v>
      </c>
      <c r="H573" t="str" cm="1">
        <f t="array" ref="H573">_xlfn.SWITCH(Sheet5!D573, 1, "Clear Sky", 2, "Mist", 3, "Dark Cloud",4,"Heavy Rainfall")</f>
        <v>Mist</v>
      </c>
      <c r="I573" s="26">
        <f>Sheet5!E573*41</f>
        <v>9.02</v>
      </c>
      <c r="J573" s="27">
        <v>0.69</v>
      </c>
      <c r="K573">
        <v>0.1343</v>
      </c>
      <c r="L573">
        <v>3</v>
      </c>
      <c r="M573">
        <v>14</v>
      </c>
      <c r="N573">
        <v>17</v>
      </c>
    </row>
    <row r="574" spans="1:14" x14ac:dyDescent="0.3">
      <c r="A574">
        <v>573</v>
      </c>
      <c r="B574" s="21">
        <v>40569</v>
      </c>
      <c r="C574" s="25" t="s">
        <v>16</v>
      </c>
      <c r="D574" s="25" t="str" cm="1">
        <f t="array" ref="D574">_xlfn.SWITCH(Sheet5!A574,1,"JANUARY",2,"FEBRUARY")</f>
        <v>JANUARY</v>
      </c>
      <c r="E574">
        <v>1</v>
      </c>
      <c r="F574" t="str" cm="1">
        <f t="array" ref="F574">_xlfn.SWITCH(Sheet5!C574,FALSE,"NO",TRUE,"YES")</f>
        <v>NO</v>
      </c>
      <c r="G574" t="str" cm="1">
        <f t="array" ref="G574">_xlfn.SWITCH(Sheet5!B574,0,"Sunday",1,"Monday",2,"Tuesday",3,"Wednesday",4,"Thursday",5,"Friday",6,"Saturday")</f>
        <v>Wednesday</v>
      </c>
      <c r="H574" t="str" cm="1">
        <f t="array" ref="H574">_xlfn.SWITCH(Sheet5!D574, 1, "Clear Sky", 2, "Mist", 3, "Dark Cloud",4,"Heavy Rainfall")</f>
        <v>Mist</v>
      </c>
      <c r="I574" s="26">
        <f>Sheet5!E574*41</f>
        <v>9.84</v>
      </c>
      <c r="J574" s="27">
        <v>0.65</v>
      </c>
      <c r="K574">
        <v>0.1343</v>
      </c>
      <c r="L574">
        <v>0</v>
      </c>
      <c r="M574">
        <v>5</v>
      </c>
      <c r="N574">
        <v>5</v>
      </c>
    </row>
    <row r="575" spans="1:14" x14ac:dyDescent="0.3">
      <c r="A575">
        <v>574</v>
      </c>
      <c r="B575" s="21">
        <v>40569</v>
      </c>
      <c r="C575" s="25" t="s">
        <v>16</v>
      </c>
      <c r="D575" s="25" t="str" cm="1">
        <f t="array" ref="D575">_xlfn.SWITCH(Sheet5!A575,1,"JANUARY",2,"FEBRUARY")</f>
        <v>JANUARY</v>
      </c>
      <c r="E575">
        <v>2</v>
      </c>
      <c r="F575" t="str" cm="1">
        <f t="array" ref="F575">_xlfn.SWITCH(Sheet5!C575,FALSE,"NO",TRUE,"YES")</f>
        <v>NO</v>
      </c>
      <c r="G575" t="str" cm="1">
        <f t="array" ref="G575">_xlfn.SWITCH(Sheet5!B575,0,"Sunday",1,"Monday",2,"Tuesday",3,"Wednesday",4,"Thursday",5,"Friday",6,"Saturday")</f>
        <v>Wednesday</v>
      </c>
      <c r="H575" t="str" cm="1">
        <f t="array" ref="H575">_xlfn.SWITCH(Sheet5!D575, 1, "Clear Sky", 2, "Mist", 3, "Dark Cloud",4,"Heavy Rainfall")</f>
        <v>Dark Cloud</v>
      </c>
      <c r="I575" s="26">
        <f>Sheet5!E575*41</f>
        <v>9.02</v>
      </c>
      <c r="J575" s="27">
        <v>0.69</v>
      </c>
      <c r="K575">
        <v>0.19400000000000001</v>
      </c>
      <c r="L575">
        <v>3</v>
      </c>
      <c r="M575">
        <v>7</v>
      </c>
      <c r="N575">
        <v>10</v>
      </c>
    </row>
    <row r="576" spans="1:14" x14ac:dyDescent="0.3">
      <c r="A576">
        <v>575</v>
      </c>
      <c r="B576" s="21">
        <v>40569</v>
      </c>
      <c r="C576" s="25" t="s">
        <v>16</v>
      </c>
      <c r="D576" s="25" t="str" cm="1">
        <f t="array" ref="D576">_xlfn.SWITCH(Sheet5!A576,1,"JANUARY",2,"FEBRUARY")</f>
        <v>JANUARY</v>
      </c>
      <c r="E576">
        <v>5</v>
      </c>
      <c r="F576" t="str" cm="1">
        <f t="array" ref="F576">_xlfn.SWITCH(Sheet5!C576,FALSE,"NO",TRUE,"YES")</f>
        <v>NO</v>
      </c>
      <c r="G576" t="str" cm="1">
        <f t="array" ref="G576">_xlfn.SWITCH(Sheet5!B576,0,"Sunday",1,"Monday",2,"Tuesday",3,"Wednesday",4,"Thursday",5,"Friday",6,"Saturday")</f>
        <v>Wednesday</v>
      </c>
      <c r="H576" t="str" cm="1">
        <f t="array" ref="H576">_xlfn.SWITCH(Sheet5!D576, 1, "Clear Sky", 2, "Mist", 3, "Dark Cloud",4,"Heavy Rainfall")</f>
        <v>Dark Cloud</v>
      </c>
      <c r="I576" s="26">
        <f>Sheet5!E576*41</f>
        <v>8.2000000000000011</v>
      </c>
      <c r="J576" s="27">
        <v>0.86</v>
      </c>
      <c r="K576">
        <v>0.28360000000000002</v>
      </c>
      <c r="L576">
        <v>0</v>
      </c>
      <c r="M576">
        <v>1</v>
      </c>
      <c r="N576">
        <v>1</v>
      </c>
    </row>
    <row r="577" spans="1:14" x14ac:dyDescent="0.3">
      <c r="A577">
        <v>576</v>
      </c>
      <c r="B577" s="21">
        <v>40569</v>
      </c>
      <c r="C577" s="25" t="s">
        <v>16</v>
      </c>
      <c r="D577" s="25" t="str" cm="1">
        <f t="array" ref="D577">_xlfn.SWITCH(Sheet5!A577,1,"JANUARY",2,"FEBRUARY")</f>
        <v>JANUARY</v>
      </c>
      <c r="E577">
        <v>6</v>
      </c>
      <c r="F577" t="str" cm="1">
        <f t="array" ref="F577">_xlfn.SWITCH(Sheet5!C577,FALSE,"NO",TRUE,"YES")</f>
        <v>NO</v>
      </c>
      <c r="G577" t="str" cm="1">
        <f t="array" ref="G577">_xlfn.SWITCH(Sheet5!B577,0,"Sunday",1,"Monday",2,"Tuesday",3,"Wednesday",4,"Thursday",5,"Friday",6,"Saturday")</f>
        <v>Wednesday</v>
      </c>
      <c r="H577" t="str" cm="1">
        <f t="array" ref="H577">_xlfn.SWITCH(Sheet5!D577, 1, "Clear Sky", 2, "Mist", 3, "Dark Cloud",4,"Heavy Rainfall")</f>
        <v>Dark Cloud</v>
      </c>
      <c r="I577" s="26">
        <f>Sheet5!E577*41</f>
        <v>8.2000000000000011</v>
      </c>
      <c r="J577" s="27">
        <v>0.86</v>
      </c>
      <c r="K577">
        <v>0.28360000000000002</v>
      </c>
      <c r="L577">
        <v>0</v>
      </c>
      <c r="M577">
        <v>8</v>
      </c>
      <c r="N577">
        <v>8</v>
      </c>
    </row>
    <row r="578" spans="1:14" x14ac:dyDescent="0.3">
      <c r="A578">
        <v>577</v>
      </c>
      <c r="B578" s="21">
        <v>40569</v>
      </c>
      <c r="C578" s="25" t="s">
        <v>16</v>
      </c>
      <c r="D578" s="25" t="str" cm="1">
        <f t="array" ref="D578">_xlfn.SWITCH(Sheet5!A578,1,"JANUARY",2,"FEBRUARY")</f>
        <v>JANUARY</v>
      </c>
      <c r="E578">
        <v>7</v>
      </c>
      <c r="F578" t="str" cm="1">
        <f t="array" ref="F578">_xlfn.SWITCH(Sheet5!C578,FALSE,"NO",TRUE,"YES")</f>
        <v>NO</v>
      </c>
      <c r="G578" t="str" cm="1">
        <f t="array" ref="G578">_xlfn.SWITCH(Sheet5!B578,0,"Sunday",1,"Monday",2,"Tuesday",3,"Wednesday",4,"Thursday",5,"Friday",6,"Saturday")</f>
        <v>Wednesday</v>
      </c>
      <c r="H578" t="str" cm="1">
        <f t="array" ref="H578">_xlfn.SWITCH(Sheet5!D578, 1, "Clear Sky", 2, "Mist", 3, "Dark Cloud",4,"Heavy Rainfall")</f>
        <v>Dark Cloud</v>
      </c>
      <c r="I578" s="26">
        <f>Sheet5!E578*41</f>
        <v>9.02</v>
      </c>
      <c r="J578" s="27">
        <v>0.87</v>
      </c>
      <c r="K578">
        <v>0.29849999999999999</v>
      </c>
      <c r="L578">
        <v>1</v>
      </c>
      <c r="M578">
        <v>29</v>
      </c>
      <c r="N578">
        <v>30</v>
      </c>
    </row>
    <row r="579" spans="1:14" x14ac:dyDescent="0.3">
      <c r="A579">
        <v>578</v>
      </c>
      <c r="B579" s="21">
        <v>40569</v>
      </c>
      <c r="C579" s="25" t="s">
        <v>16</v>
      </c>
      <c r="D579" s="25" t="str" cm="1">
        <f t="array" ref="D579">_xlfn.SWITCH(Sheet5!A579,1,"JANUARY",2,"FEBRUARY")</f>
        <v>JANUARY</v>
      </c>
      <c r="E579">
        <v>8</v>
      </c>
      <c r="F579" t="str" cm="1">
        <f t="array" ref="F579">_xlfn.SWITCH(Sheet5!C579,FALSE,"NO",TRUE,"YES")</f>
        <v>NO</v>
      </c>
      <c r="G579" t="str" cm="1">
        <f t="array" ref="G579">_xlfn.SWITCH(Sheet5!B579,0,"Sunday",1,"Monday",2,"Tuesday",3,"Wednesday",4,"Thursday",5,"Friday",6,"Saturday")</f>
        <v>Wednesday</v>
      </c>
      <c r="H579" t="str" cm="1">
        <f t="array" ref="H579">_xlfn.SWITCH(Sheet5!D579, 1, "Clear Sky", 2, "Mist", 3, "Dark Cloud",4,"Heavy Rainfall")</f>
        <v>Dark Cloud</v>
      </c>
      <c r="I579" s="26">
        <f>Sheet5!E579*41</f>
        <v>9.02</v>
      </c>
      <c r="J579" s="27">
        <v>0.87</v>
      </c>
      <c r="K579">
        <v>0.29849999999999999</v>
      </c>
      <c r="L579">
        <v>3</v>
      </c>
      <c r="M579">
        <v>69</v>
      </c>
      <c r="N579">
        <v>72</v>
      </c>
    </row>
    <row r="580" spans="1:14" x14ac:dyDescent="0.3">
      <c r="A580">
        <v>579</v>
      </c>
      <c r="B580" s="21">
        <v>40569</v>
      </c>
      <c r="C580" s="25" t="s">
        <v>16</v>
      </c>
      <c r="D580" s="25" t="str" cm="1">
        <f t="array" ref="D580">_xlfn.SWITCH(Sheet5!A580,1,"JANUARY",2,"FEBRUARY")</f>
        <v>JANUARY</v>
      </c>
      <c r="E580">
        <v>9</v>
      </c>
      <c r="F580" t="str" cm="1">
        <f t="array" ref="F580">_xlfn.SWITCH(Sheet5!C580,FALSE,"NO",TRUE,"YES")</f>
        <v>NO</v>
      </c>
      <c r="G580" t="str" cm="1">
        <f t="array" ref="G580">_xlfn.SWITCH(Sheet5!B580,0,"Sunday",1,"Monday",2,"Tuesday",3,"Wednesday",4,"Thursday",5,"Friday",6,"Saturday")</f>
        <v>Wednesday</v>
      </c>
      <c r="H580" t="str" cm="1">
        <f t="array" ref="H580">_xlfn.SWITCH(Sheet5!D580, 1, "Clear Sky", 2, "Mist", 3, "Dark Cloud",4,"Heavy Rainfall")</f>
        <v>Dark Cloud</v>
      </c>
      <c r="I580" s="26">
        <f>Sheet5!E580*41</f>
        <v>9.02</v>
      </c>
      <c r="J580" s="27">
        <v>0.87</v>
      </c>
      <c r="K580">
        <v>0.29849999999999999</v>
      </c>
      <c r="L580">
        <v>3</v>
      </c>
      <c r="M580">
        <v>55</v>
      </c>
      <c r="N580">
        <v>58</v>
      </c>
    </row>
    <row r="581" spans="1:14" x14ac:dyDescent="0.3">
      <c r="A581">
        <v>580</v>
      </c>
      <c r="B581" s="21">
        <v>40569</v>
      </c>
      <c r="C581" s="25" t="s">
        <v>16</v>
      </c>
      <c r="D581" s="25" t="str" cm="1">
        <f t="array" ref="D581">_xlfn.SWITCH(Sheet5!A581,1,"JANUARY",2,"FEBRUARY")</f>
        <v>JANUARY</v>
      </c>
      <c r="E581">
        <v>10</v>
      </c>
      <c r="F581" t="str" cm="1">
        <f t="array" ref="F581">_xlfn.SWITCH(Sheet5!C581,FALSE,"NO",TRUE,"YES")</f>
        <v>NO</v>
      </c>
      <c r="G581" t="str" cm="1">
        <f t="array" ref="G581">_xlfn.SWITCH(Sheet5!B581,0,"Sunday",1,"Monday",2,"Tuesday",3,"Wednesday",4,"Thursday",5,"Friday",6,"Saturday")</f>
        <v>Wednesday</v>
      </c>
      <c r="H581" t="str" cm="1">
        <f t="array" ref="H581">_xlfn.SWITCH(Sheet5!D581, 1, "Clear Sky", 2, "Mist", 3, "Dark Cloud",4,"Heavy Rainfall")</f>
        <v>Dark Cloud</v>
      </c>
      <c r="I581" s="26">
        <f>Sheet5!E581*41</f>
        <v>9.02</v>
      </c>
      <c r="J581" s="27">
        <v>0.93</v>
      </c>
      <c r="K581">
        <v>0.28360000000000002</v>
      </c>
      <c r="L581">
        <v>2</v>
      </c>
      <c r="M581">
        <v>26</v>
      </c>
      <c r="N581">
        <v>28</v>
      </c>
    </row>
    <row r="582" spans="1:14" x14ac:dyDescent="0.3">
      <c r="A582">
        <v>581</v>
      </c>
      <c r="B582" s="21">
        <v>40569</v>
      </c>
      <c r="C582" s="25" t="s">
        <v>16</v>
      </c>
      <c r="D582" s="25" t="str" cm="1">
        <f t="array" ref="D582">_xlfn.SWITCH(Sheet5!A582,1,"JANUARY",2,"FEBRUARY")</f>
        <v>JANUARY</v>
      </c>
      <c r="E582">
        <v>11</v>
      </c>
      <c r="F582" t="str" cm="1">
        <f t="array" ref="F582">_xlfn.SWITCH(Sheet5!C582,FALSE,"NO",TRUE,"YES")</f>
        <v>NO</v>
      </c>
      <c r="G582" t="str" cm="1">
        <f t="array" ref="G582">_xlfn.SWITCH(Sheet5!B582,0,"Sunday",1,"Monday",2,"Tuesday",3,"Wednesday",4,"Thursday",5,"Friday",6,"Saturday")</f>
        <v>Wednesday</v>
      </c>
      <c r="H582" t="str" cm="1">
        <f t="array" ref="H582">_xlfn.SWITCH(Sheet5!D582, 1, "Clear Sky", 2, "Mist", 3, "Dark Cloud",4,"Heavy Rainfall")</f>
        <v>Dark Cloud</v>
      </c>
      <c r="I582" s="26">
        <f>Sheet5!E582*41</f>
        <v>9.02</v>
      </c>
      <c r="J582" s="27">
        <v>0.93</v>
      </c>
      <c r="K582">
        <v>0.32840000000000003</v>
      </c>
      <c r="L582">
        <v>6</v>
      </c>
      <c r="M582">
        <v>35</v>
      </c>
      <c r="N582">
        <v>41</v>
      </c>
    </row>
    <row r="583" spans="1:14" x14ac:dyDescent="0.3">
      <c r="A583">
        <v>582</v>
      </c>
      <c r="B583" s="21">
        <v>40569</v>
      </c>
      <c r="C583" s="25" t="s">
        <v>16</v>
      </c>
      <c r="D583" s="25" t="str" cm="1">
        <f t="array" ref="D583">_xlfn.SWITCH(Sheet5!A583,1,"JANUARY",2,"FEBRUARY")</f>
        <v>JANUARY</v>
      </c>
      <c r="E583">
        <v>12</v>
      </c>
      <c r="F583" t="str" cm="1">
        <f t="array" ref="F583">_xlfn.SWITCH(Sheet5!C583,FALSE,"NO",TRUE,"YES")</f>
        <v>NO</v>
      </c>
      <c r="G583" t="str" cm="1">
        <f t="array" ref="G583">_xlfn.SWITCH(Sheet5!B583,0,"Sunday",1,"Monday",2,"Tuesday",3,"Wednesday",4,"Thursday",5,"Friday",6,"Saturday")</f>
        <v>Wednesday</v>
      </c>
      <c r="H583" t="str" cm="1">
        <f t="array" ref="H583">_xlfn.SWITCH(Sheet5!D583, 1, "Clear Sky", 2, "Mist", 3, "Dark Cloud",4,"Heavy Rainfall")</f>
        <v>Dark Cloud</v>
      </c>
      <c r="I583" s="26">
        <f>Sheet5!E583*41</f>
        <v>9.02</v>
      </c>
      <c r="J583" s="27">
        <v>0.93</v>
      </c>
      <c r="K583">
        <v>0.32840000000000003</v>
      </c>
      <c r="L583">
        <v>7</v>
      </c>
      <c r="M583">
        <v>41</v>
      </c>
      <c r="N583">
        <v>48</v>
      </c>
    </row>
    <row r="584" spans="1:14" x14ac:dyDescent="0.3">
      <c r="A584">
        <v>583</v>
      </c>
      <c r="B584" s="21">
        <v>40569</v>
      </c>
      <c r="C584" s="25" t="s">
        <v>16</v>
      </c>
      <c r="D584" s="25" t="str" cm="1">
        <f t="array" ref="D584">_xlfn.SWITCH(Sheet5!A584,1,"JANUARY",2,"FEBRUARY")</f>
        <v>JANUARY</v>
      </c>
      <c r="E584">
        <v>13</v>
      </c>
      <c r="F584" t="str" cm="1">
        <f t="array" ref="F584">_xlfn.SWITCH(Sheet5!C584,FALSE,"NO",TRUE,"YES")</f>
        <v>NO</v>
      </c>
      <c r="G584" t="str" cm="1">
        <f t="array" ref="G584">_xlfn.SWITCH(Sheet5!B584,0,"Sunday",1,"Monday",2,"Tuesday",3,"Wednesday",4,"Thursday",5,"Friday",6,"Saturday")</f>
        <v>Wednesday</v>
      </c>
      <c r="H584" t="str" cm="1">
        <f t="array" ref="H584">_xlfn.SWITCH(Sheet5!D584, 1, "Clear Sky", 2, "Mist", 3, "Dark Cloud",4,"Heavy Rainfall")</f>
        <v>Dark Cloud</v>
      </c>
      <c r="I584" s="26">
        <f>Sheet5!E584*41</f>
        <v>9.02</v>
      </c>
      <c r="J584" s="27">
        <v>0.93</v>
      </c>
      <c r="K584">
        <v>0.32840000000000003</v>
      </c>
      <c r="L584">
        <v>4</v>
      </c>
      <c r="M584">
        <v>43</v>
      </c>
      <c r="N584">
        <v>47</v>
      </c>
    </row>
    <row r="585" spans="1:14" x14ac:dyDescent="0.3">
      <c r="A585">
        <v>584</v>
      </c>
      <c r="B585" s="21">
        <v>40569</v>
      </c>
      <c r="C585" s="25" t="s">
        <v>16</v>
      </c>
      <c r="D585" s="25" t="str" cm="1">
        <f t="array" ref="D585">_xlfn.SWITCH(Sheet5!A585,1,"JANUARY",2,"FEBRUARY")</f>
        <v>JANUARY</v>
      </c>
      <c r="E585">
        <v>14</v>
      </c>
      <c r="F585" t="str" cm="1">
        <f t="array" ref="F585">_xlfn.SWITCH(Sheet5!C585,FALSE,"NO",TRUE,"YES")</f>
        <v>NO</v>
      </c>
      <c r="G585" t="str" cm="1">
        <f t="array" ref="G585">_xlfn.SWITCH(Sheet5!B585,0,"Sunday",1,"Monday",2,"Tuesday",3,"Wednesday",4,"Thursday",5,"Friday",6,"Saturday")</f>
        <v>Wednesday</v>
      </c>
      <c r="H585" t="str" cm="1">
        <f t="array" ref="H585">_xlfn.SWITCH(Sheet5!D585, 1, "Clear Sky", 2, "Mist", 3, "Dark Cloud",4,"Heavy Rainfall")</f>
        <v>Dark Cloud</v>
      </c>
      <c r="I585" s="26">
        <f>Sheet5!E585*41</f>
        <v>9.02</v>
      </c>
      <c r="J585" s="27">
        <v>0.93</v>
      </c>
      <c r="K585">
        <v>0.35820000000000002</v>
      </c>
      <c r="L585">
        <v>0</v>
      </c>
      <c r="M585">
        <v>36</v>
      </c>
      <c r="N585">
        <v>36</v>
      </c>
    </row>
    <row r="586" spans="1:14" x14ac:dyDescent="0.3">
      <c r="A586">
        <v>585</v>
      </c>
      <c r="B586" s="21">
        <v>40569</v>
      </c>
      <c r="C586" s="25" t="s">
        <v>16</v>
      </c>
      <c r="D586" s="25" t="str" cm="1">
        <f t="array" ref="D586">_xlfn.SWITCH(Sheet5!A586,1,"JANUARY",2,"FEBRUARY")</f>
        <v>JANUARY</v>
      </c>
      <c r="E586">
        <v>15</v>
      </c>
      <c r="F586" t="str" cm="1">
        <f t="array" ref="F586">_xlfn.SWITCH(Sheet5!C586,FALSE,"NO",TRUE,"YES")</f>
        <v>NO</v>
      </c>
      <c r="G586" t="str" cm="1">
        <f t="array" ref="G586">_xlfn.SWITCH(Sheet5!B586,0,"Sunday",1,"Monday",2,"Tuesday",3,"Wednesday",4,"Thursday",5,"Friday",6,"Saturday")</f>
        <v>Wednesday</v>
      </c>
      <c r="H586" t="str" cm="1">
        <f t="array" ref="H586">_xlfn.SWITCH(Sheet5!D586, 1, "Clear Sky", 2, "Mist", 3, "Dark Cloud",4,"Heavy Rainfall")</f>
        <v>Dark Cloud</v>
      </c>
      <c r="I586" s="26">
        <f>Sheet5!E586*41</f>
        <v>9.02</v>
      </c>
      <c r="J586" s="27">
        <v>0.93</v>
      </c>
      <c r="K586">
        <v>0.4627</v>
      </c>
      <c r="L586">
        <v>1</v>
      </c>
      <c r="M586">
        <v>42</v>
      </c>
      <c r="N586">
        <v>43</v>
      </c>
    </row>
    <row r="587" spans="1:14" x14ac:dyDescent="0.3">
      <c r="A587">
        <v>586</v>
      </c>
      <c r="B587" s="21">
        <v>40569</v>
      </c>
      <c r="C587" s="25" t="s">
        <v>16</v>
      </c>
      <c r="D587" s="25" t="str" cm="1">
        <f t="array" ref="D587">_xlfn.SWITCH(Sheet5!A587,1,"JANUARY",2,"FEBRUARY")</f>
        <v>JANUARY</v>
      </c>
      <c r="E587">
        <v>16</v>
      </c>
      <c r="F587" t="str" cm="1">
        <f t="array" ref="F587">_xlfn.SWITCH(Sheet5!C587,FALSE,"NO",TRUE,"YES")</f>
        <v>NO</v>
      </c>
      <c r="G587" t="str" cm="1">
        <f t="array" ref="G587">_xlfn.SWITCH(Sheet5!B587,0,"Sunday",1,"Monday",2,"Tuesday",3,"Wednesday",4,"Thursday",5,"Friday",6,"Saturday")</f>
        <v>Wednesday</v>
      </c>
      <c r="H587" t="str" cm="1">
        <f t="array" ref="H587">_xlfn.SWITCH(Sheet5!D587, 1, "Clear Sky", 2, "Mist", 3, "Dark Cloud",4,"Heavy Rainfall")</f>
        <v>Heavy Rainfall</v>
      </c>
      <c r="I587" s="26">
        <f>Sheet5!E587*41</f>
        <v>9.02</v>
      </c>
      <c r="J587" s="27">
        <v>0.93</v>
      </c>
      <c r="K587">
        <v>0.32840000000000003</v>
      </c>
      <c r="L587">
        <v>1</v>
      </c>
      <c r="M587">
        <v>35</v>
      </c>
      <c r="N587">
        <v>36</v>
      </c>
    </row>
    <row r="588" spans="1:14" x14ac:dyDescent="0.3">
      <c r="A588">
        <v>587</v>
      </c>
      <c r="B588" s="21">
        <v>40569</v>
      </c>
      <c r="C588" s="25" t="s">
        <v>16</v>
      </c>
      <c r="D588" s="25" t="str" cm="1">
        <f t="array" ref="D588">_xlfn.SWITCH(Sheet5!A588,1,"JANUARY",2,"FEBRUARY")</f>
        <v>JANUARY</v>
      </c>
      <c r="E588">
        <v>17</v>
      </c>
      <c r="F588" t="str" cm="1">
        <f t="array" ref="F588">_xlfn.SWITCH(Sheet5!C588,FALSE,"NO",TRUE,"YES")</f>
        <v>NO</v>
      </c>
      <c r="G588" t="str" cm="1">
        <f t="array" ref="G588">_xlfn.SWITCH(Sheet5!B588,0,"Sunday",1,"Monday",2,"Tuesday",3,"Wednesday",4,"Thursday",5,"Friday",6,"Saturday")</f>
        <v>Wednesday</v>
      </c>
      <c r="H588" t="str" cm="1">
        <f t="array" ref="H588">_xlfn.SWITCH(Sheet5!D588, 1, "Clear Sky", 2, "Mist", 3, "Dark Cloud",4,"Heavy Rainfall")</f>
        <v>Dark Cloud</v>
      </c>
      <c r="I588" s="26">
        <f>Sheet5!E588*41</f>
        <v>8.2000000000000011</v>
      </c>
      <c r="J588" s="27">
        <v>0.93</v>
      </c>
      <c r="K588">
        <v>0.35820000000000002</v>
      </c>
      <c r="L588">
        <v>0</v>
      </c>
      <c r="M588">
        <v>26</v>
      </c>
      <c r="N588">
        <v>26</v>
      </c>
    </row>
    <row r="589" spans="1:14" x14ac:dyDescent="0.3">
      <c r="A589">
        <v>588</v>
      </c>
      <c r="B589" s="21">
        <v>40570</v>
      </c>
      <c r="C589" s="25" t="s">
        <v>16</v>
      </c>
      <c r="D589" s="25" t="str" cm="1">
        <f t="array" ref="D589">_xlfn.SWITCH(Sheet5!A589,1,"JANUARY",2,"FEBRUARY")</f>
        <v>JANUARY</v>
      </c>
      <c r="E589">
        <v>16</v>
      </c>
      <c r="F589" t="str" cm="1">
        <f t="array" ref="F589">_xlfn.SWITCH(Sheet5!C589,FALSE,"NO",TRUE,"YES")</f>
        <v>NO</v>
      </c>
      <c r="G589" t="str" cm="1">
        <f t="array" ref="G589">_xlfn.SWITCH(Sheet5!B589,0,"Sunday",1,"Monday",2,"Tuesday",3,"Wednesday",4,"Thursday",5,"Friday",6,"Saturday")</f>
        <v>Thursday</v>
      </c>
      <c r="H589" t="str" cm="1">
        <f t="array" ref="H589">_xlfn.SWITCH(Sheet5!D589, 1, "Clear Sky", 2, "Mist", 3, "Dark Cloud",4,"Heavy Rainfall")</f>
        <v>Clear Sky</v>
      </c>
      <c r="I589" s="26">
        <f>Sheet5!E589*41</f>
        <v>9.02</v>
      </c>
      <c r="J589" s="27">
        <v>0.55000000000000004</v>
      </c>
      <c r="K589">
        <v>0.19400000000000001</v>
      </c>
      <c r="L589">
        <v>1</v>
      </c>
      <c r="M589">
        <v>23</v>
      </c>
      <c r="N589">
        <v>24</v>
      </c>
    </row>
    <row r="590" spans="1:14" x14ac:dyDescent="0.3">
      <c r="A590">
        <v>589</v>
      </c>
      <c r="B590" s="21">
        <v>40570</v>
      </c>
      <c r="C590" s="25" t="s">
        <v>16</v>
      </c>
      <c r="D590" s="25" t="str" cm="1">
        <f t="array" ref="D590">_xlfn.SWITCH(Sheet5!A590,1,"JANUARY",2,"FEBRUARY")</f>
        <v>JANUARY</v>
      </c>
      <c r="E590">
        <v>17</v>
      </c>
      <c r="F590" t="str" cm="1">
        <f t="array" ref="F590">_xlfn.SWITCH(Sheet5!C590,FALSE,"NO",TRUE,"YES")</f>
        <v>NO</v>
      </c>
      <c r="G590" t="str" cm="1">
        <f t="array" ref="G590">_xlfn.SWITCH(Sheet5!B590,0,"Sunday",1,"Monday",2,"Tuesday",3,"Wednesday",4,"Thursday",5,"Friday",6,"Saturday")</f>
        <v>Thursday</v>
      </c>
      <c r="H590" t="str" cm="1">
        <f t="array" ref="H590">_xlfn.SWITCH(Sheet5!D590, 1, "Clear Sky", 2, "Mist", 3, "Dark Cloud",4,"Heavy Rainfall")</f>
        <v>Clear Sky</v>
      </c>
      <c r="I590" s="26">
        <f>Sheet5!E590*41</f>
        <v>9.02</v>
      </c>
      <c r="J590" s="27">
        <v>0.55000000000000004</v>
      </c>
      <c r="K590">
        <v>0.1045</v>
      </c>
      <c r="L590">
        <v>2</v>
      </c>
      <c r="M590">
        <v>82</v>
      </c>
      <c r="N590">
        <v>84</v>
      </c>
    </row>
    <row r="591" spans="1:14" x14ac:dyDescent="0.3">
      <c r="A591">
        <v>590</v>
      </c>
      <c r="B591" s="21">
        <v>40570</v>
      </c>
      <c r="C591" s="25" t="s">
        <v>16</v>
      </c>
      <c r="D591" s="25" t="str" cm="1">
        <f t="array" ref="D591">_xlfn.SWITCH(Sheet5!A591,1,"JANUARY",2,"FEBRUARY")</f>
        <v>JANUARY</v>
      </c>
      <c r="E591">
        <v>18</v>
      </c>
      <c r="F591" t="str" cm="1">
        <f t="array" ref="F591">_xlfn.SWITCH(Sheet5!C591,FALSE,"NO",TRUE,"YES")</f>
        <v>NO</v>
      </c>
      <c r="G591" t="str" cm="1">
        <f t="array" ref="G591">_xlfn.SWITCH(Sheet5!B591,0,"Sunday",1,"Monday",2,"Tuesday",3,"Wednesday",4,"Thursday",5,"Friday",6,"Saturday")</f>
        <v>Thursday</v>
      </c>
      <c r="H591" t="str" cm="1">
        <f t="array" ref="H591">_xlfn.SWITCH(Sheet5!D591, 1, "Clear Sky", 2, "Mist", 3, "Dark Cloud",4,"Heavy Rainfall")</f>
        <v>Clear Sky</v>
      </c>
      <c r="I591" s="26">
        <f>Sheet5!E591*41</f>
        <v>8.2000000000000011</v>
      </c>
      <c r="J591" s="27">
        <v>0.69</v>
      </c>
      <c r="K591">
        <v>8.9599999999999999E-2</v>
      </c>
      <c r="L591">
        <v>3</v>
      </c>
      <c r="M591">
        <v>101</v>
      </c>
      <c r="N591">
        <v>104</v>
      </c>
    </row>
    <row r="592" spans="1:14" x14ac:dyDescent="0.3">
      <c r="A592">
        <v>591</v>
      </c>
      <c r="B592" s="21">
        <v>40570</v>
      </c>
      <c r="C592" s="25" t="s">
        <v>16</v>
      </c>
      <c r="D592" s="25" t="str" cm="1">
        <f t="array" ref="D592">_xlfn.SWITCH(Sheet5!A592,1,"JANUARY",2,"FEBRUARY")</f>
        <v>JANUARY</v>
      </c>
      <c r="E592">
        <v>19</v>
      </c>
      <c r="F592" t="str" cm="1">
        <f t="array" ref="F592">_xlfn.SWITCH(Sheet5!C592,FALSE,"NO",TRUE,"YES")</f>
        <v>NO</v>
      </c>
      <c r="G592" t="str" cm="1">
        <f t="array" ref="G592">_xlfn.SWITCH(Sheet5!B592,0,"Sunday",1,"Monday",2,"Tuesday",3,"Wednesday",4,"Thursday",5,"Friday",6,"Saturday")</f>
        <v>Thursday</v>
      </c>
      <c r="H592" t="str" cm="1">
        <f t="array" ref="H592">_xlfn.SWITCH(Sheet5!D592, 1, "Clear Sky", 2, "Mist", 3, "Dark Cloud",4,"Heavy Rainfall")</f>
        <v>Clear Sky</v>
      </c>
      <c r="I592" s="26">
        <f>Sheet5!E592*41</f>
        <v>8.2000000000000011</v>
      </c>
      <c r="J592" s="27">
        <v>0.69</v>
      </c>
      <c r="K592">
        <v>8.9599999999999999E-2</v>
      </c>
      <c r="L592">
        <v>3</v>
      </c>
      <c r="M592">
        <v>76</v>
      </c>
      <c r="N592">
        <v>79</v>
      </c>
    </row>
    <row r="593" spans="1:14" x14ac:dyDescent="0.3">
      <c r="A593">
        <v>592</v>
      </c>
      <c r="B593" s="21">
        <v>40570</v>
      </c>
      <c r="C593" s="25" t="s">
        <v>16</v>
      </c>
      <c r="D593" s="25" t="str" cm="1">
        <f t="array" ref="D593">_xlfn.SWITCH(Sheet5!A593,1,"JANUARY",2,"FEBRUARY")</f>
        <v>JANUARY</v>
      </c>
      <c r="E593">
        <v>20</v>
      </c>
      <c r="F593" t="str" cm="1">
        <f t="array" ref="F593">_xlfn.SWITCH(Sheet5!C593,FALSE,"NO",TRUE,"YES")</f>
        <v>NO</v>
      </c>
      <c r="G593" t="str" cm="1">
        <f t="array" ref="G593">_xlfn.SWITCH(Sheet5!B593,0,"Sunday",1,"Monday",2,"Tuesday",3,"Wednesday",4,"Thursday",5,"Friday",6,"Saturday")</f>
        <v>Thursday</v>
      </c>
      <c r="H593" t="str" cm="1">
        <f t="array" ref="H593">_xlfn.SWITCH(Sheet5!D593, 1, "Clear Sky", 2, "Mist", 3, "Dark Cloud",4,"Heavy Rainfall")</f>
        <v>Clear Sky</v>
      </c>
      <c r="I593" s="26">
        <f>Sheet5!E593*41</f>
        <v>7.38</v>
      </c>
      <c r="J593" s="27">
        <v>0.74</v>
      </c>
      <c r="K593">
        <v>8.9599999999999999E-2</v>
      </c>
      <c r="L593">
        <v>4</v>
      </c>
      <c r="M593">
        <v>55</v>
      </c>
      <c r="N593">
        <v>59</v>
      </c>
    </row>
    <row r="594" spans="1:14" x14ac:dyDescent="0.3">
      <c r="A594">
        <v>593</v>
      </c>
      <c r="B594" s="21">
        <v>40570</v>
      </c>
      <c r="C594" s="25" t="s">
        <v>16</v>
      </c>
      <c r="D594" s="25" t="str" cm="1">
        <f t="array" ref="D594">_xlfn.SWITCH(Sheet5!A594,1,"JANUARY",2,"FEBRUARY")</f>
        <v>JANUARY</v>
      </c>
      <c r="E594">
        <v>21</v>
      </c>
      <c r="F594" t="str" cm="1">
        <f t="array" ref="F594">_xlfn.SWITCH(Sheet5!C594,FALSE,"NO",TRUE,"YES")</f>
        <v>NO</v>
      </c>
      <c r="G594" t="str" cm="1">
        <f t="array" ref="G594">_xlfn.SWITCH(Sheet5!B594,0,"Sunday",1,"Monday",2,"Tuesday",3,"Wednesday",4,"Thursday",5,"Friday",6,"Saturday")</f>
        <v>Thursday</v>
      </c>
      <c r="H594" t="str" cm="1">
        <f t="array" ref="H594">_xlfn.SWITCH(Sheet5!D594, 1, "Clear Sky", 2, "Mist", 3, "Dark Cloud",4,"Heavy Rainfall")</f>
        <v>Clear Sky</v>
      </c>
      <c r="I594" s="26">
        <f>Sheet5!E594*41</f>
        <v>7.38</v>
      </c>
      <c r="J594" s="27">
        <v>0.74</v>
      </c>
      <c r="K594">
        <v>8.9599999999999999E-2</v>
      </c>
      <c r="L594">
        <v>2</v>
      </c>
      <c r="M594">
        <v>36</v>
      </c>
      <c r="N594">
        <v>38</v>
      </c>
    </row>
    <row r="595" spans="1:14" x14ac:dyDescent="0.3">
      <c r="A595">
        <v>594</v>
      </c>
      <c r="B595" s="21">
        <v>40570</v>
      </c>
      <c r="C595" s="25" t="s">
        <v>16</v>
      </c>
      <c r="D595" s="25" t="str" cm="1">
        <f t="array" ref="D595">_xlfn.SWITCH(Sheet5!A595,1,"JANUARY",2,"FEBRUARY")</f>
        <v>JANUARY</v>
      </c>
      <c r="E595">
        <v>22</v>
      </c>
      <c r="F595" t="str" cm="1">
        <f t="array" ref="F595">_xlfn.SWITCH(Sheet5!C595,FALSE,"NO",TRUE,"YES")</f>
        <v>NO</v>
      </c>
      <c r="G595" t="str" cm="1">
        <f t="array" ref="G595">_xlfn.SWITCH(Sheet5!B595,0,"Sunday",1,"Monday",2,"Tuesday",3,"Wednesday",4,"Thursday",5,"Friday",6,"Saturday")</f>
        <v>Thursday</v>
      </c>
      <c r="H595" t="str" cm="1">
        <f t="array" ref="H595">_xlfn.SWITCH(Sheet5!D595, 1, "Clear Sky", 2, "Mist", 3, "Dark Cloud",4,"Heavy Rainfall")</f>
        <v>Clear Sky</v>
      </c>
      <c r="I595" s="26">
        <f>Sheet5!E595*41</f>
        <v>7.38</v>
      </c>
      <c r="J595" s="27">
        <v>0.74</v>
      </c>
      <c r="K595">
        <v>8.9599999999999999E-2</v>
      </c>
      <c r="L595">
        <v>0</v>
      </c>
      <c r="M595">
        <v>27</v>
      </c>
      <c r="N595">
        <v>27</v>
      </c>
    </row>
    <row r="596" spans="1:14" x14ac:dyDescent="0.3">
      <c r="A596">
        <v>595</v>
      </c>
      <c r="B596" s="21">
        <v>40570</v>
      </c>
      <c r="C596" s="25" t="s">
        <v>16</v>
      </c>
      <c r="D596" s="25" t="str" cm="1">
        <f t="array" ref="D596">_xlfn.SWITCH(Sheet5!A596,1,"JANUARY",2,"FEBRUARY")</f>
        <v>JANUARY</v>
      </c>
      <c r="E596">
        <v>23</v>
      </c>
      <c r="F596" t="str" cm="1">
        <f t="array" ref="F596">_xlfn.SWITCH(Sheet5!C596,FALSE,"NO",TRUE,"YES")</f>
        <v>NO</v>
      </c>
      <c r="G596" t="str" cm="1">
        <f t="array" ref="G596">_xlfn.SWITCH(Sheet5!B596,0,"Sunday",1,"Monday",2,"Tuesday",3,"Wednesday",4,"Thursday",5,"Friday",6,"Saturday")</f>
        <v>Thursday</v>
      </c>
      <c r="H596" t="str" cm="1">
        <f t="array" ref="H596">_xlfn.SWITCH(Sheet5!D596, 1, "Clear Sky", 2, "Mist", 3, "Dark Cloud",4,"Heavy Rainfall")</f>
        <v>Clear Sky</v>
      </c>
      <c r="I596" s="26">
        <f>Sheet5!E596*41</f>
        <v>7.38</v>
      </c>
      <c r="J596" s="27">
        <v>0.8</v>
      </c>
      <c r="K596">
        <v>0.16420000000000001</v>
      </c>
      <c r="L596">
        <v>0</v>
      </c>
      <c r="M596">
        <v>16</v>
      </c>
      <c r="N596">
        <v>16</v>
      </c>
    </row>
    <row r="597" spans="1:14" x14ac:dyDescent="0.3">
      <c r="A597">
        <v>596</v>
      </c>
      <c r="B597" s="21">
        <v>40571</v>
      </c>
      <c r="C597" s="25" t="s">
        <v>16</v>
      </c>
      <c r="D597" s="25" t="str" cm="1">
        <f t="array" ref="D597">_xlfn.SWITCH(Sheet5!A597,1,"JANUARY",2,"FEBRUARY")</f>
        <v>JANUARY</v>
      </c>
      <c r="E597">
        <v>0</v>
      </c>
      <c r="F597" t="str" cm="1">
        <f t="array" ref="F597">_xlfn.SWITCH(Sheet5!C597,FALSE,"NO",TRUE,"YES")</f>
        <v>NO</v>
      </c>
      <c r="G597" t="str" cm="1">
        <f t="array" ref="G597">_xlfn.SWITCH(Sheet5!B597,0,"Sunday",1,"Monday",2,"Tuesday",3,"Wednesday",4,"Thursday",5,"Friday",6,"Saturday")</f>
        <v>Friday</v>
      </c>
      <c r="H597" t="str" cm="1">
        <f t="array" ref="H597">_xlfn.SWITCH(Sheet5!D597, 1, "Clear Sky", 2, "Mist", 3, "Dark Cloud",4,"Heavy Rainfall")</f>
        <v>Mist</v>
      </c>
      <c r="I597" s="26">
        <f>Sheet5!E597*41</f>
        <v>8.2000000000000011</v>
      </c>
      <c r="J597" s="27">
        <v>0.75</v>
      </c>
      <c r="K597">
        <v>0.1343</v>
      </c>
      <c r="L597">
        <v>0</v>
      </c>
      <c r="M597">
        <v>9</v>
      </c>
      <c r="N597">
        <v>9</v>
      </c>
    </row>
    <row r="598" spans="1:14" x14ac:dyDescent="0.3">
      <c r="A598">
        <v>597</v>
      </c>
      <c r="B598" s="21">
        <v>40571</v>
      </c>
      <c r="C598" s="25" t="s">
        <v>16</v>
      </c>
      <c r="D598" s="25" t="str" cm="1">
        <f t="array" ref="D598">_xlfn.SWITCH(Sheet5!A598,1,"JANUARY",2,"FEBRUARY")</f>
        <v>JANUARY</v>
      </c>
      <c r="E598">
        <v>1</v>
      </c>
      <c r="F598" t="str" cm="1">
        <f t="array" ref="F598">_xlfn.SWITCH(Sheet5!C598,FALSE,"NO",TRUE,"YES")</f>
        <v>NO</v>
      </c>
      <c r="G598" t="str" cm="1">
        <f t="array" ref="G598">_xlfn.SWITCH(Sheet5!B598,0,"Sunday",1,"Monday",2,"Tuesday",3,"Wednesday",4,"Thursday",5,"Friday",6,"Saturday")</f>
        <v>Friday</v>
      </c>
      <c r="H598" t="str" cm="1">
        <f t="array" ref="H598">_xlfn.SWITCH(Sheet5!D598, 1, "Clear Sky", 2, "Mist", 3, "Dark Cloud",4,"Heavy Rainfall")</f>
        <v>Mist</v>
      </c>
      <c r="I598" s="26">
        <f>Sheet5!E598*41</f>
        <v>8.2000000000000011</v>
      </c>
      <c r="J598" s="27">
        <v>0.75</v>
      </c>
      <c r="K598">
        <v>0.1343</v>
      </c>
      <c r="L598">
        <v>1</v>
      </c>
      <c r="M598">
        <v>2</v>
      </c>
      <c r="N598">
        <v>3</v>
      </c>
    </row>
    <row r="599" spans="1:14" x14ac:dyDescent="0.3">
      <c r="A599">
        <v>598</v>
      </c>
      <c r="B599" s="21">
        <v>40571</v>
      </c>
      <c r="C599" s="25" t="s">
        <v>16</v>
      </c>
      <c r="D599" s="25" t="str" cm="1">
        <f t="array" ref="D599">_xlfn.SWITCH(Sheet5!A599,1,"JANUARY",2,"FEBRUARY")</f>
        <v>JANUARY</v>
      </c>
      <c r="E599">
        <v>2</v>
      </c>
      <c r="F599" t="str" cm="1">
        <f t="array" ref="F599">_xlfn.SWITCH(Sheet5!C599,FALSE,"NO",TRUE,"YES")</f>
        <v>NO</v>
      </c>
      <c r="G599" t="str" cm="1">
        <f t="array" ref="G599">_xlfn.SWITCH(Sheet5!B599,0,"Sunday",1,"Monday",2,"Tuesday",3,"Wednesday",4,"Thursday",5,"Friday",6,"Saturday")</f>
        <v>Friday</v>
      </c>
      <c r="H599" t="str" cm="1">
        <f t="array" ref="H599">_xlfn.SWITCH(Sheet5!D599, 1, "Clear Sky", 2, "Mist", 3, "Dark Cloud",4,"Heavy Rainfall")</f>
        <v>Mist</v>
      </c>
      <c r="I599" s="26">
        <f>Sheet5!E599*41</f>
        <v>8.2000000000000011</v>
      </c>
      <c r="J599" s="27">
        <v>0.75</v>
      </c>
      <c r="K599">
        <v>0.16420000000000001</v>
      </c>
      <c r="L599">
        <v>0</v>
      </c>
      <c r="M599">
        <v>2</v>
      </c>
      <c r="N599">
        <v>2</v>
      </c>
    </row>
    <row r="600" spans="1:14" x14ac:dyDescent="0.3">
      <c r="A600">
        <v>599</v>
      </c>
      <c r="B600" s="21">
        <v>40571</v>
      </c>
      <c r="C600" s="25" t="s">
        <v>16</v>
      </c>
      <c r="D600" s="25" t="str" cm="1">
        <f t="array" ref="D600">_xlfn.SWITCH(Sheet5!A600,1,"JANUARY",2,"FEBRUARY")</f>
        <v>JANUARY</v>
      </c>
      <c r="E600">
        <v>3</v>
      </c>
      <c r="F600" t="str" cm="1">
        <f t="array" ref="F600">_xlfn.SWITCH(Sheet5!C600,FALSE,"NO",TRUE,"YES")</f>
        <v>NO</v>
      </c>
      <c r="G600" t="str" cm="1">
        <f t="array" ref="G600">_xlfn.SWITCH(Sheet5!B600,0,"Sunday",1,"Monday",2,"Tuesday",3,"Wednesday",4,"Thursday",5,"Friday",6,"Saturday")</f>
        <v>Friday</v>
      </c>
      <c r="H600" t="str" cm="1">
        <f t="array" ref="H600">_xlfn.SWITCH(Sheet5!D600, 1, "Clear Sky", 2, "Mist", 3, "Dark Cloud",4,"Heavy Rainfall")</f>
        <v>Mist</v>
      </c>
      <c r="I600" s="26">
        <f>Sheet5!E600*41</f>
        <v>8.2000000000000011</v>
      </c>
      <c r="J600" s="27">
        <v>0.75</v>
      </c>
      <c r="K600">
        <v>0.1045</v>
      </c>
      <c r="L600">
        <v>1</v>
      </c>
      <c r="M600">
        <v>0</v>
      </c>
      <c r="N600">
        <v>1</v>
      </c>
    </row>
    <row r="601" spans="1:14" x14ac:dyDescent="0.3">
      <c r="A601">
        <v>600</v>
      </c>
      <c r="B601" s="21">
        <v>40571</v>
      </c>
      <c r="C601" s="25" t="s">
        <v>16</v>
      </c>
      <c r="D601" s="25" t="str" cm="1">
        <f t="array" ref="D601">_xlfn.SWITCH(Sheet5!A601,1,"JANUARY",2,"FEBRUARY")</f>
        <v>JANUARY</v>
      </c>
      <c r="E601">
        <v>5</v>
      </c>
      <c r="F601" t="str" cm="1">
        <f t="array" ref="F601">_xlfn.SWITCH(Sheet5!C601,FALSE,"NO",TRUE,"YES")</f>
        <v>NO</v>
      </c>
      <c r="G601" t="str" cm="1">
        <f t="array" ref="G601">_xlfn.SWITCH(Sheet5!B601,0,"Sunday",1,"Monday",2,"Tuesday",3,"Wednesday",4,"Thursday",5,"Friday",6,"Saturday")</f>
        <v>Friday</v>
      </c>
      <c r="H601" t="str" cm="1">
        <f t="array" ref="H601">_xlfn.SWITCH(Sheet5!D601, 1, "Clear Sky", 2, "Mist", 3, "Dark Cloud",4,"Heavy Rainfall")</f>
        <v>Mist</v>
      </c>
      <c r="I601" s="26">
        <f>Sheet5!E601*41</f>
        <v>7.38</v>
      </c>
      <c r="J601" s="27">
        <v>0.8</v>
      </c>
      <c r="K601">
        <v>0.1045</v>
      </c>
      <c r="L601">
        <v>0</v>
      </c>
      <c r="M601">
        <v>4</v>
      </c>
      <c r="N601">
        <v>4</v>
      </c>
    </row>
    <row r="602" spans="1:14" x14ac:dyDescent="0.3">
      <c r="A602">
        <v>601</v>
      </c>
      <c r="B602" s="21">
        <v>40571</v>
      </c>
      <c r="C602" s="25" t="s">
        <v>16</v>
      </c>
      <c r="D602" s="25" t="str" cm="1">
        <f t="array" ref="D602">_xlfn.SWITCH(Sheet5!A602,1,"JANUARY",2,"FEBRUARY")</f>
        <v>JANUARY</v>
      </c>
      <c r="E602">
        <v>6</v>
      </c>
      <c r="F602" t="str" cm="1">
        <f t="array" ref="F602">_xlfn.SWITCH(Sheet5!C602,FALSE,"NO",TRUE,"YES")</f>
        <v>NO</v>
      </c>
      <c r="G602" t="str" cm="1">
        <f t="array" ref="G602">_xlfn.SWITCH(Sheet5!B602,0,"Sunday",1,"Monday",2,"Tuesday",3,"Wednesday",4,"Thursday",5,"Friday",6,"Saturday")</f>
        <v>Friday</v>
      </c>
      <c r="H602" t="str" cm="1">
        <f t="array" ref="H602">_xlfn.SWITCH(Sheet5!D602, 1, "Clear Sky", 2, "Mist", 3, "Dark Cloud",4,"Heavy Rainfall")</f>
        <v>Mist</v>
      </c>
      <c r="I602" s="26">
        <f>Sheet5!E602*41</f>
        <v>7.38</v>
      </c>
      <c r="J602" s="27">
        <v>0.8</v>
      </c>
      <c r="K602">
        <v>0.1343</v>
      </c>
      <c r="L602">
        <v>0</v>
      </c>
      <c r="M602">
        <v>16</v>
      </c>
      <c r="N602">
        <v>16</v>
      </c>
    </row>
    <row r="603" spans="1:14" x14ac:dyDescent="0.3">
      <c r="A603">
        <v>602</v>
      </c>
      <c r="B603" s="21">
        <v>40571</v>
      </c>
      <c r="C603" s="25" t="s">
        <v>16</v>
      </c>
      <c r="D603" s="25" t="str" cm="1">
        <f t="array" ref="D603">_xlfn.SWITCH(Sheet5!A603,1,"JANUARY",2,"FEBRUARY")</f>
        <v>JANUARY</v>
      </c>
      <c r="E603">
        <v>7</v>
      </c>
      <c r="F603" t="str" cm="1">
        <f t="array" ref="F603">_xlfn.SWITCH(Sheet5!C603,FALSE,"NO",TRUE,"YES")</f>
        <v>NO</v>
      </c>
      <c r="G603" t="str" cm="1">
        <f t="array" ref="G603">_xlfn.SWITCH(Sheet5!B603,0,"Sunday",1,"Monday",2,"Tuesday",3,"Wednesday",4,"Thursday",5,"Friday",6,"Saturday")</f>
        <v>Friday</v>
      </c>
      <c r="H603" t="str" cm="1">
        <f t="array" ref="H603">_xlfn.SWITCH(Sheet5!D603, 1, "Clear Sky", 2, "Mist", 3, "Dark Cloud",4,"Heavy Rainfall")</f>
        <v>Mist</v>
      </c>
      <c r="I603" s="26">
        <f>Sheet5!E603*41</f>
        <v>6.5600000000000005</v>
      </c>
      <c r="J603" s="27">
        <v>0.86</v>
      </c>
      <c r="K603">
        <v>8.9599999999999999E-2</v>
      </c>
      <c r="L603">
        <v>2</v>
      </c>
      <c r="M603">
        <v>58</v>
      </c>
      <c r="N603">
        <v>60</v>
      </c>
    </row>
    <row r="604" spans="1:14" x14ac:dyDescent="0.3">
      <c r="A604">
        <v>603</v>
      </c>
      <c r="B604" s="21">
        <v>40571</v>
      </c>
      <c r="C604" s="25" t="s">
        <v>16</v>
      </c>
      <c r="D604" s="25" t="str" cm="1">
        <f t="array" ref="D604">_xlfn.SWITCH(Sheet5!A604,1,"JANUARY",2,"FEBRUARY")</f>
        <v>JANUARY</v>
      </c>
      <c r="E604">
        <v>8</v>
      </c>
      <c r="F604" t="str" cm="1">
        <f t="array" ref="F604">_xlfn.SWITCH(Sheet5!C604,FALSE,"NO",TRUE,"YES")</f>
        <v>NO</v>
      </c>
      <c r="G604" t="str" cm="1">
        <f t="array" ref="G604">_xlfn.SWITCH(Sheet5!B604,0,"Sunday",1,"Monday",2,"Tuesday",3,"Wednesday",4,"Thursday",5,"Friday",6,"Saturday")</f>
        <v>Friday</v>
      </c>
      <c r="H604" t="str" cm="1">
        <f t="array" ref="H604">_xlfn.SWITCH(Sheet5!D604, 1, "Clear Sky", 2, "Mist", 3, "Dark Cloud",4,"Heavy Rainfall")</f>
        <v>Mist</v>
      </c>
      <c r="I604" s="26">
        <f>Sheet5!E604*41</f>
        <v>6.5600000000000005</v>
      </c>
      <c r="J604" s="27">
        <v>0.86</v>
      </c>
      <c r="K604">
        <v>8.9599999999999999E-2</v>
      </c>
      <c r="L604">
        <v>2</v>
      </c>
      <c r="M604">
        <v>155</v>
      </c>
      <c r="N604">
        <v>157</v>
      </c>
    </row>
    <row r="605" spans="1:14" x14ac:dyDescent="0.3">
      <c r="A605">
        <v>604</v>
      </c>
      <c r="B605" s="21">
        <v>40571</v>
      </c>
      <c r="C605" s="25" t="s">
        <v>16</v>
      </c>
      <c r="D605" s="25" t="str" cm="1">
        <f t="array" ref="D605">_xlfn.SWITCH(Sheet5!A605,1,"JANUARY",2,"FEBRUARY")</f>
        <v>JANUARY</v>
      </c>
      <c r="E605">
        <v>9</v>
      </c>
      <c r="F605" t="str" cm="1">
        <f t="array" ref="F605">_xlfn.SWITCH(Sheet5!C605,FALSE,"NO",TRUE,"YES")</f>
        <v>NO</v>
      </c>
      <c r="G605" t="str" cm="1">
        <f t="array" ref="G605">_xlfn.SWITCH(Sheet5!B605,0,"Sunday",1,"Monday",2,"Tuesday",3,"Wednesday",4,"Thursday",5,"Friday",6,"Saturday")</f>
        <v>Friday</v>
      </c>
      <c r="H605" t="str" cm="1">
        <f t="array" ref="H605">_xlfn.SWITCH(Sheet5!D605, 1, "Clear Sky", 2, "Mist", 3, "Dark Cloud",4,"Heavy Rainfall")</f>
        <v>Dark Cloud</v>
      </c>
      <c r="I605" s="26">
        <f>Sheet5!E605*41</f>
        <v>7.38</v>
      </c>
      <c r="J605" s="27">
        <v>0.86</v>
      </c>
      <c r="K605">
        <v>8.9599999999999999E-2</v>
      </c>
      <c r="L605">
        <v>6</v>
      </c>
      <c r="M605">
        <v>95</v>
      </c>
      <c r="N605">
        <v>101</v>
      </c>
    </row>
    <row r="606" spans="1:14" x14ac:dyDescent="0.3">
      <c r="A606">
        <v>605</v>
      </c>
      <c r="B606" s="21">
        <v>40571</v>
      </c>
      <c r="C606" s="25" t="s">
        <v>16</v>
      </c>
      <c r="D606" s="25" t="str" cm="1">
        <f t="array" ref="D606">_xlfn.SWITCH(Sheet5!A606,1,"JANUARY",2,"FEBRUARY")</f>
        <v>JANUARY</v>
      </c>
      <c r="E606">
        <v>10</v>
      </c>
      <c r="F606" t="str" cm="1">
        <f t="array" ref="F606">_xlfn.SWITCH(Sheet5!C606,FALSE,"NO",TRUE,"YES")</f>
        <v>NO</v>
      </c>
      <c r="G606" t="str" cm="1">
        <f t="array" ref="G606">_xlfn.SWITCH(Sheet5!B606,0,"Sunday",1,"Monday",2,"Tuesday",3,"Wednesday",4,"Thursday",5,"Friday",6,"Saturday")</f>
        <v>Friday</v>
      </c>
      <c r="H606" t="str" cm="1">
        <f t="array" ref="H606">_xlfn.SWITCH(Sheet5!D606, 1, "Clear Sky", 2, "Mist", 3, "Dark Cloud",4,"Heavy Rainfall")</f>
        <v>Dark Cloud</v>
      </c>
      <c r="I606" s="26">
        <f>Sheet5!E606*41</f>
        <v>7.38</v>
      </c>
      <c r="J606" s="27">
        <v>0.86</v>
      </c>
      <c r="K606">
        <v>0.1045</v>
      </c>
      <c r="L606">
        <v>0</v>
      </c>
      <c r="M606">
        <v>49</v>
      </c>
      <c r="N606">
        <v>49</v>
      </c>
    </row>
    <row r="607" spans="1:14" x14ac:dyDescent="0.3">
      <c r="A607">
        <v>606</v>
      </c>
      <c r="B607" s="21">
        <v>40571</v>
      </c>
      <c r="C607" s="25" t="s">
        <v>16</v>
      </c>
      <c r="D607" s="25" t="str" cm="1">
        <f t="array" ref="D607">_xlfn.SWITCH(Sheet5!A607,1,"JANUARY",2,"FEBRUARY")</f>
        <v>JANUARY</v>
      </c>
      <c r="E607">
        <v>11</v>
      </c>
      <c r="F607" t="str" cm="1">
        <f t="array" ref="F607">_xlfn.SWITCH(Sheet5!C607,FALSE,"NO",TRUE,"YES")</f>
        <v>NO</v>
      </c>
      <c r="G607" t="str" cm="1">
        <f t="array" ref="G607">_xlfn.SWITCH(Sheet5!B607,0,"Sunday",1,"Monday",2,"Tuesday",3,"Wednesday",4,"Thursday",5,"Friday",6,"Saturday")</f>
        <v>Friday</v>
      </c>
      <c r="H607" t="str" cm="1">
        <f t="array" ref="H607">_xlfn.SWITCH(Sheet5!D607, 1, "Clear Sky", 2, "Mist", 3, "Dark Cloud",4,"Heavy Rainfall")</f>
        <v>Dark Cloud</v>
      </c>
      <c r="I607" s="26">
        <f>Sheet5!E607*41</f>
        <v>7.38</v>
      </c>
      <c r="J607" s="27">
        <v>0.93</v>
      </c>
      <c r="K607">
        <v>0.1045</v>
      </c>
      <c r="L607">
        <v>0</v>
      </c>
      <c r="M607">
        <v>30</v>
      </c>
      <c r="N607">
        <v>30</v>
      </c>
    </row>
    <row r="608" spans="1:14" x14ac:dyDescent="0.3">
      <c r="A608">
        <v>607</v>
      </c>
      <c r="B608" s="21">
        <v>40571</v>
      </c>
      <c r="C608" s="25" t="s">
        <v>16</v>
      </c>
      <c r="D608" s="25" t="str" cm="1">
        <f t="array" ref="D608">_xlfn.SWITCH(Sheet5!A608,1,"JANUARY",2,"FEBRUARY")</f>
        <v>JANUARY</v>
      </c>
      <c r="E608">
        <v>12</v>
      </c>
      <c r="F608" t="str" cm="1">
        <f t="array" ref="F608">_xlfn.SWITCH(Sheet5!C608,FALSE,"NO",TRUE,"YES")</f>
        <v>NO</v>
      </c>
      <c r="G608" t="str" cm="1">
        <f t="array" ref="G608">_xlfn.SWITCH(Sheet5!B608,0,"Sunday",1,"Monday",2,"Tuesday",3,"Wednesday",4,"Thursday",5,"Friday",6,"Saturday")</f>
        <v>Friday</v>
      </c>
      <c r="H608" t="str" cm="1">
        <f t="array" ref="H608">_xlfn.SWITCH(Sheet5!D608, 1, "Clear Sky", 2, "Mist", 3, "Dark Cloud",4,"Heavy Rainfall")</f>
        <v>Dark Cloud</v>
      </c>
      <c r="I608" s="26">
        <f>Sheet5!E608*41</f>
        <v>7.38</v>
      </c>
      <c r="J608" s="27">
        <v>0.93</v>
      </c>
      <c r="K608">
        <v>0.1045</v>
      </c>
      <c r="L608">
        <v>1</v>
      </c>
      <c r="M608">
        <v>28</v>
      </c>
      <c r="N608">
        <v>29</v>
      </c>
    </row>
    <row r="609" spans="1:14" x14ac:dyDescent="0.3">
      <c r="A609">
        <v>608</v>
      </c>
      <c r="B609" s="21">
        <v>40571</v>
      </c>
      <c r="C609" s="25" t="s">
        <v>16</v>
      </c>
      <c r="D609" s="25" t="str" cm="1">
        <f t="array" ref="D609">_xlfn.SWITCH(Sheet5!A609,1,"JANUARY",2,"FEBRUARY")</f>
        <v>JANUARY</v>
      </c>
      <c r="E609">
        <v>13</v>
      </c>
      <c r="F609" t="str" cm="1">
        <f t="array" ref="F609">_xlfn.SWITCH(Sheet5!C609,FALSE,"NO",TRUE,"YES")</f>
        <v>NO</v>
      </c>
      <c r="G609" t="str" cm="1">
        <f t="array" ref="G609">_xlfn.SWITCH(Sheet5!B609,0,"Sunday",1,"Monday",2,"Tuesday",3,"Wednesday",4,"Thursday",5,"Friday",6,"Saturday")</f>
        <v>Friday</v>
      </c>
      <c r="H609" t="str" cm="1">
        <f t="array" ref="H609">_xlfn.SWITCH(Sheet5!D609, 1, "Clear Sky", 2, "Mist", 3, "Dark Cloud",4,"Heavy Rainfall")</f>
        <v>Dark Cloud</v>
      </c>
      <c r="I609" s="26">
        <f>Sheet5!E609*41</f>
        <v>7.38</v>
      </c>
      <c r="J609" s="27">
        <v>0.93</v>
      </c>
      <c r="K609">
        <v>0.1045</v>
      </c>
      <c r="L609">
        <v>0</v>
      </c>
      <c r="M609">
        <v>31</v>
      </c>
      <c r="N609">
        <v>31</v>
      </c>
    </row>
    <row r="610" spans="1:14" x14ac:dyDescent="0.3">
      <c r="A610">
        <v>609</v>
      </c>
      <c r="B610" s="21">
        <v>40571</v>
      </c>
      <c r="C610" s="25" t="s">
        <v>16</v>
      </c>
      <c r="D610" s="25" t="str" cm="1">
        <f t="array" ref="D610">_xlfn.SWITCH(Sheet5!A610,1,"JANUARY",2,"FEBRUARY")</f>
        <v>JANUARY</v>
      </c>
      <c r="E610">
        <v>14</v>
      </c>
      <c r="F610" t="str" cm="1">
        <f t="array" ref="F610">_xlfn.SWITCH(Sheet5!C610,FALSE,"NO",TRUE,"YES")</f>
        <v>NO</v>
      </c>
      <c r="G610" t="str" cm="1">
        <f t="array" ref="G610">_xlfn.SWITCH(Sheet5!B610,0,"Sunday",1,"Monday",2,"Tuesday",3,"Wednesday",4,"Thursday",5,"Friday",6,"Saturday")</f>
        <v>Friday</v>
      </c>
      <c r="H610" t="str" cm="1">
        <f t="array" ref="H610">_xlfn.SWITCH(Sheet5!D610, 1, "Clear Sky", 2, "Mist", 3, "Dark Cloud",4,"Heavy Rainfall")</f>
        <v>Dark Cloud</v>
      </c>
      <c r="I610" s="26">
        <f>Sheet5!E610*41</f>
        <v>9.02</v>
      </c>
      <c r="J610" s="27">
        <v>0.8</v>
      </c>
      <c r="K610">
        <v>0</v>
      </c>
      <c r="L610">
        <v>2</v>
      </c>
      <c r="M610">
        <v>36</v>
      </c>
      <c r="N610">
        <v>38</v>
      </c>
    </row>
    <row r="611" spans="1:14" x14ac:dyDescent="0.3">
      <c r="A611">
        <v>610</v>
      </c>
      <c r="B611" s="21">
        <v>40571</v>
      </c>
      <c r="C611" s="25" t="s">
        <v>16</v>
      </c>
      <c r="D611" s="25" t="str" cm="1">
        <f t="array" ref="D611">_xlfn.SWITCH(Sheet5!A611,1,"JANUARY",2,"FEBRUARY")</f>
        <v>JANUARY</v>
      </c>
      <c r="E611">
        <v>15</v>
      </c>
      <c r="F611" t="str" cm="1">
        <f t="array" ref="F611">_xlfn.SWITCH(Sheet5!C611,FALSE,"NO",TRUE,"YES")</f>
        <v>NO</v>
      </c>
      <c r="G611" t="str" cm="1">
        <f t="array" ref="G611">_xlfn.SWITCH(Sheet5!B611,0,"Sunday",1,"Monday",2,"Tuesday",3,"Wednesday",4,"Thursday",5,"Friday",6,"Saturday")</f>
        <v>Friday</v>
      </c>
      <c r="H611" t="str" cm="1">
        <f t="array" ref="H611">_xlfn.SWITCH(Sheet5!D611, 1, "Clear Sky", 2, "Mist", 3, "Dark Cloud",4,"Heavy Rainfall")</f>
        <v>Mist</v>
      </c>
      <c r="I611" s="26">
        <f>Sheet5!E611*41</f>
        <v>8.2000000000000011</v>
      </c>
      <c r="J611" s="27">
        <v>0.86</v>
      </c>
      <c r="K611">
        <v>0</v>
      </c>
      <c r="L611">
        <v>1</v>
      </c>
      <c r="M611">
        <v>40</v>
      </c>
      <c r="N611">
        <v>41</v>
      </c>
    </row>
    <row r="612" spans="1:14" x14ac:dyDescent="0.3">
      <c r="A612">
        <v>611</v>
      </c>
      <c r="B612" s="21">
        <v>40571</v>
      </c>
      <c r="C612" s="25" t="s">
        <v>16</v>
      </c>
      <c r="D612" s="25" t="str" cm="1">
        <f t="array" ref="D612">_xlfn.SWITCH(Sheet5!A612,1,"JANUARY",2,"FEBRUARY")</f>
        <v>JANUARY</v>
      </c>
      <c r="E612">
        <v>16</v>
      </c>
      <c r="F612" t="str" cm="1">
        <f t="array" ref="F612">_xlfn.SWITCH(Sheet5!C612,FALSE,"NO",TRUE,"YES")</f>
        <v>NO</v>
      </c>
      <c r="G612" t="str" cm="1">
        <f t="array" ref="G612">_xlfn.SWITCH(Sheet5!B612,0,"Sunday",1,"Monday",2,"Tuesday",3,"Wednesday",4,"Thursday",5,"Friday",6,"Saturday")</f>
        <v>Friday</v>
      </c>
      <c r="H612" t="str" cm="1">
        <f t="array" ref="H612">_xlfn.SWITCH(Sheet5!D612, 1, "Clear Sky", 2, "Mist", 3, "Dark Cloud",4,"Heavy Rainfall")</f>
        <v>Clear Sky</v>
      </c>
      <c r="I612" s="26">
        <f>Sheet5!E612*41</f>
        <v>9.02</v>
      </c>
      <c r="J612" s="27">
        <v>0.8</v>
      </c>
      <c r="K612">
        <v>0</v>
      </c>
      <c r="L612">
        <v>10</v>
      </c>
      <c r="M612">
        <v>70</v>
      </c>
      <c r="N612">
        <v>80</v>
      </c>
    </row>
    <row r="613" spans="1:14" x14ac:dyDescent="0.3">
      <c r="A613">
        <v>612</v>
      </c>
      <c r="B613" s="21">
        <v>40571</v>
      </c>
      <c r="C613" s="25" t="s">
        <v>16</v>
      </c>
      <c r="D613" s="25" t="str" cm="1">
        <f t="array" ref="D613">_xlfn.SWITCH(Sheet5!A613,1,"JANUARY",2,"FEBRUARY")</f>
        <v>JANUARY</v>
      </c>
      <c r="E613">
        <v>17</v>
      </c>
      <c r="F613" t="str" cm="1">
        <f t="array" ref="F613">_xlfn.SWITCH(Sheet5!C613,FALSE,"NO",TRUE,"YES")</f>
        <v>NO</v>
      </c>
      <c r="G613" t="str" cm="1">
        <f t="array" ref="G613">_xlfn.SWITCH(Sheet5!B613,0,"Sunday",1,"Monday",2,"Tuesday",3,"Wednesday",4,"Thursday",5,"Friday",6,"Saturday")</f>
        <v>Friday</v>
      </c>
      <c r="H613" t="str" cm="1">
        <f t="array" ref="H613">_xlfn.SWITCH(Sheet5!D613, 1, "Clear Sky", 2, "Mist", 3, "Dark Cloud",4,"Heavy Rainfall")</f>
        <v>Clear Sky</v>
      </c>
      <c r="I613" s="26">
        <f>Sheet5!E613*41</f>
        <v>9.84</v>
      </c>
      <c r="J613" s="27">
        <v>0.75</v>
      </c>
      <c r="K613">
        <v>0.1343</v>
      </c>
      <c r="L613">
        <v>2</v>
      </c>
      <c r="M613">
        <v>147</v>
      </c>
      <c r="N613">
        <v>149</v>
      </c>
    </row>
    <row r="614" spans="1:14" x14ac:dyDescent="0.3">
      <c r="A614">
        <v>613</v>
      </c>
      <c r="B614" s="21">
        <v>40571</v>
      </c>
      <c r="C614" s="25" t="s">
        <v>16</v>
      </c>
      <c r="D614" s="25" t="str" cm="1">
        <f t="array" ref="D614">_xlfn.SWITCH(Sheet5!A614,1,"JANUARY",2,"FEBRUARY")</f>
        <v>JANUARY</v>
      </c>
      <c r="E614">
        <v>18</v>
      </c>
      <c r="F614" t="str" cm="1">
        <f t="array" ref="F614">_xlfn.SWITCH(Sheet5!C614,FALSE,"NO",TRUE,"YES")</f>
        <v>NO</v>
      </c>
      <c r="G614" t="str" cm="1">
        <f t="array" ref="G614">_xlfn.SWITCH(Sheet5!B614,0,"Sunday",1,"Monday",2,"Tuesday",3,"Wednesday",4,"Thursday",5,"Friday",6,"Saturday")</f>
        <v>Friday</v>
      </c>
      <c r="H614" t="str" cm="1">
        <f t="array" ref="H614">_xlfn.SWITCH(Sheet5!D614, 1, "Clear Sky", 2, "Mist", 3, "Dark Cloud",4,"Heavy Rainfall")</f>
        <v>Clear Sky</v>
      </c>
      <c r="I614" s="26">
        <f>Sheet5!E614*41</f>
        <v>9.84</v>
      </c>
      <c r="J614" s="27">
        <v>0.75</v>
      </c>
      <c r="K614">
        <v>0.19400000000000001</v>
      </c>
      <c r="L614">
        <v>2</v>
      </c>
      <c r="M614">
        <v>107</v>
      </c>
      <c r="N614">
        <v>109</v>
      </c>
    </row>
    <row r="615" spans="1:14" x14ac:dyDescent="0.3">
      <c r="A615">
        <v>614</v>
      </c>
      <c r="B615" s="21">
        <v>40571</v>
      </c>
      <c r="C615" s="25" t="s">
        <v>16</v>
      </c>
      <c r="D615" s="25" t="str" cm="1">
        <f t="array" ref="D615">_xlfn.SWITCH(Sheet5!A615,1,"JANUARY",2,"FEBRUARY")</f>
        <v>JANUARY</v>
      </c>
      <c r="E615">
        <v>19</v>
      </c>
      <c r="F615" t="str" cm="1">
        <f t="array" ref="F615">_xlfn.SWITCH(Sheet5!C615,FALSE,"NO",TRUE,"YES")</f>
        <v>NO</v>
      </c>
      <c r="G615" t="str" cm="1">
        <f t="array" ref="G615">_xlfn.SWITCH(Sheet5!B615,0,"Sunday",1,"Monday",2,"Tuesday",3,"Wednesday",4,"Thursday",5,"Friday",6,"Saturday")</f>
        <v>Friday</v>
      </c>
      <c r="H615" t="str" cm="1">
        <f t="array" ref="H615">_xlfn.SWITCH(Sheet5!D615, 1, "Clear Sky", 2, "Mist", 3, "Dark Cloud",4,"Heavy Rainfall")</f>
        <v>Mist</v>
      </c>
      <c r="I615" s="26">
        <f>Sheet5!E615*41</f>
        <v>9.84</v>
      </c>
      <c r="J615" s="27">
        <v>0.75</v>
      </c>
      <c r="K615">
        <v>0.1343</v>
      </c>
      <c r="L615">
        <v>5</v>
      </c>
      <c r="M615">
        <v>84</v>
      </c>
      <c r="N615">
        <v>89</v>
      </c>
    </row>
    <row r="616" spans="1:14" x14ac:dyDescent="0.3">
      <c r="A616">
        <v>615</v>
      </c>
      <c r="B616" s="21">
        <v>40571</v>
      </c>
      <c r="C616" s="25" t="s">
        <v>16</v>
      </c>
      <c r="D616" s="25" t="str" cm="1">
        <f t="array" ref="D616">_xlfn.SWITCH(Sheet5!A616,1,"JANUARY",2,"FEBRUARY")</f>
        <v>JANUARY</v>
      </c>
      <c r="E616">
        <v>20</v>
      </c>
      <c r="F616" t="str" cm="1">
        <f t="array" ref="F616">_xlfn.SWITCH(Sheet5!C616,FALSE,"NO",TRUE,"YES")</f>
        <v>NO</v>
      </c>
      <c r="G616" t="str" cm="1">
        <f t="array" ref="G616">_xlfn.SWITCH(Sheet5!B616,0,"Sunday",1,"Monday",2,"Tuesday",3,"Wednesday",4,"Thursday",5,"Friday",6,"Saturday")</f>
        <v>Friday</v>
      </c>
      <c r="H616" t="str" cm="1">
        <f t="array" ref="H616">_xlfn.SWITCH(Sheet5!D616, 1, "Clear Sky", 2, "Mist", 3, "Dark Cloud",4,"Heavy Rainfall")</f>
        <v>Mist</v>
      </c>
      <c r="I616" s="26">
        <f>Sheet5!E616*41</f>
        <v>9.84</v>
      </c>
      <c r="J616" s="27">
        <v>0.7</v>
      </c>
      <c r="K616">
        <v>0.19400000000000001</v>
      </c>
      <c r="L616">
        <v>1</v>
      </c>
      <c r="M616">
        <v>61</v>
      </c>
      <c r="N616">
        <v>62</v>
      </c>
    </row>
    <row r="617" spans="1:14" x14ac:dyDescent="0.3">
      <c r="A617">
        <v>616</v>
      </c>
      <c r="B617" s="21">
        <v>40571</v>
      </c>
      <c r="C617" s="25" t="s">
        <v>16</v>
      </c>
      <c r="D617" s="25" t="str" cm="1">
        <f t="array" ref="D617">_xlfn.SWITCH(Sheet5!A617,1,"JANUARY",2,"FEBRUARY")</f>
        <v>JANUARY</v>
      </c>
      <c r="E617">
        <v>21</v>
      </c>
      <c r="F617" t="str" cm="1">
        <f t="array" ref="F617">_xlfn.SWITCH(Sheet5!C617,FALSE,"NO",TRUE,"YES")</f>
        <v>NO</v>
      </c>
      <c r="G617" t="str" cm="1">
        <f t="array" ref="G617">_xlfn.SWITCH(Sheet5!B617,0,"Sunday",1,"Monday",2,"Tuesday",3,"Wednesday",4,"Thursday",5,"Friday",6,"Saturday")</f>
        <v>Friday</v>
      </c>
      <c r="H617" t="str" cm="1">
        <f t="array" ref="H617">_xlfn.SWITCH(Sheet5!D617, 1, "Clear Sky", 2, "Mist", 3, "Dark Cloud",4,"Heavy Rainfall")</f>
        <v>Mist</v>
      </c>
      <c r="I617" s="26">
        <f>Sheet5!E617*41</f>
        <v>9.02</v>
      </c>
      <c r="J617" s="27">
        <v>0.75</v>
      </c>
      <c r="K617">
        <v>0.1343</v>
      </c>
      <c r="L617">
        <v>1</v>
      </c>
      <c r="M617">
        <v>57</v>
      </c>
      <c r="N617">
        <v>58</v>
      </c>
    </row>
    <row r="618" spans="1:14" x14ac:dyDescent="0.3">
      <c r="A618">
        <v>617</v>
      </c>
      <c r="B618" s="21">
        <v>40571</v>
      </c>
      <c r="C618" s="25" t="s">
        <v>16</v>
      </c>
      <c r="D618" s="25" t="str" cm="1">
        <f t="array" ref="D618">_xlfn.SWITCH(Sheet5!A618,1,"JANUARY",2,"FEBRUARY")</f>
        <v>JANUARY</v>
      </c>
      <c r="E618">
        <v>22</v>
      </c>
      <c r="F618" t="str" cm="1">
        <f t="array" ref="F618">_xlfn.SWITCH(Sheet5!C618,FALSE,"NO",TRUE,"YES")</f>
        <v>NO</v>
      </c>
      <c r="G618" t="str" cm="1">
        <f t="array" ref="G618">_xlfn.SWITCH(Sheet5!B618,0,"Sunday",1,"Monday",2,"Tuesday",3,"Wednesday",4,"Thursday",5,"Friday",6,"Saturday")</f>
        <v>Friday</v>
      </c>
      <c r="H618" t="str" cm="1">
        <f t="array" ref="H618">_xlfn.SWITCH(Sheet5!D618, 1, "Clear Sky", 2, "Mist", 3, "Dark Cloud",4,"Heavy Rainfall")</f>
        <v>Clear Sky</v>
      </c>
      <c r="I618" s="26">
        <f>Sheet5!E618*41</f>
        <v>9.84</v>
      </c>
      <c r="J618" s="27">
        <v>0.65</v>
      </c>
      <c r="K618">
        <v>0.35820000000000002</v>
      </c>
      <c r="L618">
        <v>0</v>
      </c>
      <c r="M618">
        <v>26</v>
      </c>
      <c r="N618">
        <v>26</v>
      </c>
    </row>
    <row r="619" spans="1:14" x14ac:dyDescent="0.3">
      <c r="A619">
        <v>618</v>
      </c>
      <c r="B619" s="21">
        <v>40571</v>
      </c>
      <c r="C619" s="25" t="s">
        <v>16</v>
      </c>
      <c r="D619" s="25" t="str" cm="1">
        <f t="array" ref="D619">_xlfn.SWITCH(Sheet5!A619,1,"JANUARY",2,"FEBRUARY")</f>
        <v>JANUARY</v>
      </c>
      <c r="E619">
        <v>23</v>
      </c>
      <c r="F619" t="str" cm="1">
        <f t="array" ref="F619">_xlfn.SWITCH(Sheet5!C619,FALSE,"NO",TRUE,"YES")</f>
        <v>NO</v>
      </c>
      <c r="G619" t="str" cm="1">
        <f t="array" ref="G619">_xlfn.SWITCH(Sheet5!B619,0,"Sunday",1,"Monday",2,"Tuesday",3,"Wednesday",4,"Thursday",5,"Friday",6,"Saturday")</f>
        <v>Friday</v>
      </c>
      <c r="H619" t="str" cm="1">
        <f t="array" ref="H619">_xlfn.SWITCH(Sheet5!D619, 1, "Clear Sky", 2, "Mist", 3, "Dark Cloud",4,"Heavy Rainfall")</f>
        <v>Clear Sky</v>
      </c>
      <c r="I619" s="26">
        <f>Sheet5!E619*41</f>
        <v>9.84</v>
      </c>
      <c r="J619" s="27">
        <v>0.6</v>
      </c>
      <c r="K619">
        <v>0.22389999999999999</v>
      </c>
      <c r="L619">
        <v>1</v>
      </c>
      <c r="M619">
        <v>22</v>
      </c>
      <c r="N619">
        <v>23</v>
      </c>
    </row>
    <row r="620" spans="1:14" x14ac:dyDescent="0.3">
      <c r="A620">
        <v>619</v>
      </c>
      <c r="B620" s="21">
        <v>40572</v>
      </c>
      <c r="C620" s="25" t="s">
        <v>16</v>
      </c>
      <c r="D620" s="25" t="str" cm="1">
        <f t="array" ref="D620">_xlfn.SWITCH(Sheet5!A620,1,"JANUARY",2,"FEBRUARY")</f>
        <v>JANUARY</v>
      </c>
      <c r="E620">
        <v>0</v>
      </c>
      <c r="F620" t="str" cm="1">
        <f t="array" ref="F620">_xlfn.SWITCH(Sheet5!C620,FALSE,"NO",TRUE,"YES")</f>
        <v>NO</v>
      </c>
      <c r="G620" t="str" cm="1">
        <f t="array" ref="G620">_xlfn.SWITCH(Sheet5!B620,0,"Sunday",1,"Monday",2,"Tuesday",3,"Wednesday",4,"Thursday",5,"Friday",6,"Saturday")</f>
        <v>Saturday</v>
      </c>
      <c r="H620" t="str" cm="1">
        <f t="array" ref="H620">_xlfn.SWITCH(Sheet5!D620, 1, "Clear Sky", 2, "Mist", 3, "Dark Cloud",4,"Heavy Rainfall")</f>
        <v>Clear Sky</v>
      </c>
      <c r="I620" s="26">
        <f>Sheet5!E620*41</f>
        <v>9.02</v>
      </c>
      <c r="J620" s="27">
        <v>0.64</v>
      </c>
      <c r="K620">
        <v>0.35820000000000002</v>
      </c>
      <c r="L620">
        <v>2</v>
      </c>
      <c r="M620">
        <v>26</v>
      </c>
      <c r="N620">
        <v>28</v>
      </c>
    </row>
    <row r="621" spans="1:14" x14ac:dyDescent="0.3">
      <c r="A621">
        <v>620</v>
      </c>
      <c r="B621" s="21">
        <v>40572</v>
      </c>
      <c r="C621" s="25" t="s">
        <v>16</v>
      </c>
      <c r="D621" s="25" t="str" cm="1">
        <f t="array" ref="D621">_xlfn.SWITCH(Sheet5!A621,1,"JANUARY",2,"FEBRUARY")</f>
        <v>JANUARY</v>
      </c>
      <c r="E621">
        <v>1</v>
      </c>
      <c r="F621" t="str" cm="1">
        <f t="array" ref="F621">_xlfn.SWITCH(Sheet5!C621,FALSE,"NO",TRUE,"YES")</f>
        <v>NO</v>
      </c>
      <c r="G621" t="str" cm="1">
        <f t="array" ref="G621">_xlfn.SWITCH(Sheet5!B621,0,"Sunday",1,"Monday",2,"Tuesday",3,"Wednesday",4,"Thursday",5,"Friday",6,"Saturday")</f>
        <v>Saturday</v>
      </c>
      <c r="H621" t="str" cm="1">
        <f t="array" ref="H621">_xlfn.SWITCH(Sheet5!D621, 1, "Clear Sky", 2, "Mist", 3, "Dark Cloud",4,"Heavy Rainfall")</f>
        <v>Clear Sky</v>
      </c>
      <c r="I621" s="26">
        <f>Sheet5!E621*41</f>
        <v>9.02</v>
      </c>
      <c r="J621" s="27">
        <v>0.64</v>
      </c>
      <c r="K621">
        <v>0.19400000000000001</v>
      </c>
      <c r="L621">
        <v>0</v>
      </c>
      <c r="M621">
        <v>20</v>
      </c>
      <c r="N621">
        <v>20</v>
      </c>
    </row>
    <row r="622" spans="1:14" x14ac:dyDescent="0.3">
      <c r="A622">
        <v>621</v>
      </c>
      <c r="B622" s="21">
        <v>40572</v>
      </c>
      <c r="C622" s="25" t="s">
        <v>16</v>
      </c>
      <c r="D622" s="25" t="str" cm="1">
        <f t="array" ref="D622">_xlfn.SWITCH(Sheet5!A622,1,"JANUARY",2,"FEBRUARY")</f>
        <v>JANUARY</v>
      </c>
      <c r="E622">
        <v>2</v>
      </c>
      <c r="F622" t="str" cm="1">
        <f t="array" ref="F622">_xlfn.SWITCH(Sheet5!C622,FALSE,"NO",TRUE,"YES")</f>
        <v>NO</v>
      </c>
      <c r="G622" t="str" cm="1">
        <f t="array" ref="G622">_xlfn.SWITCH(Sheet5!B622,0,"Sunday",1,"Monday",2,"Tuesday",3,"Wednesday",4,"Thursday",5,"Friday",6,"Saturday")</f>
        <v>Saturday</v>
      </c>
      <c r="H622" t="str" cm="1">
        <f t="array" ref="H622">_xlfn.SWITCH(Sheet5!D622, 1, "Clear Sky", 2, "Mist", 3, "Dark Cloud",4,"Heavy Rainfall")</f>
        <v>Clear Sky</v>
      </c>
      <c r="I622" s="26">
        <f>Sheet5!E622*41</f>
        <v>9.02</v>
      </c>
      <c r="J622" s="27">
        <v>0.64</v>
      </c>
      <c r="K622">
        <v>0.16420000000000001</v>
      </c>
      <c r="L622">
        <v>0</v>
      </c>
      <c r="M622">
        <v>15</v>
      </c>
      <c r="N622">
        <v>15</v>
      </c>
    </row>
    <row r="623" spans="1:14" x14ac:dyDescent="0.3">
      <c r="A623">
        <v>622</v>
      </c>
      <c r="B623" s="21">
        <v>40572</v>
      </c>
      <c r="C623" s="25" t="s">
        <v>16</v>
      </c>
      <c r="D623" s="25" t="str" cm="1">
        <f t="array" ref="D623">_xlfn.SWITCH(Sheet5!A623,1,"JANUARY",2,"FEBRUARY")</f>
        <v>JANUARY</v>
      </c>
      <c r="E623">
        <v>3</v>
      </c>
      <c r="F623" t="str" cm="1">
        <f t="array" ref="F623">_xlfn.SWITCH(Sheet5!C623,FALSE,"NO",TRUE,"YES")</f>
        <v>NO</v>
      </c>
      <c r="G623" t="str" cm="1">
        <f t="array" ref="G623">_xlfn.SWITCH(Sheet5!B623,0,"Sunday",1,"Monday",2,"Tuesday",3,"Wednesday",4,"Thursday",5,"Friday",6,"Saturday")</f>
        <v>Saturday</v>
      </c>
      <c r="H623" t="str" cm="1">
        <f t="array" ref="H623">_xlfn.SWITCH(Sheet5!D623, 1, "Clear Sky", 2, "Mist", 3, "Dark Cloud",4,"Heavy Rainfall")</f>
        <v>Clear Sky</v>
      </c>
      <c r="I623" s="26">
        <f>Sheet5!E623*41</f>
        <v>8.2000000000000011</v>
      </c>
      <c r="J623" s="27">
        <v>0.64</v>
      </c>
      <c r="K623">
        <v>0.1343</v>
      </c>
      <c r="L623">
        <v>3</v>
      </c>
      <c r="M623">
        <v>5</v>
      </c>
      <c r="N623">
        <v>8</v>
      </c>
    </row>
    <row r="624" spans="1:14" x14ac:dyDescent="0.3">
      <c r="A624">
        <v>623</v>
      </c>
      <c r="B624" s="21">
        <v>40572</v>
      </c>
      <c r="C624" s="25" t="s">
        <v>16</v>
      </c>
      <c r="D624" s="25" t="str" cm="1">
        <f t="array" ref="D624">_xlfn.SWITCH(Sheet5!A624,1,"JANUARY",2,"FEBRUARY")</f>
        <v>JANUARY</v>
      </c>
      <c r="E624">
        <v>4</v>
      </c>
      <c r="F624" t="str" cm="1">
        <f t="array" ref="F624">_xlfn.SWITCH(Sheet5!C624,FALSE,"NO",TRUE,"YES")</f>
        <v>NO</v>
      </c>
      <c r="G624" t="str" cm="1">
        <f t="array" ref="G624">_xlfn.SWITCH(Sheet5!B624,0,"Sunday",1,"Monday",2,"Tuesday",3,"Wednesday",4,"Thursday",5,"Friday",6,"Saturday")</f>
        <v>Saturday</v>
      </c>
      <c r="H624" t="str" cm="1">
        <f t="array" ref="H624">_xlfn.SWITCH(Sheet5!D624, 1, "Clear Sky", 2, "Mist", 3, "Dark Cloud",4,"Heavy Rainfall")</f>
        <v>Clear Sky</v>
      </c>
      <c r="I624" s="26">
        <f>Sheet5!E624*41</f>
        <v>6.5600000000000005</v>
      </c>
      <c r="J624" s="27">
        <v>0.69</v>
      </c>
      <c r="K624">
        <v>0.1045</v>
      </c>
      <c r="L624">
        <v>1</v>
      </c>
      <c r="M624">
        <v>2</v>
      </c>
      <c r="N624">
        <v>3</v>
      </c>
    </row>
    <row r="625" spans="1:14" x14ac:dyDescent="0.3">
      <c r="A625">
        <v>624</v>
      </c>
      <c r="B625" s="21">
        <v>40572</v>
      </c>
      <c r="C625" s="25" t="s">
        <v>16</v>
      </c>
      <c r="D625" s="25" t="str" cm="1">
        <f t="array" ref="D625">_xlfn.SWITCH(Sheet5!A625,1,"JANUARY",2,"FEBRUARY")</f>
        <v>JANUARY</v>
      </c>
      <c r="E625">
        <v>6</v>
      </c>
      <c r="F625" t="str" cm="1">
        <f t="array" ref="F625">_xlfn.SWITCH(Sheet5!C625,FALSE,"NO",TRUE,"YES")</f>
        <v>NO</v>
      </c>
      <c r="G625" t="str" cm="1">
        <f t="array" ref="G625">_xlfn.SWITCH(Sheet5!B625,0,"Sunday",1,"Monday",2,"Tuesday",3,"Wednesday",4,"Thursday",5,"Friday",6,"Saturday")</f>
        <v>Saturday</v>
      </c>
      <c r="H625" t="str" cm="1">
        <f t="array" ref="H625">_xlfn.SWITCH(Sheet5!D625, 1, "Clear Sky", 2, "Mist", 3, "Dark Cloud",4,"Heavy Rainfall")</f>
        <v>Clear Sky</v>
      </c>
      <c r="I625" s="26">
        <f>Sheet5!E625*41</f>
        <v>6.5600000000000005</v>
      </c>
      <c r="J625" s="27">
        <v>0.64</v>
      </c>
      <c r="K625">
        <v>0.1343</v>
      </c>
      <c r="L625">
        <v>0</v>
      </c>
      <c r="M625">
        <v>2</v>
      </c>
      <c r="N625">
        <v>2</v>
      </c>
    </row>
    <row r="626" spans="1:14" x14ac:dyDescent="0.3">
      <c r="A626">
        <v>625</v>
      </c>
      <c r="B626" s="21">
        <v>40572</v>
      </c>
      <c r="C626" s="25" t="s">
        <v>16</v>
      </c>
      <c r="D626" s="25" t="str" cm="1">
        <f t="array" ref="D626">_xlfn.SWITCH(Sheet5!A626,1,"JANUARY",2,"FEBRUARY")</f>
        <v>JANUARY</v>
      </c>
      <c r="E626">
        <v>7</v>
      </c>
      <c r="F626" t="str" cm="1">
        <f t="array" ref="F626">_xlfn.SWITCH(Sheet5!C626,FALSE,"NO",TRUE,"YES")</f>
        <v>NO</v>
      </c>
      <c r="G626" t="str" cm="1">
        <f t="array" ref="G626">_xlfn.SWITCH(Sheet5!B626,0,"Sunday",1,"Monday",2,"Tuesday",3,"Wednesday",4,"Thursday",5,"Friday",6,"Saturday")</f>
        <v>Saturday</v>
      </c>
      <c r="H626" t="str" cm="1">
        <f t="array" ref="H626">_xlfn.SWITCH(Sheet5!D626, 1, "Clear Sky", 2, "Mist", 3, "Dark Cloud",4,"Heavy Rainfall")</f>
        <v>Clear Sky</v>
      </c>
      <c r="I626" s="26">
        <f>Sheet5!E626*41</f>
        <v>6.5600000000000005</v>
      </c>
      <c r="J626" s="27">
        <v>0.59</v>
      </c>
      <c r="K626">
        <v>0.1045</v>
      </c>
      <c r="L626">
        <v>1</v>
      </c>
      <c r="M626">
        <v>4</v>
      </c>
      <c r="N626">
        <v>5</v>
      </c>
    </row>
    <row r="627" spans="1:14" x14ac:dyDescent="0.3">
      <c r="A627">
        <v>626</v>
      </c>
      <c r="B627" s="21">
        <v>40572</v>
      </c>
      <c r="C627" s="25" t="s">
        <v>16</v>
      </c>
      <c r="D627" s="25" t="str" cm="1">
        <f t="array" ref="D627">_xlfn.SWITCH(Sheet5!A627,1,"JANUARY",2,"FEBRUARY")</f>
        <v>JANUARY</v>
      </c>
      <c r="E627">
        <v>8</v>
      </c>
      <c r="F627" t="str" cm="1">
        <f t="array" ref="F627">_xlfn.SWITCH(Sheet5!C627,FALSE,"NO",TRUE,"YES")</f>
        <v>NO</v>
      </c>
      <c r="G627" t="str" cm="1">
        <f t="array" ref="G627">_xlfn.SWITCH(Sheet5!B627,0,"Sunday",1,"Monday",2,"Tuesday",3,"Wednesday",4,"Thursday",5,"Friday",6,"Saturday")</f>
        <v>Saturday</v>
      </c>
      <c r="H627" t="str" cm="1">
        <f t="array" ref="H627">_xlfn.SWITCH(Sheet5!D627, 1, "Clear Sky", 2, "Mist", 3, "Dark Cloud",4,"Heavy Rainfall")</f>
        <v>Clear Sky</v>
      </c>
      <c r="I627" s="26">
        <f>Sheet5!E627*41</f>
        <v>7.38</v>
      </c>
      <c r="J627" s="27">
        <v>0.55000000000000004</v>
      </c>
      <c r="K627">
        <v>0.16420000000000001</v>
      </c>
      <c r="L627">
        <v>3</v>
      </c>
      <c r="M627">
        <v>31</v>
      </c>
      <c r="N627">
        <v>34</v>
      </c>
    </row>
    <row r="628" spans="1:14" x14ac:dyDescent="0.3">
      <c r="A628">
        <v>627</v>
      </c>
      <c r="B628" s="21">
        <v>40572</v>
      </c>
      <c r="C628" s="25" t="s">
        <v>16</v>
      </c>
      <c r="D628" s="25" t="str" cm="1">
        <f t="array" ref="D628">_xlfn.SWITCH(Sheet5!A628,1,"JANUARY",2,"FEBRUARY")</f>
        <v>JANUARY</v>
      </c>
      <c r="E628">
        <v>9</v>
      </c>
      <c r="F628" t="str" cm="1">
        <f t="array" ref="F628">_xlfn.SWITCH(Sheet5!C628,FALSE,"NO",TRUE,"YES")</f>
        <v>NO</v>
      </c>
      <c r="G628" t="str" cm="1">
        <f t="array" ref="G628">_xlfn.SWITCH(Sheet5!B628,0,"Sunday",1,"Monday",2,"Tuesday",3,"Wednesday",4,"Thursday",5,"Friday",6,"Saturday")</f>
        <v>Saturday</v>
      </c>
      <c r="H628" t="str" cm="1">
        <f t="array" ref="H628">_xlfn.SWITCH(Sheet5!D628, 1, "Clear Sky", 2, "Mist", 3, "Dark Cloud",4,"Heavy Rainfall")</f>
        <v>Clear Sky</v>
      </c>
      <c r="I628" s="26">
        <f>Sheet5!E628*41</f>
        <v>7.38</v>
      </c>
      <c r="J628" s="27">
        <v>0.59</v>
      </c>
      <c r="K628">
        <v>8.9599999999999999E-2</v>
      </c>
      <c r="L628">
        <v>0</v>
      </c>
      <c r="M628">
        <v>34</v>
      </c>
      <c r="N628">
        <v>34</v>
      </c>
    </row>
    <row r="629" spans="1:14" x14ac:dyDescent="0.3">
      <c r="A629">
        <v>628</v>
      </c>
      <c r="B629" s="21">
        <v>40572</v>
      </c>
      <c r="C629" s="25" t="s">
        <v>16</v>
      </c>
      <c r="D629" s="25" t="str" cm="1">
        <f t="array" ref="D629">_xlfn.SWITCH(Sheet5!A629,1,"JANUARY",2,"FEBRUARY")</f>
        <v>JANUARY</v>
      </c>
      <c r="E629">
        <v>10</v>
      </c>
      <c r="F629" t="str" cm="1">
        <f t="array" ref="F629">_xlfn.SWITCH(Sheet5!C629,FALSE,"NO",TRUE,"YES")</f>
        <v>NO</v>
      </c>
      <c r="G629" t="str" cm="1">
        <f t="array" ref="G629">_xlfn.SWITCH(Sheet5!B629,0,"Sunday",1,"Monday",2,"Tuesday",3,"Wednesday",4,"Thursday",5,"Friday",6,"Saturday")</f>
        <v>Saturday</v>
      </c>
      <c r="H629" t="str" cm="1">
        <f t="array" ref="H629">_xlfn.SWITCH(Sheet5!D629, 1, "Clear Sky", 2, "Mist", 3, "Dark Cloud",4,"Heavy Rainfall")</f>
        <v>Mist</v>
      </c>
      <c r="I629" s="26">
        <f>Sheet5!E629*41</f>
        <v>7.38</v>
      </c>
      <c r="J629" s="27">
        <v>0.64</v>
      </c>
      <c r="K629">
        <v>0.1045</v>
      </c>
      <c r="L629">
        <v>4</v>
      </c>
      <c r="M629">
        <v>51</v>
      </c>
      <c r="N629">
        <v>55</v>
      </c>
    </row>
    <row r="630" spans="1:14" x14ac:dyDescent="0.3">
      <c r="A630">
        <v>629</v>
      </c>
      <c r="B630" s="21">
        <v>40572</v>
      </c>
      <c r="C630" s="25" t="s">
        <v>16</v>
      </c>
      <c r="D630" s="25" t="str" cm="1">
        <f t="array" ref="D630">_xlfn.SWITCH(Sheet5!A630,1,"JANUARY",2,"FEBRUARY")</f>
        <v>JANUARY</v>
      </c>
      <c r="E630">
        <v>11</v>
      </c>
      <c r="F630" t="str" cm="1">
        <f t="array" ref="F630">_xlfn.SWITCH(Sheet5!C630,FALSE,"NO",TRUE,"YES")</f>
        <v>NO</v>
      </c>
      <c r="G630" t="str" cm="1">
        <f t="array" ref="G630">_xlfn.SWITCH(Sheet5!B630,0,"Sunday",1,"Monday",2,"Tuesday",3,"Wednesday",4,"Thursday",5,"Friday",6,"Saturday")</f>
        <v>Saturday</v>
      </c>
      <c r="H630" t="str" cm="1">
        <f t="array" ref="H630">_xlfn.SWITCH(Sheet5!D630, 1, "Clear Sky", 2, "Mist", 3, "Dark Cloud",4,"Heavy Rainfall")</f>
        <v>Mist</v>
      </c>
      <c r="I630" s="26">
        <f>Sheet5!E630*41</f>
        <v>7.38</v>
      </c>
      <c r="J630" s="27">
        <v>0.64</v>
      </c>
      <c r="K630">
        <v>0.1343</v>
      </c>
      <c r="L630">
        <v>4</v>
      </c>
      <c r="M630">
        <v>60</v>
      </c>
      <c r="N630">
        <v>64</v>
      </c>
    </row>
    <row r="631" spans="1:14" x14ac:dyDescent="0.3">
      <c r="A631">
        <v>630</v>
      </c>
      <c r="B631" s="21">
        <v>40572</v>
      </c>
      <c r="C631" s="25" t="s">
        <v>16</v>
      </c>
      <c r="D631" s="25" t="str" cm="1">
        <f t="array" ref="D631">_xlfn.SWITCH(Sheet5!A631,1,"JANUARY",2,"FEBRUARY")</f>
        <v>JANUARY</v>
      </c>
      <c r="E631">
        <v>12</v>
      </c>
      <c r="F631" t="str" cm="1">
        <f t="array" ref="F631">_xlfn.SWITCH(Sheet5!C631,FALSE,"NO",TRUE,"YES")</f>
        <v>NO</v>
      </c>
      <c r="G631" t="str" cm="1">
        <f t="array" ref="G631">_xlfn.SWITCH(Sheet5!B631,0,"Sunday",1,"Monday",2,"Tuesday",3,"Wednesday",4,"Thursday",5,"Friday",6,"Saturday")</f>
        <v>Saturday</v>
      </c>
      <c r="H631" t="str" cm="1">
        <f t="array" ref="H631">_xlfn.SWITCH(Sheet5!D631, 1, "Clear Sky", 2, "Mist", 3, "Dark Cloud",4,"Heavy Rainfall")</f>
        <v>Mist</v>
      </c>
      <c r="I631" s="26">
        <f>Sheet5!E631*41</f>
        <v>8.2000000000000011</v>
      </c>
      <c r="J631" s="27">
        <v>0.59</v>
      </c>
      <c r="K631">
        <v>0.19400000000000001</v>
      </c>
      <c r="L631">
        <v>12</v>
      </c>
      <c r="M631">
        <v>66</v>
      </c>
      <c r="N631">
        <v>78</v>
      </c>
    </row>
    <row r="632" spans="1:14" x14ac:dyDescent="0.3">
      <c r="A632">
        <v>631</v>
      </c>
      <c r="B632" s="21">
        <v>40572</v>
      </c>
      <c r="C632" s="25" t="s">
        <v>16</v>
      </c>
      <c r="D632" s="25" t="str" cm="1">
        <f t="array" ref="D632">_xlfn.SWITCH(Sheet5!A632,1,"JANUARY",2,"FEBRUARY")</f>
        <v>JANUARY</v>
      </c>
      <c r="E632">
        <v>13</v>
      </c>
      <c r="F632" t="str" cm="1">
        <f t="array" ref="F632">_xlfn.SWITCH(Sheet5!C632,FALSE,"NO",TRUE,"YES")</f>
        <v>NO</v>
      </c>
      <c r="G632" t="str" cm="1">
        <f t="array" ref="G632">_xlfn.SWITCH(Sheet5!B632,0,"Sunday",1,"Monday",2,"Tuesday",3,"Wednesday",4,"Thursday",5,"Friday",6,"Saturday")</f>
        <v>Saturday</v>
      </c>
      <c r="H632" t="str" cm="1">
        <f t="array" ref="H632">_xlfn.SWITCH(Sheet5!D632, 1, "Clear Sky", 2, "Mist", 3, "Dark Cloud",4,"Heavy Rainfall")</f>
        <v>Mist</v>
      </c>
      <c r="I632" s="26">
        <f>Sheet5!E632*41</f>
        <v>9.02</v>
      </c>
      <c r="J632" s="27">
        <v>0.55000000000000004</v>
      </c>
      <c r="K632">
        <v>0.16420000000000001</v>
      </c>
      <c r="L632">
        <v>9</v>
      </c>
      <c r="M632">
        <v>56</v>
      </c>
      <c r="N632">
        <v>65</v>
      </c>
    </row>
    <row r="633" spans="1:14" x14ac:dyDescent="0.3">
      <c r="A633">
        <v>632</v>
      </c>
      <c r="B633" s="21">
        <v>40572</v>
      </c>
      <c r="C633" s="25" t="s">
        <v>16</v>
      </c>
      <c r="D633" s="25" t="str" cm="1">
        <f t="array" ref="D633">_xlfn.SWITCH(Sheet5!A633,1,"JANUARY",2,"FEBRUARY")</f>
        <v>JANUARY</v>
      </c>
      <c r="E633">
        <v>14</v>
      </c>
      <c r="F633" t="str" cm="1">
        <f t="array" ref="F633">_xlfn.SWITCH(Sheet5!C633,FALSE,"NO",TRUE,"YES")</f>
        <v>NO</v>
      </c>
      <c r="G633" t="str" cm="1">
        <f t="array" ref="G633">_xlfn.SWITCH(Sheet5!B633,0,"Sunday",1,"Monday",2,"Tuesday",3,"Wednesday",4,"Thursday",5,"Friday",6,"Saturday")</f>
        <v>Saturday</v>
      </c>
      <c r="H633" t="str" cm="1">
        <f t="array" ref="H633">_xlfn.SWITCH(Sheet5!D633, 1, "Clear Sky", 2, "Mist", 3, "Dark Cloud",4,"Heavy Rainfall")</f>
        <v>Mist</v>
      </c>
      <c r="I633" s="26">
        <f>Sheet5!E633*41</f>
        <v>9.02</v>
      </c>
      <c r="J633" s="27">
        <v>0.6</v>
      </c>
      <c r="K633">
        <v>0.1343</v>
      </c>
      <c r="L633">
        <v>10</v>
      </c>
      <c r="M633">
        <v>89</v>
      </c>
      <c r="N633">
        <v>99</v>
      </c>
    </row>
    <row r="634" spans="1:14" x14ac:dyDescent="0.3">
      <c r="A634">
        <v>633</v>
      </c>
      <c r="B634" s="21">
        <v>40572</v>
      </c>
      <c r="C634" s="25" t="s">
        <v>16</v>
      </c>
      <c r="D634" s="25" t="str" cm="1">
        <f t="array" ref="D634">_xlfn.SWITCH(Sheet5!A634,1,"JANUARY",2,"FEBRUARY")</f>
        <v>JANUARY</v>
      </c>
      <c r="E634">
        <v>15</v>
      </c>
      <c r="F634" t="str" cm="1">
        <f t="array" ref="F634">_xlfn.SWITCH(Sheet5!C634,FALSE,"NO",TRUE,"YES")</f>
        <v>NO</v>
      </c>
      <c r="G634" t="str" cm="1">
        <f t="array" ref="G634">_xlfn.SWITCH(Sheet5!B634,0,"Sunday",1,"Monday",2,"Tuesday",3,"Wednesday",4,"Thursday",5,"Friday",6,"Saturday")</f>
        <v>Saturday</v>
      </c>
      <c r="H634" t="str" cm="1">
        <f t="array" ref="H634">_xlfn.SWITCH(Sheet5!D634, 1, "Clear Sky", 2, "Mist", 3, "Dark Cloud",4,"Heavy Rainfall")</f>
        <v>Clear Sky</v>
      </c>
      <c r="I634" s="26">
        <f>Sheet5!E634*41</f>
        <v>9.02</v>
      </c>
      <c r="J634" s="27">
        <v>0.69</v>
      </c>
      <c r="K634">
        <v>0.25369999999999998</v>
      </c>
      <c r="L634">
        <v>22</v>
      </c>
      <c r="M634">
        <v>98</v>
      </c>
      <c r="N634">
        <v>120</v>
      </c>
    </row>
    <row r="635" spans="1:14" x14ac:dyDescent="0.3">
      <c r="A635">
        <v>634</v>
      </c>
      <c r="B635" s="21">
        <v>40572</v>
      </c>
      <c r="C635" s="25" t="s">
        <v>16</v>
      </c>
      <c r="D635" s="25" t="str" cm="1">
        <f t="array" ref="D635">_xlfn.SWITCH(Sheet5!A635,1,"JANUARY",2,"FEBRUARY")</f>
        <v>JANUARY</v>
      </c>
      <c r="E635">
        <v>16</v>
      </c>
      <c r="F635" t="str" cm="1">
        <f t="array" ref="F635">_xlfn.SWITCH(Sheet5!C635,FALSE,"NO",TRUE,"YES")</f>
        <v>NO</v>
      </c>
      <c r="G635" t="str" cm="1">
        <f t="array" ref="G635">_xlfn.SWITCH(Sheet5!B635,0,"Sunday",1,"Monday",2,"Tuesday",3,"Wednesday",4,"Thursday",5,"Friday",6,"Saturday")</f>
        <v>Saturday</v>
      </c>
      <c r="H635" t="str" cm="1">
        <f t="array" ref="H635">_xlfn.SWITCH(Sheet5!D635, 1, "Clear Sky", 2, "Mist", 3, "Dark Cloud",4,"Heavy Rainfall")</f>
        <v>Clear Sky</v>
      </c>
      <c r="I635" s="26">
        <f>Sheet5!E635*41</f>
        <v>9.84</v>
      </c>
      <c r="J635" s="27">
        <v>0.6</v>
      </c>
      <c r="K635">
        <v>0.16420000000000001</v>
      </c>
      <c r="L635">
        <v>19</v>
      </c>
      <c r="M635">
        <v>88</v>
      </c>
      <c r="N635">
        <v>107</v>
      </c>
    </row>
    <row r="636" spans="1:14" x14ac:dyDescent="0.3">
      <c r="A636">
        <v>635</v>
      </c>
      <c r="B636" s="21">
        <v>40572</v>
      </c>
      <c r="C636" s="25" t="s">
        <v>16</v>
      </c>
      <c r="D636" s="25" t="str" cm="1">
        <f t="array" ref="D636">_xlfn.SWITCH(Sheet5!A636,1,"JANUARY",2,"FEBRUARY")</f>
        <v>JANUARY</v>
      </c>
      <c r="E636">
        <v>17</v>
      </c>
      <c r="F636" t="str" cm="1">
        <f t="array" ref="F636">_xlfn.SWITCH(Sheet5!C636,FALSE,"NO",TRUE,"YES")</f>
        <v>NO</v>
      </c>
      <c r="G636" t="str" cm="1">
        <f t="array" ref="G636">_xlfn.SWITCH(Sheet5!B636,0,"Sunday",1,"Monday",2,"Tuesday",3,"Wednesday",4,"Thursday",5,"Friday",6,"Saturday")</f>
        <v>Saturday</v>
      </c>
      <c r="H636" t="str" cm="1">
        <f t="array" ref="H636">_xlfn.SWITCH(Sheet5!D636, 1, "Clear Sky", 2, "Mist", 3, "Dark Cloud",4,"Heavy Rainfall")</f>
        <v>Clear Sky</v>
      </c>
      <c r="I636" s="26">
        <f>Sheet5!E636*41</f>
        <v>9.84</v>
      </c>
      <c r="J636" s="27">
        <v>0.6</v>
      </c>
      <c r="K636">
        <v>0</v>
      </c>
      <c r="L636">
        <v>9</v>
      </c>
      <c r="M636">
        <v>82</v>
      </c>
      <c r="N636">
        <v>91</v>
      </c>
    </row>
    <row r="637" spans="1:14" x14ac:dyDescent="0.3">
      <c r="A637">
        <v>636</v>
      </c>
      <c r="B637" s="21">
        <v>40572</v>
      </c>
      <c r="C637" s="25" t="s">
        <v>16</v>
      </c>
      <c r="D637" s="25" t="str" cm="1">
        <f t="array" ref="D637">_xlfn.SWITCH(Sheet5!A637,1,"JANUARY",2,"FEBRUARY")</f>
        <v>JANUARY</v>
      </c>
      <c r="E637">
        <v>18</v>
      </c>
      <c r="F637" t="str" cm="1">
        <f t="array" ref="F637">_xlfn.SWITCH(Sheet5!C637,FALSE,"NO",TRUE,"YES")</f>
        <v>NO</v>
      </c>
      <c r="G637" t="str" cm="1">
        <f t="array" ref="G637">_xlfn.SWITCH(Sheet5!B637,0,"Sunday",1,"Monday",2,"Tuesday",3,"Wednesday",4,"Thursday",5,"Friday",6,"Saturday")</f>
        <v>Saturday</v>
      </c>
      <c r="H637" t="str" cm="1">
        <f t="array" ref="H637">_xlfn.SWITCH(Sheet5!D637, 1, "Clear Sky", 2, "Mist", 3, "Dark Cloud",4,"Heavy Rainfall")</f>
        <v>Clear Sky</v>
      </c>
      <c r="I637" s="26">
        <f>Sheet5!E637*41</f>
        <v>9.02</v>
      </c>
      <c r="J637" s="27">
        <v>0.69</v>
      </c>
      <c r="K637">
        <v>0.1343</v>
      </c>
      <c r="L637">
        <v>9</v>
      </c>
      <c r="M637">
        <v>59</v>
      </c>
      <c r="N637">
        <v>68</v>
      </c>
    </row>
    <row r="638" spans="1:14" x14ac:dyDescent="0.3">
      <c r="A638">
        <v>637</v>
      </c>
      <c r="B638" s="21">
        <v>40572</v>
      </c>
      <c r="C638" s="25" t="s">
        <v>16</v>
      </c>
      <c r="D638" s="25" t="str" cm="1">
        <f t="array" ref="D638">_xlfn.SWITCH(Sheet5!A638,1,"JANUARY",2,"FEBRUARY")</f>
        <v>JANUARY</v>
      </c>
      <c r="E638">
        <v>19</v>
      </c>
      <c r="F638" t="str" cm="1">
        <f t="array" ref="F638">_xlfn.SWITCH(Sheet5!C638,FALSE,"NO",TRUE,"YES")</f>
        <v>NO</v>
      </c>
      <c r="G638" t="str" cm="1">
        <f t="array" ref="G638">_xlfn.SWITCH(Sheet5!B638,0,"Sunday",1,"Monday",2,"Tuesday",3,"Wednesday",4,"Thursday",5,"Friday",6,"Saturday")</f>
        <v>Saturday</v>
      </c>
      <c r="H638" t="str" cm="1">
        <f t="array" ref="H638">_xlfn.SWITCH(Sheet5!D638, 1, "Clear Sky", 2, "Mist", 3, "Dark Cloud",4,"Heavy Rainfall")</f>
        <v>Mist</v>
      </c>
      <c r="I638" s="26">
        <f>Sheet5!E638*41</f>
        <v>9.02</v>
      </c>
      <c r="J638" s="27">
        <v>0.69</v>
      </c>
      <c r="K638">
        <v>0.25369999999999998</v>
      </c>
      <c r="L638">
        <v>6</v>
      </c>
      <c r="M638">
        <v>52</v>
      </c>
      <c r="N638">
        <v>58</v>
      </c>
    </row>
    <row r="639" spans="1:14" x14ac:dyDescent="0.3">
      <c r="A639">
        <v>638</v>
      </c>
      <c r="B639" s="21">
        <v>40572</v>
      </c>
      <c r="C639" s="25" t="s">
        <v>16</v>
      </c>
      <c r="D639" s="25" t="str" cm="1">
        <f t="array" ref="D639">_xlfn.SWITCH(Sheet5!A639,1,"JANUARY",2,"FEBRUARY")</f>
        <v>JANUARY</v>
      </c>
      <c r="E639">
        <v>20</v>
      </c>
      <c r="F639" t="str" cm="1">
        <f t="array" ref="F639">_xlfn.SWITCH(Sheet5!C639,FALSE,"NO",TRUE,"YES")</f>
        <v>NO</v>
      </c>
      <c r="G639" t="str" cm="1">
        <f t="array" ref="G639">_xlfn.SWITCH(Sheet5!B639,0,"Sunday",1,"Monday",2,"Tuesday",3,"Wednesday",4,"Thursday",5,"Friday",6,"Saturday")</f>
        <v>Saturday</v>
      </c>
      <c r="H639" t="str" cm="1">
        <f t="array" ref="H639">_xlfn.SWITCH(Sheet5!D639, 1, "Clear Sky", 2, "Mist", 3, "Dark Cloud",4,"Heavy Rainfall")</f>
        <v>Clear Sky</v>
      </c>
      <c r="I639" s="26">
        <f>Sheet5!E639*41</f>
        <v>7.38</v>
      </c>
      <c r="J639" s="27">
        <v>0.74</v>
      </c>
      <c r="K639">
        <v>8.9599999999999999E-2</v>
      </c>
      <c r="L639">
        <v>1</v>
      </c>
      <c r="M639">
        <v>42</v>
      </c>
      <c r="N639">
        <v>43</v>
      </c>
    </row>
    <row r="640" spans="1:14" x14ac:dyDescent="0.3">
      <c r="A640">
        <v>639</v>
      </c>
      <c r="B640" s="21">
        <v>40572</v>
      </c>
      <c r="C640" s="25" t="s">
        <v>16</v>
      </c>
      <c r="D640" s="25" t="str" cm="1">
        <f t="array" ref="D640">_xlfn.SWITCH(Sheet5!A640,1,"JANUARY",2,"FEBRUARY")</f>
        <v>JANUARY</v>
      </c>
      <c r="E640">
        <v>21</v>
      </c>
      <c r="F640" t="str" cm="1">
        <f t="array" ref="F640">_xlfn.SWITCH(Sheet5!C640,FALSE,"NO",TRUE,"YES")</f>
        <v>NO</v>
      </c>
      <c r="G640" t="str" cm="1">
        <f t="array" ref="G640">_xlfn.SWITCH(Sheet5!B640,0,"Sunday",1,"Monday",2,"Tuesday",3,"Wednesday",4,"Thursday",5,"Friday",6,"Saturday")</f>
        <v>Saturday</v>
      </c>
      <c r="H640" t="str" cm="1">
        <f t="array" ref="H640">_xlfn.SWITCH(Sheet5!D640, 1, "Clear Sky", 2, "Mist", 3, "Dark Cloud",4,"Heavy Rainfall")</f>
        <v>Clear Sky</v>
      </c>
      <c r="I640" s="26">
        <f>Sheet5!E640*41</f>
        <v>7.38</v>
      </c>
      <c r="J640" s="27">
        <v>0.74</v>
      </c>
      <c r="K640">
        <v>8.9599999999999999E-2</v>
      </c>
      <c r="L640">
        <v>1</v>
      </c>
      <c r="M640">
        <v>35</v>
      </c>
      <c r="N640">
        <v>36</v>
      </c>
    </row>
    <row r="641" spans="1:14" x14ac:dyDescent="0.3">
      <c r="A641">
        <v>640</v>
      </c>
      <c r="B641" s="21">
        <v>40572</v>
      </c>
      <c r="C641" s="25" t="s">
        <v>16</v>
      </c>
      <c r="D641" s="25" t="str" cm="1">
        <f t="array" ref="D641">_xlfn.SWITCH(Sheet5!A641,1,"JANUARY",2,"FEBRUARY")</f>
        <v>JANUARY</v>
      </c>
      <c r="E641">
        <v>22</v>
      </c>
      <c r="F641" t="str" cm="1">
        <f t="array" ref="F641">_xlfn.SWITCH(Sheet5!C641,FALSE,"NO",TRUE,"YES")</f>
        <v>NO</v>
      </c>
      <c r="G641" t="str" cm="1">
        <f t="array" ref="G641">_xlfn.SWITCH(Sheet5!B641,0,"Sunday",1,"Monday",2,"Tuesday",3,"Wednesday",4,"Thursday",5,"Friday",6,"Saturday")</f>
        <v>Saturday</v>
      </c>
      <c r="H641" t="str" cm="1">
        <f t="array" ref="H641">_xlfn.SWITCH(Sheet5!D641, 1, "Clear Sky", 2, "Mist", 3, "Dark Cloud",4,"Heavy Rainfall")</f>
        <v>Clear Sky</v>
      </c>
      <c r="I641" s="26">
        <f>Sheet5!E641*41</f>
        <v>6.5600000000000005</v>
      </c>
      <c r="J641" s="27">
        <v>0.8</v>
      </c>
      <c r="K641">
        <v>8.9599999999999999E-2</v>
      </c>
      <c r="L641">
        <v>4</v>
      </c>
      <c r="M641">
        <v>28</v>
      </c>
      <c r="N641">
        <v>32</v>
      </c>
    </row>
    <row r="642" spans="1:14" x14ac:dyDescent="0.3">
      <c r="A642">
        <v>641</v>
      </c>
      <c r="B642" s="21">
        <v>40572</v>
      </c>
      <c r="C642" s="25" t="s">
        <v>16</v>
      </c>
      <c r="D642" s="25" t="str" cm="1">
        <f t="array" ref="D642">_xlfn.SWITCH(Sheet5!A642,1,"JANUARY",2,"FEBRUARY")</f>
        <v>JANUARY</v>
      </c>
      <c r="E642">
        <v>23</v>
      </c>
      <c r="F642" t="str" cm="1">
        <f t="array" ref="F642">_xlfn.SWITCH(Sheet5!C642,FALSE,"NO",TRUE,"YES")</f>
        <v>NO</v>
      </c>
      <c r="G642" t="str" cm="1">
        <f t="array" ref="G642">_xlfn.SWITCH(Sheet5!B642,0,"Sunday",1,"Monday",2,"Tuesday",3,"Wednesday",4,"Thursday",5,"Friday",6,"Saturday")</f>
        <v>Saturday</v>
      </c>
      <c r="H642" t="str" cm="1">
        <f t="array" ref="H642">_xlfn.SWITCH(Sheet5!D642, 1, "Clear Sky", 2, "Mist", 3, "Dark Cloud",4,"Heavy Rainfall")</f>
        <v>Clear Sky</v>
      </c>
      <c r="I642" s="26">
        <f>Sheet5!E642*41</f>
        <v>6.5600000000000005</v>
      </c>
      <c r="J642" s="27">
        <v>0.8</v>
      </c>
      <c r="K642">
        <v>8.9599999999999999E-2</v>
      </c>
      <c r="L642">
        <v>3</v>
      </c>
      <c r="M642">
        <v>30</v>
      </c>
      <c r="N642">
        <v>33</v>
      </c>
    </row>
    <row r="643" spans="1:14" x14ac:dyDescent="0.3">
      <c r="A643">
        <v>642</v>
      </c>
      <c r="B643" s="21">
        <v>40573</v>
      </c>
      <c r="C643" s="25" t="s">
        <v>16</v>
      </c>
      <c r="D643" s="25" t="str" cm="1">
        <f t="array" ref="D643">_xlfn.SWITCH(Sheet5!A643,1,"JANUARY",2,"FEBRUARY")</f>
        <v>JANUARY</v>
      </c>
      <c r="E643">
        <v>0</v>
      </c>
      <c r="F643" t="str" cm="1">
        <f t="array" ref="F643">_xlfn.SWITCH(Sheet5!C643,FALSE,"NO",TRUE,"YES")</f>
        <v>NO</v>
      </c>
      <c r="G643" t="str" cm="1">
        <f t="array" ref="G643">_xlfn.SWITCH(Sheet5!B643,0,"Sunday",1,"Monday",2,"Tuesday",3,"Wednesday",4,"Thursday",5,"Friday",6,"Saturday")</f>
        <v>Sunday</v>
      </c>
      <c r="H643" t="str" cm="1">
        <f t="array" ref="H643">_xlfn.SWITCH(Sheet5!D643, 1, "Clear Sky", 2, "Mist", 3, "Dark Cloud",4,"Heavy Rainfall")</f>
        <v>Clear Sky</v>
      </c>
      <c r="I643" s="26">
        <f>Sheet5!E643*41</f>
        <v>6.5600000000000005</v>
      </c>
      <c r="J643" s="27">
        <v>0.8</v>
      </c>
      <c r="K643">
        <v>0.1045</v>
      </c>
      <c r="L643">
        <v>0</v>
      </c>
      <c r="M643">
        <v>33</v>
      </c>
      <c r="N643">
        <v>33</v>
      </c>
    </row>
    <row r="644" spans="1:14" x14ac:dyDescent="0.3">
      <c r="A644">
        <v>643</v>
      </c>
      <c r="B644" s="21">
        <v>40573</v>
      </c>
      <c r="C644" s="25" t="s">
        <v>16</v>
      </c>
      <c r="D644" s="25" t="str" cm="1">
        <f t="array" ref="D644">_xlfn.SWITCH(Sheet5!A644,1,"JANUARY",2,"FEBRUARY")</f>
        <v>JANUARY</v>
      </c>
      <c r="E644">
        <v>1</v>
      </c>
      <c r="F644" t="str" cm="1">
        <f t="array" ref="F644">_xlfn.SWITCH(Sheet5!C644,FALSE,"NO",TRUE,"YES")</f>
        <v>NO</v>
      </c>
      <c r="G644" t="str" cm="1">
        <f t="array" ref="G644">_xlfn.SWITCH(Sheet5!B644,0,"Sunday",1,"Monday",2,"Tuesday",3,"Wednesday",4,"Thursday",5,"Friday",6,"Saturday")</f>
        <v>Sunday</v>
      </c>
      <c r="H644" t="str" cm="1">
        <f t="array" ref="H644">_xlfn.SWITCH(Sheet5!D644, 1, "Clear Sky", 2, "Mist", 3, "Dark Cloud",4,"Heavy Rainfall")</f>
        <v>Clear Sky</v>
      </c>
      <c r="I644" s="26">
        <f>Sheet5!E644*41</f>
        <v>5.74</v>
      </c>
      <c r="J644" s="27">
        <v>0.8</v>
      </c>
      <c r="K644">
        <v>0</v>
      </c>
      <c r="L644">
        <v>7</v>
      </c>
      <c r="M644">
        <v>22</v>
      </c>
      <c r="N644">
        <v>29</v>
      </c>
    </row>
    <row r="645" spans="1:14" x14ac:dyDescent="0.3">
      <c r="A645">
        <v>644</v>
      </c>
      <c r="B645" s="21">
        <v>40573</v>
      </c>
      <c r="C645" s="25" t="s">
        <v>16</v>
      </c>
      <c r="D645" s="25" t="str" cm="1">
        <f t="array" ref="D645">_xlfn.SWITCH(Sheet5!A645,1,"JANUARY",2,"FEBRUARY")</f>
        <v>JANUARY</v>
      </c>
      <c r="E645">
        <v>2</v>
      </c>
      <c r="F645" t="str" cm="1">
        <f t="array" ref="F645">_xlfn.SWITCH(Sheet5!C645,FALSE,"NO",TRUE,"YES")</f>
        <v>NO</v>
      </c>
      <c r="G645" t="str" cm="1">
        <f t="array" ref="G645">_xlfn.SWITCH(Sheet5!B645,0,"Sunday",1,"Monday",2,"Tuesday",3,"Wednesday",4,"Thursday",5,"Friday",6,"Saturday")</f>
        <v>Sunday</v>
      </c>
      <c r="H645" t="str" cm="1">
        <f t="array" ref="H645">_xlfn.SWITCH(Sheet5!D645, 1, "Clear Sky", 2, "Mist", 3, "Dark Cloud",4,"Heavy Rainfall")</f>
        <v>Clear Sky</v>
      </c>
      <c r="I645" s="26">
        <f>Sheet5!E645*41</f>
        <v>6.5600000000000005</v>
      </c>
      <c r="J645" s="27">
        <v>0.8</v>
      </c>
      <c r="K645">
        <v>0</v>
      </c>
      <c r="L645">
        <v>1</v>
      </c>
      <c r="M645">
        <v>10</v>
      </c>
      <c r="N645">
        <v>11</v>
      </c>
    </row>
    <row r="646" spans="1:14" x14ac:dyDescent="0.3">
      <c r="A646">
        <v>645</v>
      </c>
      <c r="B646" s="21">
        <v>40573</v>
      </c>
      <c r="C646" s="25" t="s">
        <v>16</v>
      </c>
      <c r="D646" s="25" t="str" cm="1">
        <f t="array" ref="D646">_xlfn.SWITCH(Sheet5!A646,1,"JANUARY",2,"FEBRUARY")</f>
        <v>JANUARY</v>
      </c>
      <c r="E646">
        <v>3</v>
      </c>
      <c r="F646" t="str" cm="1">
        <f t="array" ref="F646">_xlfn.SWITCH(Sheet5!C646,FALSE,"NO",TRUE,"YES")</f>
        <v>NO</v>
      </c>
      <c r="G646" t="str" cm="1">
        <f t="array" ref="G646">_xlfn.SWITCH(Sheet5!B646,0,"Sunday",1,"Monday",2,"Tuesday",3,"Wednesday",4,"Thursday",5,"Friday",6,"Saturday")</f>
        <v>Sunday</v>
      </c>
      <c r="H646" t="str" cm="1">
        <f t="array" ref="H646">_xlfn.SWITCH(Sheet5!D646, 1, "Clear Sky", 2, "Mist", 3, "Dark Cloud",4,"Heavy Rainfall")</f>
        <v>Clear Sky</v>
      </c>
      <c r="I646" s="26">
        <f>Sheet5!E646*41</f>
        <v>5.74</v>
      </c>
      <c r="J646" s="27">
        <v>0.93</v>
      </c>
      <c r="K646">
        <v>0</v>
      </c>
      <c r="L646">
        <v>1</v>
      </c>
      <c r="M646">
        <v>7</v>
      </c>
      <c r="N646">
        <v>8</v>
      </c>
    </row>
    <row r="647" spans="1:14" x14ac:dyDescent="0.3">
      <c r="A647">
        <v>646</v>
      </c>
      <c r="B647" s="21">
        <v>40573</v>
      </c>
      <c r="C647" s="25" t="s">
        <v>16</v>
      </c>
      <c r="D647" s="25" t="str" cm="1">
        <f t="array" ref="D647">_xlfn.SWITCH(Sheet5!A647,1,"JANUARY",2,"FEBRUARY")</f>
        <v>JANUARY</v>
      </c>
      <c r="E647">
        <v>4</v>
      </c>
      <c r="F647" t="str" cm="1">
        <f t="array" ref="F647">_xlfn.SWITCH(Sheet5!C647,FALSE,"NO",TRUE,"YES")</f>
        <v>NO</v>
      </c>
      <c r="G647" t="str" cm="1">
        <f t="array" ref="G647">_xlfn.SWITCH(Sheet5!B647,0,"Sunday",1,"Monday",2,"Tuesday",3,"Wednesday",4,"Thursday",5,"Friday",6,"Saturday")</f>
        <v>Sunday</v>
      </c>
      <c r="H647" t="str" cm="1">
        <f t="array" ref="H647">_xlfn.SWITCH(Sheet5!D647, 1, "Clear Sky", 2, "Mist", 3, "Dark Cloud",4,"Heavy Rainfall")</f>
        <v>Clear Sky</v>
      </c>
      <c r="I647" s="26">
        <f>Sheet5!E647*41</f>
        <v>5.74</v>
      </c>
      <c r="J647" s="27">
        <v>0.93</v>
      </c>
      <c r="K647">
        <v>0</v>
      </c>
      <c r="L647">
        <v>0</v>
      </c>
      <c r="M647">
        <v>1</v>
      </c>
      <c r="N647">
        <v>1</v>
      </c>
    </row>
    <row r="648" spans="1:14" x14ac:dyDescent="0.3">
      <c r="A648">
        <v>647</v>
      </c>
      <c r="B648" s="21">
        <v>40573</v>
      </c>
      <c r="C648" s="25" t="s">
        <v>16</v>
      </c>
      <c r="D648" s="25" t="str" cm="1">
        <f t="array" ref="D648">_xlfn.SWITCH(Sheet5!A648,1,"JANUARY",2,"FEBRUARY")</f>
        <v>JANUARY</v>
      </c>
      <c r="E648">
        <v>5</v>
      </c>
      <c r="F648" t="str" cm="1">
        <f t="array" ref="F648">_xlfn.SWITCH(Sheet5!C648,FALSE,"NO",TRUE,"YES")</f>
        <v>NO</v>
      </c>
      <c r="G648" t="str" cm="1">
        <f t="array" ref="G648">_xlfn.SWITCH(Sheet5!B648,0,"Sunday",1,"Monday",2,"Tuesday",3,"Wednesday",4,"Thursday",5,"Friday",6,"Saturday")</f>
        <v>Sunday</v>
      </c>
      <c r="H648" t="str" cm="1">
        <f t="array" ref="H648">_xlfn.SWITCH(Sheet5!D648, 1, "Clear Sky", 2, "Mist", 3, "Dark Cloud",4,"Heavy Rainfall")</f>
        <v>Clear Sky</v>
      </c>
      <c r="I648" s="26">
        <f>Sheet5!E648*41</f>
        <v>5.74</v>
      </c>
      <c r="J648" s="27">
        <v>0.86</v>
      </c>
      <c r="K648">
        <v>0</v>
      </c>
      <c r="L648">
        <v>0</v>
      </c>
      <c r="M648">
        <v>3</v>
      </c>
      <c r="N648">
        <v>3</v>
      </c>
    </row>
    <row r="649" spans="1:14" x14ac:dyDescent="0.3">
      <c r="A649">
        <v>648</v>
      </c>
      <c r="B649" s="21">
        <v>40573</v>
      </c>
      <c r="C649" s="25" t="s">
        <v>16</v>
      </c>
      <c r="D649" s="25" t="str" cm="1">
        <f t="array" ref="D649">_xlfn.SWITCH(Sheet5!A649,1,"JANUARY",2,"FEBRUARY")</f>
        <v>JANUARY</v>
      </c>
      <c r="E649">
        <v>7</v>
      </c>
      <c r="F649" t="str" cm="1">
        <f t="array" ref="F649">_xlfn.SWITCH(Sheet5!C649,FALSE,"NO",TRUE,"YES")</f>
        <v>NO</v>
      </c>
      <c r="G649" t="str" cm="1">
        <f t="array" ref="G649">_xlfn.SWITCH(Sheet5!B649,0,"Sunday",1,"Monday",2,"Tuesday",3,"Wednesday",4,"Thursday",5,"Friday",6,"Saturday")</f>
        <v>Sunday</v>
      </c>
      <c r="H649" t="str" cm="1">
        <f t="array" ref="H649">_xlfn.SWITCH(Sheet5!D649, 1, "Clear Sky", 2, "Mist", 3, "Dark Cloud",4,"Heavy Rainfall")</f>
        <v>Clear Sky</v>
      </c>
      <c r="I649" s="26">
        <f>Sheet5!E649*41</f>
        <v>5.74</v>
      </c>
      <c r="J649" s="27">
        <v>0.86</v>
      </c>
      <c r="K649">
        <v>0</v>
      </c>
      <c r="L649">
        <v>0</v>
      </c>
      <c r="M649">
        <v>3</v>
      </c>
      <c r="N649">
        <v>3</v>
      </c>
    </row>
    <row r="650" spans="1:14" x14ac:dyDescent="0.3">
      <c r="A650">
        <v>649</v>
      </c>
      <c r="B650" s="21">
        <v>40573</v>
      </c>
      <c r="C650" s="25" t="s">
        <v>16</v>
      </c>
      <c r="D650" s="25" t="str" cm="1">
        <f t="array" ref="D650">_xlfn.SWITCH(Sheet5!A650,1,"JANUARY",2,"FEBRUARY")</f>
        <v>JANUARY</v>
      </c>
      <c r="E650">
        <v>8</v>
      </c>
      <c r="F650" t="str" cm="1">
        <f t="array" ref="F650">_xlfn.SWITCH(Sheet5!C650,FALSE,"NO",TRUE,"YES")</f>
        <v>NO</v>
      </c>
      <c r="G650" t="str" cm="1">
        <f t="array" ref="G650">_xlfn.SWITCH(Sheet5!B650,0,"Sunday",1,"Monday",2,"Tuesday",3,"Wednesday",4,"Thursday",5,"Friday",6,"Saturday")</f>
        <v>Sunday</v>
      </c>
      <c r="H650" t="str" cm="1">
        <f t="array" ref="H650">_xlfn.SWITCH(Sheet5!D650, 1, "Clear Sky", 2, "Mist", 3, "Dark Cloud",4,"Heavy Rainfall")</f>
        <v>Mist</v>
      </c>
      <c r="I650" s="26">
        <f>Sheet5!E650*41</f>
        <v>5.74</v>
      </c>
      <c r="J650" s="27">
        <v>0.86</v>
      </c>
      <c r="K650">
        <v>0</v>
      </c>
      <c r="L650">
        <v>1</v>
      </c>
      <c r="M650">
        <v>11</v>
      </c>
      <c r="N650">
        <v>12</v>
      </c>
    </row>
    <row r="651" spans="1:14" x14ac:dyDescent="0.3">
      <c r="A651">
        <v>650</v>
      </c>
      <c r="B651" s="21">
        <v>40573</v>
      </c>
      <c r="C651" s="25" t="s">
        <v>16</v>
      </c>
      <c r="D651" s="25" t="str" cm="1">
        <f t="array" ref="D651">_xlfn.SWITCH(Sheet5!A651,1,"JANUARY",2,"FEBRUARY")</f>
        <v>JANUARY</v>
      </c>
      <c r="E651">
        <v>9</v>
      </c>
      <c r="F651" t="str" cm="1">
        <f t="array" ref="F651">_xlfn.SWITCH(Sheet5!C651,FALSE,"NO",TRUE,"YES")</f>
        <v>NO</v>
      </c>
      <c r="G651" t="str" cm="1">
        <f t="array" ref="G651">_xlfn.SWITCH(Sheet5!B651,0,"Sunday",1,"Monday",2,"Tuesday",3,"Wednesday",4,"Thursday",5,"Friday",6,"Saturday")</f>
        <v>Sunday</v>
      </c>
      <c r="H651" t="str" cm="1">
        <f t="array" ref="H651">_xlfn.SWITCH(Sheet5!D651, 1, "Clear Sky", 2, "Mist", 3, "Dark Cloud",4,"Heavy Rainfall")</f>
        <v>Mist</v>
      </c>
      <c r="I651" s="26">
        <f>Sheet5!E651*41</f>
        <v>6.5600000000000005</v>
      </c>
      <c r="J651" s="27">
        <v>0.8</v>
      </c>
      <c r="K651">
        <v>0</v>
      </c>
      <c r="L651">
        <v>4</v>
      </c>
      <c r="M651">
        <v>34</v>
      </c>
      <c r="N651">
        <v>38</v>
      </c>
    </row>
    <row r="652" spans="1:14" x14ac:dyDescent="0.3">
      <c r="A652">
        <v>651</v>
      </c>
      <c r="B652" s="21">
        <v>40573</v>
      </c>
      <c r="C652" s="25" t="s">
        <v>16</v>
      </c>
      <c r="D652" s="25" t="str" cm="1">
        <f t="array" ref="D652">_xlfn.SWITCH(Sheet5!A652,1,"JANUARY",2,"FEBRUARY")</f>
        <v>JANUARY</v>
      </c>
      <c r="E652">
        <v>10</v>
      </c>
      <c r="F652" t="str" cm="1">
        <f t="array" ref="F652">_xlfn.SWITCH(Sheet5!C652,FALSE,"NO",TRUE,"YES")</f>
        <v>NO</v>
      </c>
      <c r="G652" t="str" cm="1">
        <f t="array" ref="G652">_xlfn.SWITCH(Sheet5!B652,0,"Sunday",1,"Monday",2,"Tuesday",3,"Wednesday",4,"Thursday",5,"Friday",6,"Saturday")</f>
        <v>Sunday</v>
      </c>
      <c r="H652" t="str" cm="1">
        <f t="array" ref="H652">_xlfn.SWITCH(Sheet5!D652, 1, "Clear Sky", 2, "Mist", 3, "Dark Cloud",4,"Heavy Rainfall")</f>
        <v>Mist</v>
      </c>
      <c r="I652" s="26">
        <f>Sheet5!E652*41</f>
        <v>7.38</v>
      </c>
      <c r="J652" s="27">
        <v>0.8</v>
      </c>
      <c r="K652">
        <v>0</v>
      </c>
      <c r="L652">
        <v>7</v>
      </c>
      <c r="M652">
        <v>57</v>
      </c>
      <c r="N652">
        <v>64</v>
      </c>
    </row>
    <row r="653" spans="1:14" x14ac:dyDescent="0.3">
      <c r="A653">
        <v>652</v>
      </c>
      <c r="B653" s="21">
        <v>40573</v>
      </c>
      <c r="C653" s="25" t="s">
        <v>16</v>
      </c>
      <c r="D653" s="25" t="str" cm="1">
        <f t="array" ref="D653">_xlfn.SWITCH(Sheet5!A653,1,"JANUARY",2,"FEBRUARY")</f>
        <v>JANUARY</v>
      </c>
      <c r="E653">
        <v>11</v>
      </c>
      <c r="F653" t="str" cm="1">
        <f t="array" ref="F653">_xlfn.SWITCH(Sheet5!C653,FALSE,"NO",TRUE,"YES")</f>
        <v>NO</v>
      </c>
      <c r="G653" t="str" cm="1">
        <f t="array" ref="G653">_xlfn.SWITCH(Sheet5!B653,0,"Sunday",1,"Monday",2,"Tuesday",3,"Wednesday",4,"Thursday",5,"Friday",6,"Saturday")</f>
        <v>Sunday</v>
      </c>
      <c r="H653" t="str" cm="1">
        <f t="array" ref="H653">_xlfn.SWITCH(Sheet5!D653, 1, "Clear Sky", 2, "Mist", 3, "Dark Cloud",4,"Heavy Rainfall")</f>
        <v>Clear Sky</v>
      </c>
      <c r="I653" s="26">
        <f>Sheet5!E653*41</f>
        <v>9.02</v>
      </c>
      <c r="J653" s="27">
        <v>0.75</v>
      </c>
      <c r="K653">
        <v>0</v>
      </c>
      <c r="L653">
        <v>9</v>
      </c>
      <c r="M653">
        <v>50</v>
      </c>
      <c r="N653">
        <v>59</v>
      </c>
    </row>
    <row r="654" spans="1:14" x14ac:dyDescent="0.3">
      <c r="A654">
        <v>653</v>
      </c>
      <c r="B654" s="21">
        <v>40573</v>
      </c>
      <c r="C654" s="25" t="s">
        <v>16</v>
      </c>
      <c r="D654" s="25" t="str" cm="1">
        <f t="array" ref="D654">_xlfn.SWITCH(Sheet5!A654,1,"JANUARY",2,"FEBRUARY")</f>
        <v>JANUARY</v>
      </c>
      <c r="E654">
        <v>12</v>
      </c>
      <c r="F654" t="str" cm="1">
        <f t="array" ref="F654">_xlfn.SWITCH(Sheet5!C654,FALSE,"NO",TRUE,"YES")</f>
        <v>NO</v>
      </c>
      <c r="G654" t="str" cm="1">
        <f t="array" ref="G654">_xlfn.SWITCH(Sheet5!B654,0,"Sunday",1,"Monday",2,"Tuesday",3,"Wednesday",4,"Thursday",5,"Friday",6,"Saturday")</f>
        <v>Sunday</v>
      </c>
      <c r="H654" t="str" cm="1">
        <f t="array" ref="H654">_xlfn.SWITCH(Sheet5!D654, 1, "Clear Sky", 2, "Mist", 3, "Dark Cloud",4,"Heavy Rainfall")</f>
        <v>Clear Sky</v>
      </c>
      <c r="I654" s="26">
        <f>Sheet5!E654*41</f>
        <v>12.299999999999999</v>
      </c>
      <c r="J654" s="27">
        <v>0.52</v>
      </c>
      <c r="K654">
        <v>0.1045</v>
      </c>
      <c r="L654">
        <v>10</v>
      </c>
      <c r="M654">
        <v>87</v>
      </c>
      <c r="N654">
        <v>97</v>
      </c>
    </row>
    <row r="655" spans="1:14" x14ac:dyDescent="0.3">
      <c r="A655">
        <v>654</v>
      </c>
      <c r="B655" s="21">
        <v>40573</v>
      </c>
      <c r="C655" s="25" t="s">
        <v>16</v>
      </c>
      <c r="D655" s="25" t="str" cm="1">
        <f t="array" ref="D655">_xlfn.SWITCH(Sheet5!A655,1,"JANUARY",2,"FEBRUARY")</f>
        <v>JANUARY</v>
      </c>
      <c r="E655">
        <v>13</v>
      </c>
      <c r="F655" t="str" cm="1">
        <f t="array" ref="F655">_xlfn.SWITCH(Sheet5!C655,FALSE,"NO",TRUE,"YES")</f>
        <v>NO</v>
      </c>
      <c r="G655" t="str" cm="1">
        <f t="array" ref="G655">_xlfn.SWITCH(Sheet5!B655,0,"Sunday",1,"Monday",2,"Tuesday",3,"Wednesday",4,"Thursday",5,"Friday",6,"Saturday")</f>
        <v>Sunday</v>
      </c>
      <c r="H655" t="str" cm="1">
        <f t="array" ref="H655">_xlfn.SWITCH(Sheet5!D655, 1, "Clear Sky", 2, "Mist", 3, "Dark Cloud",4,"Heavy Rainfall")</f>
        <v>Clear Sky</v>
      </c>
      <c r="I655" s="26">
        <f>Sheet5!E655*41</f>
        <v>11.48</v>
      </c>
      <c r="J655" s="27">
        <v>0.61</v>
      </c>
      <c r="K655">
        <v>0.1045</v>
      </c>
      <c r="L655">
        <v>13</v>
      </c>
      <c r="M655">
        <v>71</v>
      </c>
      <c r="N655">
        <v>84</v>
      </c>
    </row>
    <row r="656" spans="1:14" x14ac:dyDescent="0.3">
      <c r="A656">
        <v>655</v>
      </c>
      <c r="B656" s="21">
        <v>40573</v>
      </c>
      <c r="C656" s="25" t="s">
        <v>16</v>
      </c>
      <c r="D656" s="25" t="str" cm="1">
        <f t="array" ref="D656">_xlfn.SWITCH(Sheet5!A656,1,"JANUARY",2,"FEBRUARY")</f>
        <v>JANUARY</v>
      </c>
      <c r="E656">
        <v>14</v>
      </c>
      <c r="F656" t="str" cm="1">
        <f t="array" ref="F656">_xlfn.SWITCH(Sheet5!C656,FALSE,"NO",TRUE,"YES")</f>
        <v>NO</v>
      </c>
      <c r="G656" t="str" cm="1">
        <f t="array" ref="G656">_xlfn.SWITCH(Sheet5!B656,0,"Sunday",1,"Monday",2,"Tuesday",3,"Wednesday",4,"Thursday",5,"Friday",6,"Saturday")</f>
        <v>Sunday</v>
      </c>
      <c r="H656" t="str" cm="1">
        <f t="array" ref="H656">_xlfn.SWITCH(Sheet5!D656, 1, "Clear Sky", 2, "Mist", 3, "Dark Cloud",4,"Heavy Rainfall")</f>
        <v>Clear Sky</v>
      </c>
      <c r="I656" s="26">
        <f>Sheet5!E656*41</f>
        <v>11.48</v>
      </c>
      <c r="J656" s="27">
        <v>0.61</v>
      </c>
      <c r="K656">
        <v>8.9599999999999999E-2</v>
      </c>
      <c r="L656">
        <v>18</v>
      </c>
      <c r="M656">
        <v>104</v>
      </c>
      <c r="N656">
        <v>122</v>
      </c>
    </row>
    <row r="657" spans="1:14" x14ac:dyDescent="0.3">
      <c r="A657">
        <v>656</v>
      </c>
      <c r="B657" s="21">
        <v>40573</v>
      </c>
      <c r="C657" s="25" t="s">
        <v>16</v>
      </c>
      <c r="D657" s="25" t="str" cm="1">
        <f t="array" ref="D657">_xlfn.SWITCH(Sheet5!A657,1,"JANUARY",2,"FEBRUARY")</f>
        <v>JANUARY</v>
      </c>
      <c r="E657">
        <v>15</v>
      </c>
      <c r="F657" t="str" cm="1">
        <f t="array" ref="F657">_xlfn.SWITCH(Sheet5!C657,FALSE,"NO",TRUE,"YES")</f>
        <v>NO</v>
      </c>
      <c r="G657" t="str" cm="1">
        <f t="array" ref="G657">_xlfn.SWITCH(Sheet5!B657,0,"Sunday",1,"Monday",2,"Tuesday",3,"Wednesday",4,"Thursday",5,"Friday",6,"Saturday")</f>
        <v>Sunday</v>
      </c>
      <c r="H657" t="str" cm="1">
        <f t="array" ref="H657">_xlfn.SWITCH(Sheet5!D657, 1, "Clear Sky", 2, "Mist", 3, "Dark Cloud",4,"Heavy Rainfall")</f>
        <v>Clear Sky</v>
      </c>
      <c r="I657" s="26">
        <f>Sheet5!E657*41</f>
        <v>12.299999999999999</v>
      </c>
      <c r="J657" s="27">
        <v>0.56000000000000005</v>
      </c>
      <c r="K657">
        <v>0</v>
      </c>
      <c r="L657">
        <v>14</v>
      </c>
      <c r="M657">
        <v>95</v>
      </c>
      <c r="N657">
        <v>109</v>
      </c>
    </row>
    <row r="658" spans="1:14" x14ac:dyDescent="0.3">
      <c r="A658">
        <v>657</v>
      </c>
      <c r="B658" s="21">
        <v>40573</v>
      </c>
      <c r="C658" s="25" t="s">
        <v>16</v>
      </c>
      <c r="D658" s="25" t="str" cm="1">
        <f t="array" ref="D658">_xlfn.SWITCH(Sheet5!A658,1,"JANUARY",2,"FEBRUARY")</f>
        <v>JANUARY</v>
      </c>
      <c r="E658">
        <v>16</v>
      </c>
      <c r="F658" t="str" cm="1">
        <f t="array" ref="F658">_xlfn.SWITCH(Sheet5!C658,FALSE,"NO",TRUE,"YES")</f>
        <v>NO</v>
      </c>
      <c r="G658" t="str" cm="1">
        <f t="array" ref="G658">_xlfn.SWITCH(Sheet5!B658,0,"Sunday",1,"Monday",2,"Tuesday",3,"Wednesday",4,"Thursday",5,"Friday",6,"Saturday")</f>
        <v>Sunday</v>
      </c>
      <c r="H658" t="str" cm="1">
        <f t="array" ref="H658">_xlfn.SWITCH(Sheet5!D658, 1, "Clear Sky", 2, "Mist", 3, "Dark Cloud",4,"Heavy Rainfall")</f>
        <v>Clear Sky</v>
      </c>
      <c r="I658" s="26">
        <f>Sheet5!E658*41</f>
        <v>12.299999999999999</v>
      </c>
      <c r="J658" s="27">
        <v>0.56000000000000005</v>
      </c>
      <c r="K658">
        <v>0</v>
      </c>
      <c r="L658">
        <v>19</v>
      </c>
      <c r="M658">
        <v>104</v>
      </c>
      <c r="N658">
        <v>123</v>
      </c>
    </row>
    <row r="659" spans="1:14" x14ac:dyDescent="0.3">
      <c r="A659">
        <v>658</v>
      </c>
      <c r="B659" s="21">
        <v>40573</v>
      </c>
      <c r="C659" s="25" t="s">
        <v>16</v>
      </c>
      <c r="D659" s="25" t="str" cm="1">
        <f t="array" ref="D659">_xlfn.SWITCH(Sheet5!A659,1,"JANUARY",2,"FEBRUARY")</f>
        <v>JANUARY</v>
      </c>
      <c r="E659">
        <v>17</v>
      </c>
      <c r="F659" t="str" cm="1">
        <f t="array" ref="F659">_xlfn.SWITCH(Sheet5!C659,FALSE,"NO",TRUE,"YES")</f>
        <v>NO</v>
      </c>
      <c r="G659" t="str" cm="1">
        <f t="array" ref="G659">_xlfn.SWITCH(Sheet5!B659,0,"Sunday",1,"Monday",2,"Tuesday",3,"Wednesday",4,"Thursday",5,"Friday",6,"Saturday")</f>
        <v>Sunday</v>
      </c>
      <c r="H659" t="str" cm="1">
        <f t="array" ref="H659">_xlfn.SWITCH(Sheet5!D659, 1, "Clear Sky", 2, "Mist", 3, "Dark Cloud",4,"Heavy Rainfall")</f>
        <v>Clear Sky</v>
      </c>
      <c r="I659" s="26">
        <f>Sheet5!E659*41</f>
        <v>12.299999999999999</v>
      </c>
      <c r="J659" s="27">
        <v>0.56000000000000005</v>
      </c>
      <c r="K659">
        <v>0.19400000000000001</v>
      </c>
      <c r="L659">
        <v>6</v>
      </c>
      <c r="M659">
        <v>71</v>
      </c>
      <c r="N659">
        <v>77</v>
      </c>
    </row>
    <row r="660" spans="1:14" x14ac:dyDescent="0.3">
      <c r="A660">
        <v>659</v>
      </c>
      <c r="B660" s="21">
        <v>40573</v>
      </c>
      <c r="C660" s="25" t="s">
        <v>16</v>
      </c>
      <c r="D660" s="25" t="str" cm="1">
        <f t="array" ref="D660">_xlfn.SWITCH(Sheet5!A660,1,"JANUARY",2,"FEBRUARY")</f>
        <v>JANUARY</v>
      </c>
      <c r="E660">
        <v>18</v>
      </c>
      <c r="F660" t="str" cm="1">
        <f t="array" ref="F660">_xlfn.SWITCH(Sheet5!C660,FALSE,"NO",TRUE,"YES")</f>
        <v>NO</v>
      </c>
      <c r="G660" t="str" cm="1">
        <f t="array" ref="G660">_xlfn.SWITCH(Sheet5!B660,0,"Sunday",1,"Monday",2,"Tuesday",3,"Wednesday",4,"Thursday",5,"Friday",6,"Saturday")</f>
        <v>Sunday</v>
      </c>
      <c r="H660" t="str" cm="1">
        <f t="array" ref="H660">_xlfn.SWITCH(Sheet5!D660, 1, "Clear Sky", 2, "Mist", 3, "Dark Cloud",4,"Heavy Rainfall")</f>
        <v>Clear Sky</v>
      </c>
      <c r="I660" s="26">
        <f>Sheet5!E660*41</f>
        <v>10.66</v>
      </c>
      <c r="J660" s="27">
        <v>0.65</v>
      </c>
      <c r="K660">
        <v>0.16420000000000001</v>
      </c>
      <c r="L660">
        <v>8</v>
      </c>
      <c r="M660">
        <v>57</v>
      </c>
      <c r="N660">
        <v>65</v>
      </c>
    </row>
    <row r="661" spans="1:14" x14ac:dyDescent="0.3">
      <c r="A661">
        <v>660</v>
      </c>
      <c r="B661" s="21">
        <v>40573</v>
      </c>
      <c r="C661" s="25" t="s">
        <v>16</v>
      </c>
      <c r="D661" s="25" t="str" cm="1">
        <f t="array" ref="D661">_xlfn.SWITCH(Sheet5!A661,1,"JANUARY",2,"FEBRUARY")</f>
        <v>JANUARY</v>
      </c>
      <c r="E661">
        <v>19</v>
      </c>
      <c r="F661" t="str" cm="1">
        <f t="array" ref="F661">_xlfn.SWITCH(Sheet5!C661,FALSE,"NO",TRUE,"YES")</f>
        <v>NO</v>
      </c>
      <c r="G661" t="str" cm="1">
        <f t="array" ref="G661">_xlfn.SWITCH(Sheet5!B661,0,"Sunday",1,"Monday",2,"Tuesday",3,"Wednesday",4,"Thursday",5,"Friday",6,"Saturday")</f>
        <v>Sunday</v>
      </c>
      <c r="H661" t="str" cm="1">
        <f t="array" ref="H661">_xlfn.SWITCH(Sheet5!D661, 1, "Clear Sky", 2, "Mist", 3, "Dark Cloud",4,"Heavy Rainfall")</f>
        <v>Clear Sky</v>
      </c>
      <c r="I661" s="26">
        <f>Sheet5!E661*41</f>
        <v>10.66</v>
      </c>
      <c r="J661" s="27">
        <v>0.65</v>
      </c>
      <c r="K661">
        <v>0.19400000000000001</v>
      </c>
      <c r="L661">
        <v>9</v>
      </c>
      <c r="M661">
        <v>46</v>
      </c>
      <c r="N661">
        <v>55</v>
      </c>
    </row>
    <row r="662" spans="1:14" x14ac:dyDescent="0.3">
      <c r="A662">
        <v>661</v>
      </c>
      <c r="B662" s="21">
        <v>40573</v>
      </c>
      <c r="C662" s="25" t="s">
        <v>16</v>
      </c>
      <c r="D662" s="25" t="str" cm="1">
        <f t="array" ref="D662">_xlfn.SWITCH(Sheet5!A662,1,"JANUARY",2,"FEBRUARY")</f>
        <v>JANUARY</v>
      </c>
      <c r="E662">
        <v>20</v>
      </c>
      <c r="F662" t="str" cm="1">
        <f t="array" ref="F662">_xlfn.SWITCH(Sheet5!C662,FALSE,"NO",TRUE,"YES")</f>
        <v>NO</v>
      </c>
      <c r="G662" t="str" cm="1">
        <f t="array" ref="G662">_xlfn.SWITCH(Sheet5!B662,0,"Sunday",1,"Monday",2,"Tuesday",3,"Wednesday",4,"Thursday",5,"Friday",6,"Saturday")</f>
        <v>Sunday</v>
      </c>
      <c r="H662" t="str" cm="1">
        <f t="array" ref="H662">_xlfn.SWITCH(Sheet5!D662, 1, "Clear Sky", 2, "Mist", 3, "Dark Cloud",4,"Heavy Rainfall")</f>
        <v>Mist</v>
      </c>
      <c r="I662" s="26">
        <f>Sheet5!E662*41</f>
        <v>10.66</v>
      </c>
      <c r="J662" s="27">
        <v>0.65</v>
      </c>
      <c r="K662">
        <v>0.1045</v>
      </c>
      <c r="L662">
        <v>3</v>
      </c>
      <c r="M662">
        <v>30</v>
      </c>
      <c r="N662">
        <v>33</v>
      </c>
    </row>
    <row r="663" spans="1:14" x14ac:dyDescent="0.3">
      <c r="A663">
        <v>662</v>
      </c>
      <c r="B663" s="21">
        <v>40573</v>
      </c>
      <c r="C663" s="25" t="s">
        <v>16</v>
      </c>
      <c r="D663" s="25" t="str" cm="1">
        <f t="array" ref="D663">_xlfn.SWITCH(Sheet5!A663,1,"JANUARY",2,"FEBRUARY")</f>
        <v>JANUARY</v>
      </c>
      <c r="E663">
        <v>21</v>
      </c>
      <c r="F663" t="str" cm="1">
        <f t="array" ref="F663">_xlfn.SWITCH(Sheet5!C663,FALSE,"NO",TRUE,"YES")</f>
        <v>NO</v>
      </c>
      <c r="G663" t="str" cm="1">
        <f t="array" ref="G663">_xlfn.SWITCH(Sheet5!B663,0,"Sunday",1,"Monday",2,"Tuesday",3,"Wednesday",4,"Thursday",5,"Friday",6,"Saturday")</f>
        <v>Sunday</v>
      </c>
      <c r="H663" t="str" cm="1">
        <f t="array" ref="H663">_xlfn.SWITCH(Sheet5!D663, 1, "Clear Sky", 2, "Mist", 3, "Dark Cloud",4,"Heavy Rainfall")</f>
        <v>Mist</v>
      </c>
      <c r="I663" s="26">
        <f>Sheet5!E663*41</f>
        <v>9.84</v>
      </c>
      <c r="J663" s="27">
        <v>0.7</v>
      </c>
      <c r="K663">
        <v>0.16420000000000001</v>
      </c>
      <c r="L663">
        <v>3</v>
      </c>
      <c r="M663">
        <v>25</v>
      </c>
      <c r="N663">
        <v>28</v>
      </c>
    </row>
    <row r="664" spans="1:14" x14ac:dyDescent="0.3">
      <c r="A664">
        <v>663</v>
      </c>
      <c r="B664" s="21">
        <v>40573</v>
      </c>
      <c r="C664" s="25" t="s">
        <v>16</v>
      </c>
      <c r="D664" s="25" t="str" cm="1">
        <f t="array" ref="D664">_xlfn.SWITCH(Sheet5!A664,1,"JANUARY",2,"FEBRUARY")</f>
        <v>JANUARY</v>
      </c>
      <c r="E664">
        <v>22</v>
      </c>
      <c r="F664" t="str" cm="1">
        <f t="array" ref="F664">_xlfn.SWITCH(Sheet5!C664,FALSE,"NO",TRUE,"YES")</f>
        <v>NO</v>
      </c>
      <c r="G664" t="str" cm="1">
        <f t="array" ref="G664">_xlfn.SWITCH(Sheet5!B664,0,"Sunday",1,"Monday",2,"Tuesday",3,"Wednesday",4,"Thursday",5,"Friday",6,"Saturday")</f>
        <v>Sunday</v>
      </c>
      <c r="H664" t="str" cm="1">
        <f t="array" ref="H664">_xlfn.SWITCH(Sheet5!D664, 1, "Clear Sky", 2, "Mist", 3, "Dark Cloud",4,"Heavy Rainfall")</f>
        <v>Mist</v>
      </c>
      <c r="I664" s="26">
        <f>Sheet5!E664*41</f>
        <v>9.84</v>
      </c>
      <c r="J664" s="27">
        <v>0.7</v>
      </c>
      <c r="K664">
        <v>0.19400000000000001</v>
      </c>
      <c r="L664">
        <v>2</v>
      </c>
      <c r="M664">
        <v>19</v>
      </c>
      <c r="N664">
        <v>21</v>
      </c>
    </row>
    <row r="665" spans="1:14" x14ac:dyDescent="0.3">
      <c r="A665">
        <v>664</v>
      </c>
      <c r="B665" s="21">
        <v>40573</v>
      </c>
      <c r="C665" s="25" t="s">
        <v>16</v>
      </c>
      <c r="D665" s="25" t="str" cm="1">
        <f t="array" ref="D665">_xlfn.SWITCH(Sheet5!A665,1,"JANUARY",2,"FEBRUARY")</f>
        <v>JANUARY</v>
      </c>
      <c r="E665">
        <v>23</v>
      </c>
      <c r="F665" t="str" cm="1">
        <f t="array" ref="F665">_xlfn.SWITCH(Sheet5!C665,FALSE,"NO",TRUE,"YES")</f>
        <v>NO</v>
      </c>
      <c r="G665" t="str" cm="1">
        <f t="array" ref="G665">_xlfn.SWITCH(Sheet5!B665,0,"Sunday",1,"Monday",2,"Tuesday",3,"Wednesday",4,"Thursday",5,"Friday",6,"Saturday")</f>
        <v>Sunday</v>
      </c>
      <c r="H665" t="str" cm="1">
        <f t="array" ref="H665">_xlfn.SWITCH(Sheet5!D665, 1, "Clear Sky", 2, "Mist", 3, "Dark Cloud",4,"Heavy Rainfall")</f>
        <v>Mist</v>
      </c>
      <c r="I665" s="26">
        <f>Sheet5!E665*41</f>
        <v>9.84</v>
      </c>
      <c r="J665" s="27">
        <v>0.65</v>
      </c>
      <c r="K665">
        <v>0.28360000000000002</v>
      </c>
      <c r="L665">
        <v>5</v>
      </c>
      <c r="M665">
        <v>16</v>
      </c>
      <c r="N665">
        <v>21</v>
      </c>
    </row>
    <row r="666" spans="1:14" x14ac:dyDescent="0.3">
      <c r="A666">
        <v>665</v>
      </c>
      <c r="B666" s="21">
        <v>40574</v>
      </c>
      <c r="C666" s="25" t="s">
        <v>16</v>
      </c>
      <c r="D666" s="25" t="str" cm="1">
        <f t="array" ref="D666">_xlfn.SWITCH(Sheet5!A666,1,"JANUARY",2,"FEBRUARY")</f>
        <v>JANUARY</v>
      </c>
      <c r="E666">
        <v>0</v>
      </c>
      <c r="F666" t="str" cm="1">
        <f t="array" ref="F666">_xlfn.SWITCH(Sheet5!C666,FALSE,"NO",TRUE,"YES")</f>
        <v>NO</v>
      </c>
      <c r="G666" t="str" cm="1">
        <f t="array" ref="G666">_xlfn.SWITCH(Sheet5!B666,0,"Sunday",1,"Monday",2,"Tuesday",3,"Wednesday",4,"Thursday",5,"Friday",6,"Saturday")</f>
        <v>Monday</v>
      </c>
      <c r="H666" t="str" cm="1">
        <f t="array" ref="H666">_xlfn.SWITCH(Sheet5!D666, 1, "Clear Sky", 2, "Mist", 3, "Dark Cloud",4,"Heavy Rainfall")</f>
        <v>Mist</v>
      </c>
      <c r="I666" s="26">
        <f>Sheet5!E666*41</f>
        <v>9.84</v>
      </c>
      <c r="J666" s="27">
        <v>0.65</v>
      </c>
      <c r="K666">
        <v>0.22389999999999999</v>
      </c>
      <c r="L666">
        <v>1</v>
      </c>
      <c r="M666">
        <v>6</v>
      </c>
      <c r="N666">
        <v>7</v>
      </c>
    </row>
    <row r="667" spans="1:14" x14ac:dyDescent="0.3">
      <c r="A667">
        <v>666</v>
      </c>
      <c r="B667" s="21">
        <v>40574</v>
      </c>
      <c r="C667" s="25" t="s">
        <v>16</v>
      </c>
      <c r="D667" s="25" t="str" cm="1">
        <f t="array" ref="D667">_xlfn.SWITCH(Sheet5!A667,1,"JANUARY",2,"FEBRUARY")</f>
        <v>JANUARY</v>
      </c>
      <c r="E667">
        <v>1</v>
      </c>
      <c r="F667" t="str" cm="1">
        <f t="array" ref="F667">_xlfn.SWITCH(Sheet5!C667,FALSE,"NO",TRUE,"YES")</f>
        <v>NO</v>
      </c>
      <c r="G667" t="str" cm="1">
        <f t="array" ref="G667">_xlfn.SWITCH(Sheet5!B667,0,"Sunday",1,"Monday",2,"Tuesday",3,"Wednesday",4,"Thursday",5,"Friday",6,"Saturday")</f>
        <v>Monday</v>
      </c>
      <c r="H667" t="str" cm="1">
        <f t="array" ref="H667">_xlfn.SWITCH(Sheet5!D667, 1, "Clear Sky", 2, "Mist", 3, "Dark Cloud",4,"Heavy Rainfall")</f>
        <v>Clear Sky</v>
      </c>
      <c r="I667" s="26">
        <f>Sheet5!E667*41</f>
        <v>9.02</v>
      </c>
      <c r="J667" s="27">
        <v>0.64</v>
      </c>
      <c r="K667">
        <v>0.25369999999999998</v>
      </c>
      <c r="L667">
        <v>2</v>
      </c>
      <c r="M667">
        <v>5</v>
      </c>
      <c r="N667">
        <v>7</v>
      </c>
    </row>
    <row r="668" spans="1:14" x14ac:dyDescent="0.3">
      <c r="A668">
        <v>667</v>
      </c>
      <c r="B668" s="21">
        <v>40574</v>
      </c>
      <c r="C668" s="25" t="s">
        <v>16</v>
      </c>
      <c r="D668" s="25" t="str" cm="1">
        <f t="array" ref="D668">_xlfn.SWITCH(Sheet5!A668,1,"JANUARY",2,"FEBRUARY")</f>
        <v>JANUARY</v>
      </c>
      <c r="E668">
        <v>2</v>
      </c>
      <c r="F668" t="str" cm="1">
        <f t="array" ref="F668">_xlfn.SWITCH(Sheet5!C668,FALSE,"NO",TRUE,"YES")</f>
        <v>NO</v>
      </c>
      <c r="G668" t="str" cm="1">
        <f t="array" ref="G668">_xlfn.SWITCH(Sheet5!B668,0,"Sunday",1,"Monday",2,"Tuesday",3,"Wednesday",4,"Thursday",5,"Friday",6,"Saturday")</f>
        <v>Monday</v>
      </c>
      <c r="H668" t="str" cm="1">
        <f t="array" ref="H668">_xlfn.SWITCH(Sheet5!D668, 1, "Clear Sky", 2, "Mist", 3, "Dark Cloud",4,"Heavy Rainfall")</f>
        <v>Clear Sky</v>
      </c>
      <c r="I668" s="26">
        <f>Sheet5!E668*41</f>
        <v>9.02</v>
      </c>
      <c r="J668" s="27">
        <v>0.64</v>
      </c>
      <c r="K668">
        <v>0.19400000000000001</v>
      </c>
      <c r="L668">
        <v>0</v>
      </c>
      <c r="M668">
        <v>1</v>
      </c>
      <c r="N668">
        <v>1</v>
      </c>
    </row>
    <row r="669" spans="1:14" x14ac:dyDescent="0.3">
      <c r="A669">
        <v>668</v>
      </c>
      <c r="B669" s="21">
        <v>40574</v>
      </c>
      <c r="C669" s="25" t="s">
        <v>16</v>
      </c>
      <c r="D669" s="25" t="str" cm="1">
        <f t="array" ref="D669">_xlfn.SWITCH(Sheet5!A669,1,"JANUARY",2,"FEBRUARY")</f>
        <v>JANUARY</v>
      </c>
      <c r="E669">
        <v>3</v>
      </c>
      <c r="F669" t="str" cm="1">
        <f t="array" ref="F669">_xlfn.SWITCH(Sheet5!C669,FALSE,"NO",TRUE,"YES")</f>
        <v>NO</v>
      </c>
      <c r="G669" t="str" cm="1">
        <f t="array" ref="G669">_xlfn.SWITCH(Sheet5!B669,0,"Sunday",1,"Monday",2,"Tuesday",3,"Wednesday",4,"Thursday",5,"Friday",6,"Saturday")</f>
        <v>Monday</v>
      </c>
      <c r="H669" t="str" cm="1">
        <f t="array" ref="H669">_xlfn.SWITCH(Sheet5!D669, 1, "Clear Sky", 2, "Mist", 3, "Dark Cloud",4,"Heavy Rainfall")</f>
        <v>Clear Sky</v>
      </c>
      <c r="I669" s="26">
        <f>Sheet5!E669*41</f>
        <v>9.02</v>
      </c>
      <c r="J669" s="27">
        <v>0.64</v>
      </c>
      <c r="K669">
        <v>0.19400000000000001</v>
      </c>
      <c r="L669">
        <v>0</v>
      </c>
      <c r="M669">
        <v>2</v>
      </c>
      <c r="N669">
        <v>2</v>
      </c>
    </row>
    <row r="670" spans="1:14" x14ac:dyDescent="0.3">
      <c r="A670">
        <v>669</v>
      </c>
      <c r="B670" s="21">
        <v>40574</v>
      </c>
      <c r="C670" s="25" t="s">
        <v>16</v>
      </c>
      <c r="D670" s="25" t="str" cm="1">
        <f t="array" ref="D670">_xlfn.SWITCH(Sheet5!A670,1,"JANUARY",2,"FEBRUARY")</f>
        <v>JANUARY</v>
      </c>
      <c r="E670">
        <v>4</v>
      </c>
      <c r="F670" t="str" cm="1">
        <f t="array" ref="F670">_xlfn.SWITCH(Sheet5!C670,FALSE,"NO",TRUE,"YES")</f>
        <v>NO</v>
      </c>
      <c r="G670" t="str" cm="1">
        <f t="array" ref="G670">_xlfn.SWITCH(Sheet5!B670,0,"Sunday",1,"Monday",2,"Tuesday",3,"Wednesday",4,"Thursday",5,"Friday",6,"Saturday")</f>
        <v>Monday</v>
      </c>
      <c r="H670" t="str" cm="1">
        <f t="array" ref="H670">_xlfn.SWITCH(Sheet5!D670, 1, "Clear Sky", 2, "Mist", 3, "Dark Cloud",4,"Heavy Rainfall")</f>
        <v>Clear Sky</v>
      </c>
      <c r="I670" s="26">
        <f>Sheet5!E670*41</f>
        <v>8.2000000000000011</v>
      </c>
      <c r="J670" s="27">
        <v>0.59</v>
      </c>
      <c r="K670">
        <v>0.22389999999999999</v>
      </c>
      <c r="L670">
        <v>0</v>
      </c>
      <c r="M670">
        <v>2</v>
      </c>
      <c r="N670">
        <v>2</v>
      </c>
    </row>
    <row r="671" spans="1:14" x14ac:dyDescent="0.3">
      <c r="A671">
        <v>670</v>
      </c>
      <c r="B671" s="21">
        <v>40574</v>
      </c>
      <c r="C671" s="25" t="s">
        <v>16</v>
      </c>
      <c r="D671" s="25" t="str" cm="1">
        <f t="array" ref="D671">_xlfn.SWITCH(Sheet5!A671,1,"JANUARY",2,"FEBRUARY")</f>
        <v>JANUARY</v>
      </c>
      <c r="E671">
        <v>5</v>
      </c>
      <c r="F671" t="str" cm="1">
        <f t="array" ref="F671">_xlfn.SWITCH(Sheet5!C671,FALSE,"NO",TRUE,"YES")</f>
        <v>NO</v>
      </c>
      <c r="G671" t="str" cm="1">
        <f t="array" ref="G671">_xlfn.SWITCH(Sheet5!B671,0,"Sunday",1,"Monday",2,"Tuesday",3,"Wednesday",4,"Thursday",5,"Friday",6,"Saturday")</f>
        <v>Monday</v>
      </c>
      <c r="H671" t="str" cm="1">
        <f t="array" ref="H671">_xlfn.SWITCH(Sheet5!D671, 1, "Clear Sky", 2, "Mist", 3, "Dark Cloud",4,"Heavy Rainfall")</f>
        <v>Clear Sky</v>
      </c>
      <c r="I671" s="26">
        <f>Sheet5!E671*41</f>
        <v>7.38</v>
      </c>
      <c r="J671" s="27">
        <v>0.64</v>
      </c>
      <c r="K671">
        <v>0.28360000000000002</v>
      </c>
      <c r="L671">
        <v>0</v>
      </c>
      <c r="M671">
        <v>8</v>
      </c>
      <c r="N671">
        <v>8</v>
      </c>
    </row>
    <row r="672" spans="1:14" x14ac:dyDescent="0.3">
      <c r="A672">
        <v>671</v>
      </c>
      <c r="B672" s="21">
        <v>40574</v>
      </c>
      <c r="C672" s="25" t="s">
        <v>16</v>
      </c>
      <c r="D672" s="25" t="str" cm="1">
        <f t="array" ref="D672">_xlfn.SWITCH(Sheet5!A672,1,"JANUARY",2,"FEBRUARY")</f>
        <v>JANUARY</v>
      </c>
      <c r="E672">
        <v>6</v>
      </c>
      <c r="F672" t="str" cm="1">
        <f t="array" ref="F672">_xlfn.SWITCH(Sheet5!C672,FALSE,"NO",TRUE,"YES")</f>
        <v>NO</v>
      </c>
      <c r="G672" t="str" cm="1">
        <f t="array" ref="G672">_xlfn.SWITCH(Sheet5!B672,0,"Sunday",1,"Monday",2,"Tuesday",3,"Wednesday",4,"Thursday",5,"Friday",6,"Saturday")</f>
        <v>Monday</v>
      </c>
      <c r="H672" t="str" cm="1">
        <f t="array" ref="H672">_xlfn.SWITCH(Sheet5!D672, 1, "Clear Sky", 2, "Mist", 3, "Dark Cloud",4,"Heavy Rainfall")</f>
        <v>Clear Sky</v>
      </c>
      <c r="I672" s="26">
        <f>Sheet5!E672*41</f>
        <v>6.5600000000000005</v>
      </c>
      <c r="J672" s="27">
        <v>0.69</v>
      </c>
      <c r="K672">
        <v>0.32840000000000003</v>
      </c>
      <c r="L672">
        <v>0</v>
      </c>
      <c r="M672">
        <v>37</v>
      </c>
      <c r="N672">
        <v>37</v>
      </c>
    </row>
    <row r="673" spans="1:14" x14ac:dyDescent="0.3">
      <c r="A673">
        <v>672</v>
      </c>
      <c r="B673" s="21">
        <v>40574</v>
      </c>
      <c r="C673" s="25" t="s">
        <v>16</v>
      </c>
      <c r="D673" s="25" t="str" cm="1">
        <f t="array" ref="D673">_xlfn.SWITCH(Sheet5!A673,1,"JANUARY",2,"FEBRUARY")</f>
        <v>JANUARY</v>
      </c>
      <c r="E673">
        <v>7</v>
      </c>
      <c r="F673" t="str" cm="1">
        <f t="array" ref="F673">_xlfn.SWITCH(Sheet5!C673,FALSE,"NO",TRUE,"YES")</f>
        <v>NO</v>
      </c>
      <c r="G673" t="str" cm="1">
        <f t="array" ref="G673">_xlfn.SWITCH(Sheet5!B673,0,"Sunday",1,"Monday",2,"Tuesday",3,"Wednesday",4,"Thursday",5,"Friday",6,"Saturday")</f>
        <v>Monday</v>
      </c>
      <c r="H673" t="str" cm="1">
        <f t="array" ref="H673">_xlfn.SWITCH(Sheet5!D673, 1, "Clear Sky", 2, "Mist", 3, "Dark Cloud",4,"Heavy Rainfall")</f>
        <v>Mist</v>
      </c>
      <c r="I673" s="26">
        <f>Sheet5!E673*41</f>
        <v>6.5600000000000005</v>
      </c>
      <c r="J673" s="27">
        <v>0.64</v>
      </c>
      <c r="K673">
        <v>0.28360000000000002</v>
      </c>
      <c r="L673">
        <v>1</v>
      </c>
      <c r="M673">
        <v>71</v>
      </c>
      <c r="N673">
        <v>72</v>
      </c>
    </row>
    <row r="674" spans="1:14" x14ac:dyDescent="0.3">
      <c r="A674">
        <v>673</v>
      </c>
      <c r="B674" s="21">
        <v>40574</v>
      </c>
      <c r="C674" s="25" t="s">
        <v>16</v>
      </c>
      <c r="D674" s="25" t="str" cm="1">
        <f t="array" ref="D674">_xlfn.SWITCH(Sheet5!A674,1,"JANUARY",2,"FEBRUARY")</f>
        <v>JANUARY</v>
      </c>
      <c r="E674">
        <v>8</v>
      </c>
      <c r="F674" t="str" cm="1">
        <f t="array" ref="F674">_xlfn.SWITCH(Sheet5!C674,FALSE,"NO",TRUE,"YES")</f>
        <v>NO</v>
      </c>
      <c r="G674" t="str" cm="1">
        <f t="array" ref="G674">_xlfn.SWITCH(Sheet5!B674,0,"Sunday",1,"Monday",2,"Tuesday",3,"Wednesday",4,"Thursday",5,"Friday",6,"Saturday")</f>
        <v>Monday</v>
      </c>
      <c r="H674" t="str" cm="1">
        <f t="array" ref="H674">_xlfn.SWITCH(Sheet5!D674, 1, "Clear Sky", 2, "Mist", 3, "Dark Cloud",4,"Heavy Rainfall")</f>
        <v>Mist</v>
      </c>
      <c r="I674" s="26">
        <f>Sheet5!E674*41</f>
        <v>6.5600000000000005</v>
      </c>
      <c r="J674" s="27">
        <v>0.59</v>
      </c>
      <c r="K674">
        <v>0.28360000000000002</v>
      </c>
      <c r="L674">
        <v>3</v>
      </c>
      <c r="M674">
        <v>182</v>
      </c>
      <c r="N674">
        <v>185</v>
      </c>
    </row>
    <row r="675" spans="1:14" x14ac:dyDescent="0.3">
      <c r="A675">
        <v>674</v>
      </c>
      <c r="B675" s="21">
        <v>40574</v>
      </c>
      <c r="C675" s="25" t="s">
        <v>16</v>
      </c>
      <c r="D675" s="25" t="str" cm="1">
        <f t="array" ref="D675">_xlfn.SWITCH(Sheet5!A675,1,"JANUARY",2,"FEBRUARY")</f>
        <v>JANUARY</v>
      </c>
      <c r="E675">
        <v>9</v>
      </c>
      <c r="F675" t="str" cm="1">
        <f t="array" ref="F675">_xlfn.SWITCH(Sheet5!C675,FALSE,"NO",TRUE,"YES")</f>
        <v>NO</v>
      </c>
      <c r="G675" t="str" cm="1">
        <f t="array" ref="G675">_xlfn.SWITCH(Sheet5!B675,0,"Sunday",1,"Monday",2,"Tuesday",3,"Wednesday",4,"Thursday",5,"Friday",6,"Saturday")</f>
        <v>Monday</v>
      </c>
      <c r="H675" t="str" cm="1">
        <f t="array" ref="H675">_xlfn.SWITCH(Sheet5!D675, 1, "Clear Sky", 2, "Mist", 3, "Dark Cloud",4,"Heavy Rainfall")</f>
        <v>Mist</v>
      </c>
      <c r="I675" s="26">
        <f>Sheet5!E675*41</f>
        <v>6.5600000000000005</v>
      </c>
      <c r="J675" s="27">
        <v>0.59</v>
      </c>
      <c r="K675">
        <v>0.29849999999999999</v>
      </c>
      <c r="L675">
        <v>0</v>
      </c>
      <c r="M675">
        <v>112</v>
      </c>
      <c r="N675">
        <v>112</v>
      </c>
    </row>
    <row r="676" spans="1:14" x14ac:dyDescent="0.3">
      <c r="A676">
        <v>675</v>
      </c>
      <c r="B676" s="21">
        <v>40574</v>
      </c>
      <c r="C676" s="25" t="s">
        <v>16</v>
      </c>
      <c r="D676" s="25" t="str" cm="1">
        <f t="array" ref="D676">_xlfn.SWITCH(Sheet5!A676,1,"JANUARY",2,"FEBRUARY")</f>
        <v>JANUARY</v>
      </c>
      <c r="E676">
        <v>10</v>
      </c>
      <c r="F676" t="str" cm="1">
        <f t="array" ref="F676">_xlfn.SWITCH(Sheet5!C676,FALSE,"NO",TRUE,"YES")</f>
        <v>NO</v>
      </c>
      <c r="G676" t="str" cm="1">
        <f t="array" ref="G676">_xlfn.SWITCH(Sheet5!B676,0,"Sunday",1,"Monday",2,"Tuesday",3,"Wednesday",4,"Thursday",5,"Friday",6,"Saturday")</f>
        <v>Monday</v>
      </c>
      <c r="H676" t="str" cm="1">
        <f t="array" ref="H676">_xlfn.SWITCH(Sheet5!D676, 1, "Clear Sky", 2, "Mist", 3, "Dark Cloud",4,"Heavy Rainfall")</f>
        <v>Mist</v>
      </c>
      <c r="I676" s="26">
        <f>Sheet5!E676*41</f>
        <v>6.5600000000000005</v>
      </c>
      <c r="J676" s="27">
        <v>0.59</v>
      </c>
      <c r="K676">
        <v>0.19400000000000001</v>
      </c>
      <c r="L676">
        <v>1</v>
      </c>
      <c r="M676">
        <v>68</v>
      </c>
      <c r="N676">
        <v>69</v>
      </c>
    </row>
    <row r="677" spans="1:14" x14ac:dyDescent="0.3">
      <c r="A677">
        <v>676</v>
      </c>
      <c r="B677" s="21">
        <v>40574</v>
      </c>
      <c r="C677" s="25" t="s">
        <v>16</v>
      </c>
      <c r="D677" s="25" t="str" cm="1">
        <f t="array" ref="D677">_xlfn.SWITCH(Sheet5!A677,1,"JANUARY",2,"FEBRUARY")</f>
        <v>JANUARY</v>
      </c>
      <c r="E677">
        <v>11</v>
      </c>
      <c r="F677" t="str" cm="1">
        <f t="array" ref="F677">_xlfn.SWITCH(Sheet5!C677,FALSE,"NO",TRUE,"YES")</f>
        <v>NO</v>
      </c>
      <c r="G677" t="str" cm="1">
        <f t="array" ref="G677">_xlfn.SWITCH(Sheet5!B677,0,"Sunday",1,"Monday",2,"Tuesday",3,"Wednesday",4,"Thursday",5,"Friday",6,"Saturday")</f>
        <v>Monday</v>
      </c>
      <c r="H677" t="str" cm="1">
        <f t="array" ref="H677">_xlfn.SWITCH(Sheet5!D677, 1, "Clear Sky", 2, "Mist", 3, "Dark Cloud",4,"Heavy Rainfall")</f>
        <v>Mist</v>
      </c>
      <c r="I677" s="26">
        <f>Sheet5!E677*41</f>
        <v>6.5600000000000005</v>
      </c>
      <c r="J677" s="27">
        <v>0.59</v>
      </c>
      <c r="K677">
        <v>0.19400000000000001</v>
      </c>
      <c r="L677">
        <v>2</v>
      </c>
      <c r="M677">
        <v>46</v>
      </c>
      <c r="N677">
        <v>48</v>
      </c>
    </row>
    <row r="678" spans="1:14" x14ac:dyDescent="0.3">
      <c r="A678">
        <v>677</v>
      </c>
      <c r="B678" s="21">
        <v>40574</v>
      </c>
      <c r="C678" s="25" t="s">
        <v>16</v>
      </c>
      <c r="D678" s="25" t="str" cm="1">
        <f t="array" ref="D678">_xlfn.SWITCH(Sheet5!A678,1,"JANUARY",2,"FEBRUARY")</f>
        <v>JANUARY</v>
      </c>
      <c r="E678">
        <v>12</v>
      </c>
      <c r="F678" t="str" cm="1">
        <f t="array" ref="F678">_xlfn.SWITCH(Sheet5!C678,FALSE,"NO",TRUE,"YES")</f>
        <v>NO</v>
      </c>
      <c r="G678" t="str" cm="1">
        <f t="array" ref="G678">_xlfn.SWITCH(Sheet5!B678,0,"Sunday",1,"Monday",2,"Tuesday",3,"Wednesday",4,"Thursday",5,"Friday",6,"Saturday")</f>
        <v>Monday</v>
      </c>
      <c r="H678" t="str" cm="1">
        <f t="array" ref="H678">_xlfn.SWITCH(Sheet5!D678, 1, "Clear Sky", 2, "Mist", 3, "Dark Cloud",4,"Heavy Rainfall")</f>
        <v>Mist</v>
      </c>
      <c r="I678" s="26">
        <f>Sheet5!E678*41</f>
        <v>7.38</v>
      </c>
      <c r="J678" s="27">
        <v>0.55000000000000004</v>
      </c>
      <c r="K678">
        <v>0.1045</v>
      </c>
      <c r="L678">
        <v>6</v>
      </c>
      <c r="M678">
        <v>62</v>
      </c>
      <c r="N678">
        <v>68</v>
      </c>
    </row>
    <row r="679" spans="1:14" x14ac:dyDescent="0.3">
      <c r="A679">
        <v>678</v>
      </c>
      <c r="B679" s="21">
        <v>40574</v>
      </c>
      <c r="C679" s="25" t="s">
        <v>16</v>
      </c>
      <c r="D679" s="25" t="str" cm="1">
        <f t="array" ref="D679">_xlfn.SWITCH(Sheet5!A679,1,"JANUARY",2,"FEBRUARY")</f>
        <v>JANUARY</v>
      </c>
      <c r="E679">
        <v>13</v>
      </c>
      <c r="F679" t="str" cm="1">
        <f t="array" ref="F679">_xlfn.SWITCH(Sheet5!C679,FALSE,"NO",TRUE,"YES")</f>
        <v>NO</v>
      </c>
      <c r="G679" t="str" cm="1">
        <f t="array" ref="G679">_xlfn.SWITCH(Sheet5!B679,0,"Sunday",1,"Monday",2,"Tuesday",3,"Wednesday",4,"Thursday",5,"Friday",6,"Saturday")</f>
        <v>Monday</v>
      </c>
      <c r="H679" t="str" cm="1">
        <f t="array" ref="H679">_xlfn.SWITCH(Sheet5!D679, 1, "Clear Sky", 2, "Mist", 3, "Dark Cloud",4,"Heavy Rainfall")</f>
        <v>Mist</v>
      </c>
      <c r="I679" s="26">
        <f>Sheet5!E679*41</f>
        <v>6.5600000000000005</v>
      </c>
      <c r="J679" s="27">
        <v>0.59</v>
      </c>
      <c r="K679">
        <v>0</v>
      </c>
      <c r="L679">
        <v>2</v>
      </c>
      <c r="M679">
        <v>52</v>
      </c>
      <c r="N679">
        <v>54</v>
      </c>
    </row>
    <row r="680" spans="1:14" x14ac:dyDescent="0.3">
      <c r="A680">
        <v>679</v>
      </c>
      <c r="B680" s="21">
        <v>40574</v>
      </c>
      <c r="C680" s="25" t="s">
        <v>16</v>
      </c>
      <c r="D680" s="25" t="str" cm="1">
        <f t="array" ref="D680">_xlfn.SWITCH(Sheet5!A680,1,"JANUARY",2,"FEBRUARY")</f>
        <v>JANUARY</v>
      </c>
      <c r="E680">
        <v>14</v>
      </c>
      <c r="F680" t="str" cm="1">
        <f t="array" ref="F680">_xlfn.SWITCH(Sheet5!C680,FALSE,"NO",TRUE,"YES")</f>
        <v>NO</v>
      </c>
      <c r="G680" t="str" cm="1">
        <f t="array" ref="G680">_xlfn.SWITCH(Sheet5!B680,0,"Sunday",1,"Monday",2,"Tuesday",3,"Wednesday",4,"Thursday",5,"Friday",6,"Saturday")</f>
        <v>Monday</v>
      </c>
      <c r="H680" t="str" cm="1">
        <f t="array" ref="H680">_xlfn.SWITCH(Sheet5!D680, 1, "Clear Sky", 2, "Mist", 3, "Dark Cloud",4,"Heavy Rainfall")</f>
        <v>Mist</v>
      </c>
      <c r="I680" s="26">
        <f>Sheet5!E680*41</f>
        <v>7.38</v>
      </c>
      <c r="J680" s="27">
        <v>0.55000000000000004</v>
      </c>
      <c r="K680">
        <v>0.1343</v>
      </c>
      <c r="L680">
        <v>1</v>
      </c>
      <c r="M680">
        <v>85</v>
      </c>
      <c r="N680">
        <v>86</v>
      </c>
    </row>
    <row r="681" spans="1:14" x14ac:dyDescent="0.3">
      <c r="A681">
        <v>680</v>
      </c>
      <c r="B681" s="21">
        <v>40574</v>
      </c>
      <c r="C681" s="25" t="s">
        <v>16</v>
      </c>
      <c r="D681" s="25" t="str" cm="1">
        <f t="array" ref="D681">_xlfn.SWITCH(Sheet5!A681,1,"JANUARY",2,"FEBRUARY")</f>
        <v>JANUARY</v>
      </c>
      <c r="E681">
        <v>15</v>
      </c>
      <c r="F681" t="str" cm="1">
        <f t="array" ref="F681">_xlfn.SWITCH(Sheet5!C681,FALSE,"NO",TRUE,"YES")</f>
        <v>NO</v>
      </c>
      <c r="G681" t="str" cm="1">
        <f t="array" ref="G681">_xlfn.SWITCH(Sheet5!B681,0,"Sunday",1,"Monday",2,"Tuesday",3,"Wednesday",4,"Thursday",5,"Friday",6,"Saturday")</f>
        <v>Monday</v>
      </c>
      <c r="H681" t="str" cm="1">
        <f t="array" ref="H681">_xlfn.SWITCH(Sheet5!D681, 1, "Clear Sky", 2, "Mist", 3, "Dark Cloud",4,"Heavy Rainfall")</f>
        <v>Mist</v>
      </c>
      <c r="I681" s="26">
        <f>Sheet5!E681*41</f>
        <v>6.5600000000000005</v>
      </c>
      <c r="J681" s="27">
        <v>0.59</v>
      </c>
      <c r="K681">
        <v>0.1343</v>
      </c>
      <c r="L681">
        <v>3</v>
      </c>
      <c r="M681">
        <v>41</v>
      </c>
      <c r="N681">
        <v>44</v>
      </c>
    </row>
    <row r="682" spans="1:14" x14ac:dyDescent="0.3">
      <c r="A682">
        <v>681</v>
      </c>
      <c r="B682" s="21">
        <v>40574</v>
      </c>
      <c r="C682" s="25" t="s">
        <v>16</v>
      </c>
      <c r="D682" s="25" t="str" cm="1">
        <f t="array" ref="D682">_xlfn.SWITCH(Sheet5!A682,1,"JANUARY",2,"FEBRUARY")</f>
        <v>JANUARY</v>
      </c>
      <c r="E682">
        <v>16</v>
      </c>
      <c r="F682" t="str" cm="1">
        <f t="array" ref="F682">_xlfn.SWITCH(Sheet5!C682,FALSE,"NO",TRUE,"YES")</f>
        <v>NO</v>
      </c>
      <c r="G682" t="str" cm="1">
        <f t="array" ref="G682">_xlfn.SWITCH(Sheet5!B682,0,"Sunday",1,"Monday",2,"Tuesday",3,"Wednesday",4,"Thursday",5,"Friday",6,"Saturday")</f>
        <v>Monday</v>
      </c>
      <c r="H682" t="str" cm="1">
        <f t="array" ref="H682">_xlfn.SWITCH(Sheet5!D682, 1, "Clear Sky", 2, "Mist", 3, "Dark Cloud",4,"Heavy Rainfall")</f>
        <v>Mist</v>
      </c>
      <c r="I682" s="26">
        <f>Sheet5!E682*41</f>
        <v>6.5600000000000005</v>
      </c>
      <c r="J682" s="27">
        <v>0.56000000000000005</v>
      </c>
      <c r="K682">
        <v>0.19400000000000001</v>
      </c>
      <c r="L682">
        <v>3</v>
      </c>
      <c r="M682">
        <v>83</v>
      </c>
      <c r="N682">
        <v>86</v>
      </c>
    </row>
    <row r="683" spans="1:14" x14ac:dyDescent="0.3">
      <c r="A683">
        <v>682</v>
      </c>
      <c r="B683" s="21">
        <v>40574</v>
      </c>
      <c r="C683" s="25" t="s">
        <v>16</v>
      </c>
      <c r="D683" s="25" t="str" cm="1">
        <f t="array" ref="D683">_xlfn.SWITCH(Sheet5!A683,1,"JANUARY",2,"FEBRUARY")</f>
        <v>JANUARY</v>
      </c>
      <c r="E683">
        <v>17</v>
      </c>
      <c r="F683" t="str" cm="1">
        <f t="array" ref="F683">_xlfn.SWITCH(Sheet5!C683,FALSE,"NO",TRUE,"YES")</f>
        <v>NO</v>
      </c>
      <c r="G683" t="str" cm="1">
        <f t="array" ref="G683">_xlfn.SWITCH(Sheet5!B683,0,"Sunday",1,"Monday",2,"Tuesday",3,"Wednesday",4,"Thursday",5,"Friday",6,"Saturday")</f>
        <v>Monday</v>
      </c>
      <c r="H683" t="str" cm="1">
        <f t="array" ref="H683">_xlfn.SWITCH(Sheet5!D683, 1, "Clear Sky", 2, "Mist", 3, "Dark Cloud",4,"Heavy Rainfall")</f>
        <v>Mist</v>
      </c>
      <c r="I683" s="26">
        <f>Sheet5!E683*41</f>
        <v>6.5600000000000005</v>
      </c>
      <c r="J683" s="27">
        <v>0.59</v>
      </c>
      <c r="K683">
        <v>0.19400000000000001</v>
      </c>
      <c r="L683">
        <v>6</v>
      </c>
      <c r="M683">
        <v>155</v>
      </c>
      <c r="N683">
        <v>161</v>
      </c>
    </row>
    <row r="684" spans="1:14" x14ac:dyDescent="0.3">
      <c r="A684">
        <v>683</v>
      </c>
      <c r="B684" s="21">
        <v>40574</v>
      </c>
      <c r="C684" s="25" t="s">
        <v>16</v>
      </c>
      <c r="D684" s="25" t="str" cm="1">
        <f t="array" ref="D684">_xlfn.SWITCH(Sheet5!A684,1,"JANUARY",2,"FEBRUARY")</f>
        <v>JANUARY</v>
      </c>
      <c r="E684">
        <v>18</v>
      </c>
      <c r="F684" t="str" cm="1">
        <f t="array" ref="F684">_xlfn.SWITCH(Sheet5!C684,FALSE,"NO",TRUE,"YES")</f>
        <v>NO</v>
      </c>
      <c r="G684" t="str" cm="1">
        <f t="array" ref="G684">_xlfn.SWITCH(Sheet5!B684,0,"Sunday",1,"Monday",2,"Tuesday",3,"Wednesday",4,"Thursday",5,"Friday",6,"Saturday")</f>
        <v>Monday</v>
      </c>
      <c r="H684" t="str" cm="1">
        <f t="array" ref="H684">_xlfn.SWITCH(Sheet5!D684, 1, "Clear Sky", 2, "Mist", 3, "Dark Cloud",4,"Heavy Rainfall")</f>
        <v>Mist</v>
      </c>
      <c r="I684" s="26">
        <f>Sheet5!E684*41</f>
        <v>6.5600000000000005</v>
      </c>
      <c r="J684" s="27">
        <v>0.55000000000000004</v>
      </c>
      <c r="K684">
        <v>0.22389999999999999</v>
      </c>
      <c r="L684">
        <v>3</v>
      </c>
      <c r="M684">
        <v>153</v>
      </c>
      <c r="N684">
        <v>156</v>
      </c>
    </row>
    <row r="685" spans="1:14" x14ac:dyDescent="0.3">
      <c r="A685">
        <v>684</v>
      </c>
      <c r="B685" s="21">
        <v>40574</v>
      </c>
      <c r="C685" s="25" t="s">
        <v>16</v>
      </c>
      <c r="D685" s="25" t="str" cm="1">
        <f t="array" ref="D685">_xlfn.SWITCH(Sheet5!A685,1,"JANUARY",2,"FEBRUARY")</f>
        <v>JANUARY</v>
      </c>
      <c r="E685">
        <v>19</v>
      </c>
      <c r="F685" t="str" cm="1">
        <f t="array" ref="F685">_xlfn.SWITCH(Sheet5!C685,FALSE,"NO",TRUE,"YES")</f>
        <v>NO</v>
      </c>
      <c r="G685" t="str" cm="1">
        <f t="array" ref="G685">_xlfn.SWITCH(Sheet5!B685,0,"Sunday",1,"Monday",2,"Tuesday",3,"Wednesday",4,"Thursday",5,"Friday",6,"Saturday")</f>
        <v>Monday</v>
      </c>
      <c r="H685" t="str" cm="1">
        <f t="array" ref="H685">_xlfn.SWITCH(Sheet5!D685, 1, "Clear Sky", 2, "Mist", 3, "Dark Cloud",4,"Heavy Rainfall")</f>
        <v>Clear Sky</v>
      </c>
      <c r="I685" s="26">
        <f>Sheet5!E685*41</f>
        <v>12.299999999999999</v>
      </c>
      <c r="J685" s="27">
        <v>0.61</v>
      </c>
      <c r="K685">
        <v>0.1045</v>
      </c>
      <c r="L685">
        <v>3</v>
      </c>
      <c r="M685">
        <v>108</v>
      </c>
      <c r="N685">
        <v>111</v>
      </c>
    </row>
    <row r="686" spans="1:14" x14ac:dyDescent="0.3">
      <c r="A686">
        <v>685</v>
      </c>
      <c r="B686" s="21">
        <v>40574</v>
      </c>
      <c r="C686" s="25" t="s">
        <v>16</v>
      </c>
      <c r="D686" s="25" t="str" cm="1">
        <f t="array" ref="D686">_xlfn.SWITCH(Sheet5!A686,1,"JANUARY",2,"FEBRUARY")</f>
        <v>JANUARY</v>
      </c>
      <c r="E686">
        <v>20</v>
      </c>
      <c r="F686" t="str" cm="1">
        <f t="array" ref="F686">_xlfn.SWITCH(Sheet5!C686,FALSE,"NO",TRUE,"YES")</f>
        <v>NO</v>
      </c>
      <c r="G686" t="str" cm="1">
        <f t="array" ref="G686">_xlfn.SWITCH(Sheet5!B686,0,"Sunday",1,"Monday",2,"Tuesday",3,"Wednesday",4,"Thursday",5,"Friday",6,"Saturday")</f>
        <v>Monday</v>
      </c>
      <c r="H686" t="str" cm="1">
        <f t="array" ref="H686">_xlfn.SWITCH(Sheet5!D686, 1, "Clear Sky", 2, "Mist", 3, "Dark Cloud",4,"Heavy Rainfall")</f>
        <v>Dark Cloud</v>
      </c>
      <c r="I686" s="26">
        <f>Sheet5!E686*41</f>
        <v>6.5600000000000005</v>
      </c>
      <c r="J686" s="27">
        <v>0.59</v>
      </c>
      <c r="K686">
        <v>0.16420000000000001</v>
      </c>
      <c r="L686">
        <v>0</v>
      </c>
      <c r="M686">
        <v>78</v>
      </c>
      <c r="N686">
        <v>78</v>
      </c>
    </row>
    <row r="687" spans="1:14" x14ac:dyDescent="0.3">
      <c r="A687">
        <v>686</v>
      </c>
      <c r="B687" s="21">
        <v>40574</v>
      </c>
      <c r="C687" s="25" t="s">
        <v>16</v>
      </c>
      <c r="D687" s="25" t="str" cm="1">
        <f t="array" ref="D687">_xlfn.SWITCH(Sheet5!A687,1,"JANUARY",2,"FEBRUARY")</f>
        <v>JANUARY</v>
      </c>
      <c r="E687">
        <v>21</v>
      </c>
      <c r="F687" t="str" cm="1">
        <f t="array" ref="F687">_xlfn.SWITCH(Sheet5!C687,FALSE,"NO",TRUE,"YES")</f>
        <v>NO</v>
      </c>
      <c r="G687" t="str" cm="1">
        <f t="array" ref="G687">_xlfn.SWITCH(Sheet5!B687,0,"Sunday",1,"Monday",2,"Tuesday",3,"Wednesday",4,"Thursday",5,"Friday",6,"Saturday")</f>
        <v>Monday</v>
      </c>
      <c r="H687" t="str" cm="1">
        <f t="array" ref="H687">_xlfn.SWITCH(Sheet5!D687, 1, "Clear Sky", 2, "Mist", 3, "Dark Cloud",4,"Heavy Rainfall")</f>
        <v>Dark Cloud</v>
      </c>
      <c r="I687" s="26">
        <f>Sheet5!E687*41</f>
        <v>6.5600000000000005</v>
      </c>
      <c r="J687" s="27">
        <v>0.59</v>
      </c>
      <c r="K687">
        <v>8.9599999999999999E-2</v>
      </c>
      <c r="L687">
        <v>3</v>
      </c>
      <c r="M687">
        <v>53</v>
      </c>
      <c r="N687">
        <v>56</v>
      </c>
    </row>
    <row r="688" spans="1:14" x14ac:dyDescent="0.3">
      <c r="A688">
        <v>687</v>
      </c>
      <c r="B688" s="21">
        <v>40574</v>
      </c>
      <c r="C688" s="25" t="s">
        <v>16</v>
      </c>
      <c r="D688" s="25" t="str" cm="1">
        <f t="array" ref="D688">_xlfn.SWITCH(Sheet5!A688,1,"JANUARY",2,"FEBRUARY")</f>
        <v>JANUARY</v>
      </c>
      <c r="E688">
        <v>22</v>
      </c>
      <c r="F688" t="str" cm="1">
        <f t="array" ref="F688">_xlfn.SWITCH(Sheet5!C688,FALSE,"NO",TRUE,"YES")</f>
        <v>NO</v>
      </c>
      <c r="G688" t="str" cm="1">
        <f t="array" ref="G688">_xlfn.SWITCH(Sheet5!B688,0,"Sunday",1,"Monday",2,"Tuesday",3,"Wednesday",4,"Thursday",5,"Friday",6,"Saturday")</f>
        <v>Monday</v>
      </c>
      <c r="H688" t="str" cm="1">
        <f t="array" ref="H688">_xlfn.SWITCH(Sheet5!D688, 1, "Clear Sky", 2, "Mist", 3, "Dark Cloud",4,"Heavy Rainfall")</f>
        <v>Mist</v>
      </c>
      <c r="I688" s="26">
        <f>Sheet5!E688*41</f>
        <v>6.5600000000000005</v>
      </c>
      <c r="J688" s="27">
        <v>0.59</v>
      </c>
      <c r="K688">
        <v>0.1045</v>
      </c>
      <c r="L688">
        <v>0</v>
      </c>
      <c r="M688">
        <v>34</v>
      </c>
      <c r="N688">
        <v>34</v>
      </c>
    </row>
    <row r="689" spans="1:14" x14ac:dyDescent="0.3">
      <c r="A689">
        <v>688</v>
      </c>
      <c r="B689" s="21">
        <v>40574</v>
      </c>
      <c r="C689" s="25" t="s">
        <v>16</v>
      </c>
      <c r="D689" s="25" t="str" cm="1">
        <f t="array" ref="D689">_xlfn.SWITCH(Sheet5!A689,1,"JANUARY",2,"FEBRUARY")</f>
        <v>JANUARY</v>
      </c>
      <c r="E689">
        <v>23</v>
      </c>
      <c r="F689" t="str" cm="1">
        <f t="array" ref="F689">_xlfn.SWITCH(Sheet5!C689,FALSE,"NO",TRUE,"YES")</f>
        <v>NO</v>
      </c>
      <c r="G689" t="str" cm="1">
        <f t="array" ref="G689">_xlfn.SWITCH(Sheet5!B689,0,"Sunday",1,"Monday",2,"Tuesday",3,"Wednesday",4,"Thursday",5,"Friday",6,"Saturday")</f>
        <v>Monday</v>
      </c>
      <c r="H689" t="str" cm="1">
        <f t="array" ref="H689">_xlfn.SWITCH(Sheet5!D689, 1, "Clear Sky", 2, "Mist", 3, "Dark Cloud",4,"Heavy Rainfall")</f>
        <v>Mist</v>
      </c>
      <c r="I689" s="26">
        <f>Sheet5!E689*41</f>
        <v>6.5600000000000005</v>
      </c>
      <c r="J689" s="27">
        <v>0.64</v>
      </c>
      <c r="K689">
        <v>8.9599999999999999E-2</v>
      </c>
      <c r="L689">
        <v>2</v>
      </c>
      <c r="M689">
        <v>15</v>
      </c>
      <c r="N689">
        <v>17</v>
      </c>
    </row>
    <row r="690" spans="1:14" x14ac:dyDescent="0.3">
      <c r="A690">
        <v>689</v>
      </c>
      <c r="B690" s="21">
        <v>40575</v>
      </c>
      <c r="C690" s="25" t="s">
        <v>16</v>
      </c>
      <c r="D690" s="25" t="str" cm="1">
        <f t="array" ref="D690">_xlfn.SWITCH(Sheet5!A690,1,"JANUARY",2,"FEBRUARY")</f>
        <v>FEBRUARY</v>
      </c>
      <c r="E690">
        <v>0</v>
      </c>
      <c r="F690" t="str" cm="1">
        <f t="array" ref="F690">_xlfn.SWITCH(Sheet5!C690,FALSE,"NO",TRUE,"YES")</f>
        <v>NO</v>
      </c>
      <c r="G690" t="str" cm="1">
        <f t="array" ref="G690">_xlfn.SWITCH(Sheet5!B690,0,"Sunday",1,"Monday",2,"Tuesday",3,"Wednesday",4,"Thursday",5,"Friday",6,"Saturday")</f>
        <v>Tuesday</v>
      </c>
      <c r="H690" t="str" cm="1">
        <f t="array" ref="H690">_xlfn.SWITCH(Sheet5!D690, 1, "Clear Sky", 2, "Mist", 3, "Dark Cloud",4,"Heavy Rainfall")</f>
        <v>Mist</v>
      </c>
      <c r="I690" s="26">
        <f>Sheet5!E690*41</f>
        <v>6.5600000000000005</v>
      </c>
      <c r="J690" s="27">
        <v>0.64</v>
      </c>
      <c r="K690">
        <v>0.1045</v>
      </c>
      <c r="L690">
        <v>2</v>
      </c>
      <c r="M690">
        <v>6</v>
      </c>
      <c r="N690">
        <v>8</v>
      </c>
    </row>
    <row r="691" spans="1:14" x14ac:dyDescent="0.3">
      <c r="A691">
        <v>690</v>
      </c>
      <c r="B691" s="21">
        <v>40575</v>
      </c>
      <c r="C691" s="25" t="s">
        <v>16</v>
      </c>
      <c r="D691" s="25" t="str" cm="1">
        <f t="array" ref="D691">_xlfn.SWITCH(Sheet5!A691,1,"JANUARY",2,"FEBRUARY")</f>
        <v>FEBRUARY</v>
      </c>
      <c r="E691">
        <v>1</v>
      </c>
      <c r="F691" t="str" cm="1">
        <f t="array" ref="F691">_xlfn.SWITCH(Sheet5!C691,FALSE,"NO",TRUE,"YES")</f>
        <v>NO</v>
      </c>
      <c r="G691" t="str" cm="1">
        <f t="array" ref="G691">_xlfn.SWITCH(Sheet5!B691,0,"Sunday",1,"Monday",2,"Tuesday",3,"Wednesday",4,"Thursday",5,"Friday",6,"Saturday")</f>
        <v>Tuesday</v>
      </c>
      <c r="H691" t="str" cm="1">
        <f t="array" ref="H691">_xlfn.SWITCH(Sheet5!D691, 1, "Clear Sky", 2, "Mist", 3, "Dark Cloud",4,"Heavy Rainfall")</f>
        <v>Mist</v>
      </c>
      <c r="I691" s="26">
        <f>Sheet5!E691*41</f>
        <v>6.5600000000000005</v>
      </c>
      <c r="J691" s="27">
        <v>0.69</v>
      </c>
      <c r="K691">
        <v>0.1045</v>
      </c>
      <c r="L691">
        <v>0</v>
      </c>
      <c r="M691">
        <v>3</v>
      </c>
      <c r="N691">
        <v>3</v>
      </c>
    </row>
    <row r="692" spans="1:14" x14ac:dyDescent="0.3">
      <c r="A692">
        <v>691</v>
      </c>
      <c r="B692" s="21">
        <v>40575</v>
      </c>
      <c r="C692" s="25" t="s">
        <v>16</v>
      </c>
      <c r="D692" s="25" t="str" cm="1">
        <f t="array" ref="D692">_xlfn.SWITCH(Sheet5!A692,1,"JANUARY",2,"FEBRUARY")</f>
        <v>FEBRUARY</v>
      </c>
      <c r="E692">
        <v>2</v>
      </c>
      <c r="F692" t="str" cm="1">
        <f t="array" ref="F692">_xlfn.SWITCH(Sheet5!C692,FALSE,"NO",TRUE,"YES")</f>
        <v>NO</v>
      </c>
      <c r="G692" t="str" cm="1">
        <f t="array" ref="G692">_xlfn.SWITCH(Sheet5!B692,0,"Sunday",1,"Monday",2,"Tuesday",3,"Wednesday",4,"Thursday",5,"Friday",6,"Saturday")</f>
        <v>Tuesday</v>
      </c>
      <c r="H692" t="str" cm="1">
        <f t="array" ref="H692">_xlfn.SWITCH(Sheet5!D692, 1, "Clear Sky", 2, "Mist", 3, "Dark Cloud",4,"Heavy Rainfall")</f>
        <v>Mist</v>
      </c>
      <c r="I692" s="26">
        <f>Sheet5!E692*41</f>
        <v>6.5600000000000005</v>
      </c>
      <c r="J692" s="27">
        <v>0.69</v>
      </c>
      <c r="K692">
        <v>0</v>
      </c>
      <c r="L692">
        <v>0</v>
      </c>
      <c r="M692">
        <v>2</v>
      </c>
      <c r="N692">
        <v>2</v>
      </c>
    </row>
    <row r="693" spans="1:14" x14ac:dyDescent="0.3">
      <c r="A693">
        <v>692</v>
      </c>
      <c r="B693" s="21">
        <v>40575</v>
      </c>
      <c r="C693" s="25" t="s">
        <v>16</v>
      </c>
      <c r="D693" s="25" t="str" cm="1">
        <f t="array" ref="D693">_xlfn.SWITCH(Sheet5!A693,1,"JANUARY",2,"FEBRUARY")</f>
        <v>FEBRUARY</v>
      </c>
      <c r="E693">
        <v>3</v>
      </c>
      <c r="F693" t="str" cm="1">
        <f t="array" ref="F693">_xlfn.SWITCH(Sheet5!C693,FALSE,"NO",TRUE,"YES")</f>
        <v>NO</v>
      </c>
      <c r="G693" t="str" cm="1">
        <f t="array" ref="G693">_xlfn.SWITCH(Sheet5!B693,0,"Sunday",1,"Monday",2,"Tuesday",3,"Wednesday",4,"Thursday",5,"Friday",6,"Saturday")</f>
        <v>Tuesday</v>
      </c>
      <c r="H693" t="str" cm="1">
        <f t="array" ref="H693">_xlfn.SWITCH(Sheet5!D693, 1, "Clear Sky", 2, "Mist", 3, "Dark Cloud",4,"Heavy Rainfall")</f>
        <v>Mist</v>
      </c>
      <c r="I693" s="26">
        <f>Sheet5!E693*41</f>
        <v>6.5600000000000005</v>
      </c>
      <c r="J693" s="27">
        <v>0.69</v>
      </c>
      <c r="K693">
        <v>0</v>
      </c>
      <c r="L693">
        <v>0</v>
      </c>
      <c r="M693">
        <v>2</v>
      </c>
      <c r="N693">
        <v>2</v>
      </c>
    </row>
    <row r="694" spans="1:14" x14ac:dyDescent="0.3">
      <c r="A694">
        <v>693</v>
      </c>
      <c r="B694" s="21">
        <v>40575</v>
      </c>
      <c r="C694" s="25" t="s">
        <v>16</v>
      </c>
      <c r="D694" s="25" t="str" cm="1">
        <f t="array" ref="D694">_xlfn.SWITCH(Sheet5!A694,1,"JANUARY",2,"FEBRUARY")</f>
        <v>FEBRUARY</v>
      </c>
      <c r="E694">
        <v>5</v>
      </c>
      <c r="F694" t="str" cm="1">
        <f t="array" ref="F694">_xlfn.SWITCH(Sheet5!C694,FALSE,"NO",TRUE,"YES")</f>
        <v>NO</v>
      </c>
      <c r="G694" t="str" cm="1">
        <f t="array" ref="G694">_xlfn.SWITCH(Sheet5!B694,0,"Sunday",1,"Monday",2,"Tuesday",3,"Wednesday",4,"Thursday",5,"Friday",6,"Saturday")</f>
        <v>Tuesday</v>
      </c>
      <c r="H694" t="str" cm="1">
        <f t="array" ref="H694">_xlfn.SWITCH(Sheet5!D694, 1, "Clear Sky", 2, "Mist", 3, "Dark Cloud",4,"Heavy Rainfall")</f>
        <v>Dark Cloud</v>
      </c>
      <c r="I694" s="26">
        <f>Sheet5!E694*41</f>
        <v>5.74</v>
      </c>
      <c r="J694" s="27">
        <v>0.93</v>
      </c>
      <c r="K694">
        <v>0</v>
      </c>
      <c r="L694">
        <v>0</v>
      </c>
      <c r="M694">
        <v>3</v>
      </c>
      <c r="N694">
        <v>3</v>
      </c>
    </row>
    <row r="695" spans="1:14" x14ac:dyDescent="0.3">
      <c r="A695">
        <v>694</v>
      </c>
      <c r="B695" s="21">
        <v>40575</v>
      </c>
      <c r="C695" s="25" t="s">
        <v>16</v>
      </c>
      <c r="D695" s="25" t="str" cm="1">
        <f t="array" ref="D695">_xlfn.SWITCH(Sheet5!A695,1,"JANUARY",2,"FEBRUARY")</f>
        <v>FEBRUARY</v>
      </c>
      <c r="E695">
        <v>6</v>
      </c>
      <c r="F695" t="str" cm="1">
        <f t="array" ref="F695">_xlfn.SWITCH(Sheet5!C695,FALSE,"NO",TRUE,"YES")</f>
        <v>NO</v>
      </c>
      <c r="G695" t="str" cm="1">
        <f t="array" ref="G695">_xlfn.SWITCH(Sheet5!B695,0,"Sunday",1,"Monday",2,"Tuesday",3,"Wednesday",4,"Thursday",5,"Friday",6,"Saturday")</f>
        <v>Tuesday</v>
      </c>
      <c r="H695" t="str" cm="1">
        <f t="array" ref="H695">_xlfn.SWITCH(Sheet5!D695, 1, "Clear Sky", 2, "Mist", 3, "Dark Cloud",4,"Heavy Rainfall")</f>
        <v>Dark Cloud</v>
      </c>
      <c r="I695" s="26">
        <f>Sheet5!E695*41</f>
        <v>5.74</v>
      </c>
      <c r="J695" s="27">
        <v>0.93</v>
      </c>
      <c r="K695">
        <v>0</v>
      </c>
      <c r="L695">
        <v>0</v>
      </c>
      <c r="M695">
        <v>22</v>
      </c>
      <c r="N695">
        <v>22</v>
      </c>
    </row>
    <row r="696" spans="1:14" x14ac:dyDescent="0.3">
      <c r="A696">
        <v>695</v>
      </c>
      <c r="B696" s="21">
        <v>40575</v>
      </c>
      <c r="C696" s="25" t="s">
        <v>16</v>
      </c>
      <c r="D696" s="25" t="str" cm="1">
        <f t="array" ref="D696">_xlfn.SWITCH(Sheet5!A696,1,"JANUARY",2,"FEBRUARY")</f>
        <v>FEBRUARY</v>
      </c>
      <c r="E696">
        <v>7</v>
      </c>
      <c r="F696" t="str" cm="1">
        <f t="array" ref="F696">_xlfn.SWITCH(Sheet5!C696,FALSE,"NO",TRUE,"YES")</f>
        <v>NO</v>
      </c>
      <c r="G696" t="str" cm="1">
        <f t="array" ref="G696">_xlfn.SWITCH(Sheet5!B696,0,"Sunday",1,"Monday",2,"Tuesday",3,"Wednesday",4,"Thursday",5,"Friday",6,"Saturday")</f>
        <v>Tuesday</v>
      </c>
      <c r="H696" t="str" cm="1">
        <f t="array" ref="H696">_xlfn.SWITCH(Sheet5!D696, 1, "Clear Sky", 2, "Mist", 3, "Dark Cloud",4,"Heavy Rainfall")</f>
        <v>Dark Cloud</v>
      </c>
      <c r="I696" s="26">
        <f>Sheet5!E696*41</f>
        <v>6.5600000000000005</v>
      </c>
      <c r="J696" s="27">
        <v>0.93</v>
      </c>
      <c r="K696">
        <v>0</v>
      </c>
      <c r="L696">
        <v>0</v>
      </c>
      <c r="M696">
        <v>52</v>
      </c>
      <c r="N696">
        <v>52</v>
      </c>
    </row>
    <row r="697" spans="1:14" x14ac:dyDescent="0.3">
      <c r="A697">
        <v>696</v>
      </c>
      <c r="B697" s="21">
        <v>40575</v>
      </c>
      <c r="C697" s="25" t="s">
        <v>16</v>
      </c>
      <c r="D697" s="25" t="str" cm="1">
        <f t="array" ref="D697">_xlfn.SWITCH(Sheet5!A697,1,"JANUARY",2,"FEBRUARY")</f>
        <v>FEBRUARY</v>
      </c>
      <c r="E697">
        <v>8</v>
      </c>
      <c r="F697" t="str" cm="1">
        <f t="array" ref="F697">_xlfn.SWITCH(Sheet5!C697,FALSE,"NO",TRUE,"YES")</f>
        <v>NO</v>
      </c>
      <c r="G697" t="str" cm="1">
        <f t="array" ref="G697">_xlfn.SWITCH(Sheet5!B697,0,"Sunday",1,"Monday",2,"Tuesday",3,"Wednesday",4,"Thursday",5,"Friday",6,"Saturday")</f>
        <v>Tuesday</v>
      </c>
      <c r="H697" t="str" cm="1">
        <f t="array" ref="H697">_xlfn.SWITCH(Sheet5!D697, 1, "Clear Sky", 2, "Mist", 3, "Dark Cloud",4,"Heavy Rainfall")</f>
        <v>Dark Cloud</v>
      </c>
      <c r="I697" s="26">
        <f>Sheet5!E697*41</f>
        <v>6.5600000000000005</v>
      </c>
      <c r="J697" s="27">
        <v>0.93</v>
      </c>
      <c r="K697">
        <v>0</v>
      </c>
      <c r="L697">
        <v>3</v>
      </c>
      <c r="M697">
        <v>132</v>
      </c>
      <c r="N697">
        <v>135</v>
      </c>
    </row>
    <row r="698" spans="1:14" x14ac:dyDescent="0.3">
      <c r="A698">
        <v>697</v>
      </c>
      <c r="B698" s="21">
        <v>40575</v>
      </c>
      <c r="C698" s="25" t="s">
        <v>16</v>
      </c>
      <c r="D698" s="25" t="str" cm="1">
        <f t="array" ref="D698">_xlfn.SWITCH(Sheet5!A698,1,"JANUARY",2,"FEBRUARY")</f>
        <v>FEBRUARY</v>
      </c>
      <c r="E698">
        <v>9</v>
      </c>
      <c r="F698" t="str" cm="1">
        <f t="array" ref="F698">_xlfn.SWITCH(Sheet5!C698,FALSE,"NO",TRUE,"YES")</f>
        <v>NO</v>
      </c>
      <c r="G698" t="str" cm="1">
        <f t="array" ref="G698">_xlfn.SWITCH(Sheet5!B698,0,"Sunday",1,"Monday",2,"Tuesday",3,"Wednesday",4,"Thursday",5,"Friday",6,"Saturday")</f>
        <v>Tuesday</v>
      </c>
      <c r="H698" t="str" cm="1">
        <f t="array" ref="H698">_xlfn.SWITCH(Sheet5!D698, 1, "Clear Sky", 2, "Mist", 3, "Dark Cloud",4,"Heavy Rainfall")</f>
        <v>Mist</v>
      </c>
      <c r="I698" s="26">
        <f>Sheet5!E698*41</f>
        <v>6.5600000000000005</v>
      </c>
      <c r="J698" s="27">
        <v>0.93</v>
      </c>
      <c r="K698">
        <v>0</v>
      </c>
      <c r="L698">
        <v>2</v>
      </c>
      <c r="M698">
        <v>114</v>
      </c>
      <c r="N698">
        <v>116</v>
      </c>
    </row>
    <row r="699" spans="1:14" x14ac:dyDescent="0.3">
      <c r="A699">
        <v>698</v>
      </c>
      <c r="B699" s="21">
        <v>40575</v>
      </c>
      <c r="C699" s="25" t="s">
        <v>16</v>
      </c>
      <c r="D699" s="25" t="str" cm="1">
        <f t="array" ref="D699">_xlfn.SWITCH(Sheet5!A699,1,"JANUARY",2,"FEBRUARY")</f>
        <v>FEBRUARY</v>
      </c>
      <c r="E699">
        <v>10</v>
      </c>
      <c r="F699" t="str" cm="1">
        <f t="array" ref="F699">_xlfn.SWITCH(Sheet5!C699,FALSE,"NO",TRUE,"YES")</f>
        <v>NO</v>
      </c>
      <c r="G699" t="str" cm="1">
        <f t="array" ref="G699">_xlfn.SWITCH(Sheet5!B699,0,"Sunday",1,"Monday",2,"Tuesday",3,"Wednesday",4,"Thursday",5,"Friday",6,"Saturday")</f>
        <v>Tuesday</v>
      </c>
      <c r="H699" t="str" cm="1">
        <f t="array" ref="H699">_xlfn.SWITCH(Sheet5!D699, 1, "Clear Sky", 2, "Mist", 3, "Dark Cloud",4,"Heavy Rainfall")</f>
        <v>Mist</v>
      </c>
      <c r="I699" s="26">
        <f>Sheet5!E699*41</f>
        <v>6.5600000000000005</v>
      </c>
      <c r="J699" s="27">
        <v>0.93</v>
      </c>
      <c r="K699">
        <v>0</v>
      </c>
      <c r="L699">
        <v>0</v>
      </c>
      <c r="M699">
        <v>47</v>
      </c>
      <c r="N699">
        <v>47</v>
      </c>
    </row>
    <row r="700" spans="1:14" x14ac:dyDescent="0.3">
      <c r="A700">
        <v>699</v>
      </c>
      <c r="B700" s="21">
        <v>40575</v>
      </c>
      <c r="C700" s="25" t="s">
        <v>16</v>
      </c>
      <c r="D700" s="25" t="str" cm="1">
        <f t="array" ref="D700">_xlfn.SWITCH(Sheet5!A700,1,"JANUARY",2,"FEBRUARY")</f>
        <v>FEBRUARY</v>
      </c>
      <c r="E700">
        <v>11</v>
      </c>
      <c r="F700" t="str" cm="1">
        <f t="array" ref="F700">_xlfn.SWITCH(Sheet5!C700,FALSE,"NO",TRUE,"YES")</f>
        <v>NO</v>
      </c>
      <c r="G700" t="str" cm="1">
        <f t="array" ref="G700">_xlfn.SWITCH(Sheet5!B700,0,"Sunday",1,"Monday",2,"Tuesday",3,"Wednesday",4,"Thursday",5,"Friday",6,"Saturday")</f>
        <v>Tuesday</v>
      </c>
      <c r="H700" t="str" cm="1">
        <f t="array" ref="H700">_xlfn.SWITCH(Sheet5!D700, 1, "Clear Sky", 2, "Mist", 3, "Dark Cloud",4,"Heavy Rainfall")</f>
        <v>Mist</v>
      </c>
      <c r="I700" s="26">
        <f>Sheet5!E700*41</f>
        <v>7.38</v>
      </c>
      <c r="J700" s="27">
        <v>0.86</v>
      </c>
      <c r="K700">
        <v>0</v>
      </c>
      <c r="L700">
        <v>2</v>
      </c>
      <c r="M700">
        <v>49</v>
      </c>
      <c r="N700">
        <v>51</v>
      </c>
    </row>
    <row r="701" spans="1:14" x14ac:dyDescent="0.3">
      <c r="A701">
        <v>700</v>
      </c>
      <c r="B701" s="21">
        <v>40575</v>
      </c>
      <c r="C701" s="25" t="s">
        <v>16</v>
      </c>
      <c r="D701" s="25" t="str" cm="1">
        <f t="array" ref="D701">_xlfn.SWITCH(Sheet5!A701,1,"JANUARY",2,"FEBRUARY")</f>
        <v>FEBRUARY</v>
      </c>
      <c r="E701">
        <v>12</v>
      </c>
      <c r="F701" t="str" cm="1">
        <f t="array" ref="F701">_xlfn.SWITCH(Sheet5!C701,FALSE,"NO",TRUE,"YES")</f>
        <v>NO</v>
      </c>
      <c r="G701" t="str" cm="1">
        <f t="array" ref="G701">_xlfn.SWITCH(Sheet5!B701,0,"Sunday",1,"Monday",2,"Tuesday",3,"Wednesday",4,"Thursday",5,"Friday",6,"Saturday")</f>
        <v>Tuesday</v>
      </c>
      <c r="H701" t="str" cm="1">
        <f t="array" ref="H701">_xlfn.SWITCH(Sheet5!D701, 1, "Clear Sky", 2, "Mist", 3, "Dark Cloud",4,"Heavy Rainfall")</f>
        <v>Mist</v>
      </c>
      <c r="I701" s="26">
        <f>Sheet5!E701*41</f>
        <v>8.2000000000000011</v>
      </c>
      <c r="J701" s="27">
        <v>0.86</v>
      </c>
      <c r="K701">
        <v>0</v>
      </c>
      <c r="L701">
        <v>2</v>
      </c>
      <c r="M701">
        <v>53</v>
      </c>
      <c r="N701">
        <v>55</v>
      </c>
    </row>
    <row r="702" spans="1:14" x14ac:dyDescent="0.3">
      <c r="A702">
        <v>701</v>
      </c>
      <c r="B702" s="21">
        <v>40575</v>
      </c>
      <c r="C702" s="25" t="s">
        <v>16</v>
      </c>
      <c r="D702" s="25" t="str" cm="1">
        <f t="array" ref="D702">_xlfn.SWITCH(Sheet5!A702,1,"JANUARY",2,"FEBRUARY")</f>
        <v>FEBRUARY</v>
      </c>
      <c r="E702">
        <v>13</v>
      </c>
      <c r="F702" t="str" cm="1">
        <f t="array" ref="F702">_xlfn.SWITCH(Sheet5!C702,FALSE,"NO",TRUE,"YES")</f>
        <v>NO</v>
      </c>
      <c r="G702" t="str" cm="1">
        <f t="array" ref="G702">_xlfn.SWITCH(Sheet5!B702,0,"Sunday",1,"Monday",2,"Tuesday",3,"Wednesday",4,"Thursday",5,"Friday",6,"Saturday")</f>
        <v>Tuesday</v>
      </c>
      <c r="H702" t="str" cm="1">
        <f t="array" ref="H702">_xlfn.SWITCH(Sheet5!D702, 1, "Clear Sky", 2, "Mist", 3, "Dark Cloud",4,"Heavy Rainfall")</f>
        <v>Mist</v>
      </c>
      <c r="I702" s="26">
        <f>Sheet5!E702*41</f>
        <v>8.2000000000000011</v>
      </c>
      <c r="J702" s="27">
        <v>0.86</v>
      </c>
      <c r="K702">
        <v>0</v>
      </c>
      <c r="L702">
        <v>3</v>
      </c>
      <c r="M702">
        <v>49</v>
      </c>
      <c r="N702">
        <v>52</v>
      </c>
    </row>
    <row r="703" spans="1:14" x14ac:dyDescent="0.3">
      <c r="A703">
        <v>702</v>
      </c>
      <c r="B703" s="21">
        <v>40575</v>
      </c>
      <c r="C703" s="25" t="s">
        <v>16</v>
      </c>
      <c r="D703" s="25" t="str" cm="1">
        <f t="array" ref="D703">_xlfn.SWITCH(Sheet5!A703,1,"JANUARY",2,"FEBRUARY")</f>
        <v>FEBRUARY</v>
      </c>
      <c r="E703">
        <v>14</v>
      </c>
      <c r="F703" t="str" cm="1">
        <f t="array" ref="F703">_xlfn.SWITCH(Sheet5!C703,FALSE,"NO",TRUE,"YES")</f>
        <v>NO</v>
      </c>
      <c r="G703" t="str" cm="1">
        <f t="array" ref="G703">_xlfn.SWITCH(Sheet5!B703,0,"Sunday",1,"Monday",2,"Tuesday",3,"Wednesday",4,"Thursday",5,"Friday",6,"Saturday")</f>
        <v>Tuesday</v>
      </c>
      <c r="H703" t="str" cm="1">
        <f t="array" ref="H703">_xlfn.SWITCH(Sheet5!D703, 1, "Clear Sky", 2, "Mist", 3, "Dark Cloud",4,"Heavy Rainfall")</f>
        <v>Mist</v>
      </c>
      <c r="I703" s="26">
        <f>Sheet5!E703*41</f>
        <v>9.02</v>
      </c>
      <c r="J703" s="27">
        <v>0.8</v>
      </c>
      <c r="K703">
        <v>8.9599999999999999E-2</v>
      </c>
      <c r="L703">
        <v>5</v>
      </c>
      <c r="M703">
        <v>49</v>
      </c>
      <c r="N703">
        <v>54</v>
      </c>
    </row>
    <row r="704" spans="1:14" x14ac:dyDescent="0.3">
      <c r="A704">
        <v>703</v>
      </c>
      <c r="B704" s="21">
        <v>40575</v>
      </c>
      <c r="C704" s="25" t="s">
        <v>16</v>
      </c>
      <c r="D704" s="25" t="str" cm="1">
        <f t="array" ref="D704">_xlfn.SWITCH(Sheet5!A704,1,"JANUARY",2,"FEBRUARY")</f>
        <v>FEBRUARY</v>
      </c>
      <c r="E704">
        <v>15</v>
      </c>
      <c r="F704" t="str" cm="1">
        <f t="array" ref="F704">_xlfn.SWITCH(Sheet5!C704,FALSE,"NO",TRUE,"YES")</f>
        <v>NO</v>
      </c>
      <c r="G704" t="str" cm="1">
        <f t="array" ref="G704">_xlfn.SWITCH(Sheet5!B704,0,"Sunday",1,"Monday",2,"Tuesday",3,"Wednesday",4,"Thursday",5,"Friday",6,"Saturday")</f>
        <v>Tuesday</v>
      </c>
      <c r="H704" t="str" cm="1">
        <f t="array" ref="H704">_xlfn.SWITCH(Sheet5!D704, 1, "Clear Sky", 2, "Mist", 3, "Dark Cloud",4,"Heavy Rainfall")</f>
        <v>Mist</v>
      </c>
      <c r="I704" s="26">
        <f>Sheet5!E704*41</f>
        <v>9.84</v>
      </c>
      <c r="J704" s="27">
        <v>0.75</v>
      </c>
      <c r="K704">
        <v>0</v>
      </c>
      <c r="L704">
        <v>7</v>
      </c>
      <c r="M704">
        <v>45</v>
      </c>
      <c r="N704">
        <v>52</v>
      </c>
    </row>
    <row r="705" spans="1:14" x14ac:dyDescent="0.3">
      <c r="A705">
        <v>704</v>
      </c>
      <c r="B705" s="21">
        <v>40575</v>
      </c>
      <c r="C705" s="25" t="s">
        <v>16</v>
      </c>
      <c r="D705" s="25" t="str" cm="1">
        <f t="array" ref="D705">_xlfn.SWITCH(Sheet5!A705,1,"JANUARY",2,"FEBRUARY")</f>
        <v>FEBRUARY</v>
      </c>
      <c r="E705">
        <v>16</v>
      </c>
      <c r="F705" t="str" cm="1">
        <f t="array" ref="F705">_xlfn.SWITCH(Sheet5!C705,FALSE,"NO",TRUE,"YES")</f>
        <v>NO</v>
      </c>
      <c r="G705" t="str" cm="1">
        <f t="array" ref="G705">_xlfn.SWITCH(Sheet5!B705,0,"Sunday",1,"Monday",2,"Tuesday",3,"Wednesday",4,"Thursday",5,"Friday",6,"Saturday")</f>
        <v>Tuesday</v>
      </c>
      <c r="H705" t="str" cm="1">
        <f t="array" ref="H705">_xlfn.SWITCH(Sheet5!D705, 1, "Clear Sky", 2, "Mist", 3, "Dark Cloud",4,"Heavy Rainfall")</f>
        <v>Mist</v>
      </c>
      <c r="I705" s="26">
        <f>Sheet5!E705*41</f>
        <v>9.84</v>
      </c>
      <c r="J705" s="27">
        <v>0.75</v>
      </c>
      <c r="K705">
        <v>0.1343</v>
      </c>
      <c r="L705">
        <v>3</v>
      </c>
      <c r="M705">
        <v>61</v>
      </c>
      <c r="N705">
        <v>64</v>
      </c>
    </row>
    <row r="706" spans="1:14" x14ac:dyDescent="0.3">
      <c r="A706">
        <v>705</v>
      </c>
      <c r="B706" s="21">
        <v>40575</v>
      </c>
      <c r="C706" s="25" t="s">
        <v>16</v>
      </c>
      <c r="D706" s="25" t="str" cm="1">
        <f t="array" ref="D706">_xlfn.SWITCH(Sheet5!A706,1,"JANUARY",2,"FEBRUARY")</f>
        <v>FEBRUARY</v>
      </c>
      <c r="E706">
        <v>17</v>
      </c>
      <c r="F706" t="str" cm="1">
        <f t="array" ref="F706">_xlfn.SWITCH(Sheet5!C706,FALSE,"NO",TRUE,"YES")</f>
        <v>NO</v>
      </c>
      <c r="G706" t="str" cm="1">
        <f t="array" ref="G706">_xlfn.SWITCH(Sheet5!B706,0,"Sunday",1,"Monday",2,"Tuesday",3,"Wednesday",4,"Thursday",5,"Friday",6,"Saturday")</f>
        <v>Tuesday</v>
      </c>
      <c r="H706" t="str" cm="1">
        <f t="array" ref="H706">_xlfn.SWITCH(Sheet5!D706, 1, "Clear Sky", 2, "Mist", 3, "Dark Cloud",4,"Heavy Rainfall")</f>
        <v>Mist</v>
      </c>
      <c r="I706" s="26">
        <f>Sheet5!E706*41</f>
        <v>9.84</v>
      </c>
      <c r="J706" s="27">
        <v>0.75</v>
      </c>
      <c r="K706">
        <v>0</v>
      </c>
      <c r="L706">
        <v>4</v>
      </c>
      <c r="M706">
        <v>172</v>
      </c>
      <c r="N706">
        <v>176</v>
      </c>
    </row>
    <row r="707" spans="1:14" x14ac:dyDescent="0.3">
      <c r="A707">
        <v>706</v>
      </c>
      <c r="B707" s="21">
        <v>40575</v>
      </c>
      <c r="C707" s="25" t="s">
        <v>16</v>
      </c>
      <c r="D707" s="25" t="str" cm="1">
        <f t="array" ref="D707">_xlfn.SWITCH(Sheet5!A707,1,"JANUARY",2,"FEBRUARY")</f>
        <v>FEBRUARY</v>
      </c>
      <c r="E707">
        <v>18</v>
      </c>
      <c r="F707" t="str" cm="1">
        <f t="array" ref="F707">_xlfn.SWITCH(Sheet5!C707,FALSE,"NO",TRUE,"YES")</f>
        <v>NO</v>
      </c>
      <c r="G707" t="str" cm="1">
        <f t="array" ref="G707">_xlfn.SWITCH(Sheet5!B707,0,"Sunday",1,"Monday",2,"Tuesday",3,"Wednesday",4,"Thursday",5,"Friday",6,"Saturday")</f>
        <v>Tuesday</v>
      </c>
      <c r="H707" t="str" cm="1">
        <f t="array" ref="H707">_xlfn.SWITCH(Sheet5!D707, 1, "Clear Sky", 2, "Mist", 3, "Dark Cloud",4,"Heavy Rainfall")</f>
        <v>Mist</v>
      </c>
      <c r="I707" s="26">
        <f>Sheet5!E707*41</f>
        <v>9.84</v>
      </c>
      <c r="J707" s="27">
        <v>0.81</v>
      </c>
      <c r="K707">
        <v>0.1045</v>
      </c>
      <c r="L707">
        <v>3</v>
      </c>
      <c r="M707">
        <v>165</v>
      </c>
      <c r="N707">
        <v>168</v>
      </c>
    </row>
    <row r="708" spans="1:14" x14ac:dyDescent="0.3">
      <c r="A708">
        <v>707</v>
      </c>
      <c r="B708" s="21">
        <v>40575</v>
      </c>
      <c r="C708" s="25" t="s">
        <v>16</v>
      </c>
      <c r="D708" s="25" t="str" cm="1">
        <f t="array" ref="D708">_xlfn.SWITCH(Sheet5!A708,1,"JANUARY",2,"FEBRUARY")</f>
        <v>FEBRUARY</v>
      </c>
      <c r="E708">
        <v>19</v>
      </c>
      <c r="F708" t="str" cm="1">
        <f t="array" ref="F708">_xlfn.SWITCH(Sheet5!C708,FALSE,"NO",TRUE,"YES")</f>
        <v>NO</v>
      </c>
      <c r="G708" t="str" cm="1">
        <f t="array" ref="G708">_xlfn.SWITCH(Sheet5!B708,0,"Sunday",1,"Monday",2,"Tuesday",3,"Wednesday",4,"Thursday",5,"Friday",6,"Saturday")</f>
        <v>Tuesday</v>
      </c>
      <c r="H708" t="str" cm="1">
        <f t="array" ref="H708">_xlfn.SWITCH(Sheet5!D708, 1, "Clear Sky", 2, "Mist", 3, "Dark Cloud",4,"Heavy Rainfall")</f>
        <v>Mist</v>
      </c>
      <c r="I708" s="26">
        <f>Sheet5!E708*41</f>
        <v>9.84</v>
      </c>
      <c r="J708" s="27">
        <v>0.81</v>
      </c>
      <c r="K708">
        <v>0.1343</v>
      </c>
      <c r="L708">
        <v>3</v>
      </c>
      <c r="M708">
        <v>105</v>
      </c>
      <c r="N708">
        <v>108</v>
      </c>
    </row>
    <row r="709" spans="1:14" x14ac:dyDescent="0.3">
      <c r="A709">
        <v>708</v>
      </c>
      <c r="B709" s="21">
        <v>40575</v>
      </c>
      <c r="C709" s="25" t="s">
        <v>16</v>
      </c>
      <c r="D709" s="25" t="str" cm="1">
        <f t="array" ref="D709">_xlfn.SWITCH(Sheet5!A709,1,"JANUARY",2,"FEBRUARY")</f>
        <v>FEBRUARY</v>
      </c>
      <c r="E709">
        <v>20</v>
      </c>
      <c r="F709" t="str" cm="1">
        <f t="array" ref="F709">_xlfn.SWITCH(Sheet5!C709,FALSE,"NO",TRUE,"YES")</f>
        <v>NO</v>
      </c>
      <c r="G709" t="str" cm="1">
        <f t="array" ref="G709">_xlfn.SWITCH(Sheet5!B709,0,"Sunday",1,"Monday",2,"Tuesday",3,"Wednesday",4,"Thursday",5,"Friday",6,"Saturday")</f>
        <v>Tuesday</v>
      </c>
      <c r="H709" t="str" cm="1">
        <f t="array" ref="H709">_xlfn.SWITCH(Sheet5!D709, 1, "Clear Sky", 2, "Mist", 3, "Dark Cloud",4,"Heavy Rainfall")</f>
        <v>Mist</v>
      </c>
      <c r="I709" s="26">
        <f>Sheet5!E709*41</f>
        <v>9.02</v>
      </c>
      <c r="J709" s="27">
        <v>0.87</v>
      </c>
      <c r="K709">
        <v>0.1343</v>
      </c>
      <c r="L709">
        <v>5</v>
      </c>
      <c r="M709">
        <v>69</v>
      </c>
      <c r="N709">
        <v>74</v>
      </c>
    </row>
    <row r="710" spans="1:14" x14ac:dyDescent="0.3">
      <c r="A710">
        <v>709</v>
      </c>
      <c r="B710" s="21">
        <v>40575</v>
      </c>
      <c r="C710" s="25" t="s">
        <v>16</v>
      </c>
      <c r="D710" s="25" t="str" cm="1">
        <f t="array" ref="D710">_xlfn.SWITCH(Sheet5!A710,1,"JANUARY",2,"FEBRUARY")</f>
        <v>FEBRUARY</v>
      </c>
      <c r="E710">
        <v>21</v>
      </c>
      <c r="F710" t="str" cm="1">
        <f t="array" ref="F710">_xlfn.SWITCH(Sheet5!C710,FALSE,"NO",TRUE,"YES")</f>
        <v>NO</v>
      </c>
      <c r="G710" t="str" cm="1">
        <f t="array" ref="G710">_xlfn.SWITCH(Sheet5!B710,0,"Sunday",1,"Monday",2,"Tuesday",3,"Wednesday",4,"Thursday",5,"Friday",6,"Saturday")</f>
        <v>Tuesday</v>
      </c>
      <c r="H710" t="str" cm="1">
        <f t="array" ref="H710">_xlfn.SWITCH(Sheet5!D710, 1, "Clear Sky", 2, "Mist", 3, "Dark Cloud",4,"Heavy Rainfall")</f>
        <v>Mist</v>
      </c>
      <c r="I710" s="26">
        <f>Sheet5!E710*41</f>
        <v>9.02</v>
      </c>
      <c r="J710" s="27">
        <v>0.87</v>
      </c>
      <c r="K710">
        <v>0.1343</v>
      </c>
      <c r="L710">
        <v>0</v>
      </c>
      <c r="M710">
        <v>64</v>
      </c>
      <c r="N710">
        <v>64</v>
      </c>
    </row>
    <row r="711" spans="1:14" x14ac:dyDescent="0.3">
      <c r="A711">
        <v>710</v>
      </c>
      <c r="B711" s="21">
        <v>40575</v>
      </c>
      <c r="C711" s="25" t="s">
        <v>16</v>
      </c>
      <c r="D711" s="25" t="str" cm="1">
        <f t="array" ref="D711">_xlfn.SWITCH(Sheet5!A711,1,"JANUARY",2,"FEBRUARY")</f>
        <v>FEBRUARY</v>
      </c>
      <c r="E711">
        <v>22</v>
      </c>
      <c r="F711" t="str" cm="1">
        <f t="array" ref="F711">_xlfn.SWITCH(Sheet5!C711,FALSE,"NO",TRUE,"YES")</f>
        <v>NO</v>
      </c>
      <c r="G711" t="str" cm="1">
        <f t="array" ref="G711">_xlfn.SWITCH(Sheet5!B711,0,"Sunday",1,"Monday",2,"Tuesday",3,"Wednesday",4,"Thursday",5,"Friday",6,"Saturday")</f>
        <v>Tuesday</v>
      </c>
      <c r="H711" t="str" cm="1">
        <f t="array" ref="H711">_xlfn.SWITCH(Sheet5!D711, 1, "Clear Sky", 2, "Mist", 3, "Dark Cloud",4,"Heavy Rainfall")</f>
        <v>Mist</v>
      </c>
      <c r="I711" s="26">
        <f>Sheet5!E711*41</f>
        <v>9.02</v>
      </c>
      <c r="J711" s="27">
        <v>0.87</v>
      </c>
      <c r="K711">
        <v>8.9599999999999999E-2</v>
      </c>
      <c r="L711">
        <v>2</v>
      </c>
      <c r="M711">
        <v>34</v>
      </c>
      <c r="N711">
        <v>36</v>
      </c>
    </row>
    <row r="712" spans="1:14" x14ac:dyDescent="0.3">
      <c r="A712">
        <v>711</v>
      </c>
      <c r="B712" s="21">
        <v>40575</v>
      </c>
      <c r="C712" s="25" t="s">
        <v>16</v>
      </c>
      <c r="D712" s="25" t="str" cm="1">
        <f t="array" ref="D712">_xlfn.SWITCH(Sheet5!A712,1,"JANUARY",2,"FEBRUARY")</f>
        <v>FEBRUARY</v>
      </c>
      <c r="E712">
        <v>23</v>
      </c>
      <c r="F712" t="str" cm="1">
        <f t="array" ref="F712">_xlfn.SWITCH(Sheet5!C712,FALSE,"NO",TRUE,"YES")</f>
        <v>NO</v>
      </c>
      <c r="G712" t="str" cm="1">
        <f t="array" ref="G712">_xlfn.SWITCH(Sheet5!B712,0,"Sunday",1,"Monday",2,"Tuesday",3,"Wednesday",4,"Thursday",5,"Friday",6,"Saturday")</f>
        <v>Tuesday</v>
      </c>
      <c r="H712" t="str" cm="1">
        <f t="array" ref="H712">_xlfn.SWITCH(Sheet5!D712, 1, "Clear Sky", 2, "Mist", 3, "Dark Cloud",4,"Heavy Rainfall")</f>
        <v>Dark Cloud</v>
      </c>
      <c r="I712" s="26">
        <f>Sheet5!E712*41</f>
        <v>8.2000000000000011</v>
      </c>
      <c r="J712" s="27">
        <v>0.93</v>
      </c>
      <c r="K712">
        <v>0.19400000000000001</v>
      </c>
      <c r="L712">
        <v>1</v>
      </c>
      <c r="M712">
        <v>15</v>
      </c>
      <c r="N712">
        <v>16</v>
      </c>
    </row>
    <row r="713" spans="1:14" x14ac:dyDescent="0.3">
      <c r="A713">
        <v>712</v>
      </c>
      <c r="B713" s="21">
        <v>40576</v>
      </c>
      <c r="C713" s="25" t="s">
        <v>16</v>
      </c>
      <c r="D713" s="25" t="str" cm="1">
        <f t="array" ref="D713">_xlfn.SWITCH(Sheet5!A713,1,"JANUARY",2,"FEBRUARY")</f>
        <v>FEBRUARY</v>
      </c>
      <c r="E713">
        <v>0</v>
      </c>
      <c r="F713" t="str" cm="1">
        <f t="array" ref="F713">_xlfn.SWITCH(Sheet5!C713,FALSE,"NO",TRUE,"YES")</f>
        <v>NO</v>
      </c>
      <c r="G713" t="str" cm="1">
        <f t="array" ref="G713">_xlfn.SWITCH(Sheet5!B713,0,"Sunday",1,"Monday",2,"Tuesday",3,"Wednesday",4,"Thursday",5,"Friday",6,"Saturday")</f>
        <v>Wednesday</v>
      </c>
      <c r="H713" t="str" cm="1">
        <f t="array" ref="H713">_xlfn.SWITCH(Sheet5!D713, 1, "Clear Sky", 2, "Mist", 3, "Dark Cloud",4,"Heavy Rainfall")</f>
        <v>Dark Cloud</v>
      </c>
      <c r="I713" s="26">
        <f>Sheet5!E713*41</f>
        <v>9.02</v>
      </c>
      <c r="J713" s="27">
        <v>0.93</v>
      </c>
      <c r="K713">
        <v>0.1045</v>
      </c>
      <c r="L713">
        <v>0</v>
      </c>
      <c r="M713">
        <v>2</v>
      </c>
      <c r="N713">
        <v>2</v>
      </c>
    </row>
    <row r="714" spans="1:14" x14ac:dyDescent="0.3">
      <c r="A714">
        <v>713</v>
      </c>
      <c r="B714" s="21">
        <v>40576</v>
      </c>
      <c r="C714" s="25" t="s">
        <v>16</v>
      </c>
      <c r="D714" s="25" t="str" cm="1">
        <f t="array" ref="D714">_xlfn.SWITCH(Sheet5!A714,1,"JANUARY",2,"FEBRUARY")</f>
        <v>FEBRUARY</v>
      </c>
      <c r="E714">
        <v>1</v>
      </c>
      <c r="F714" t="str" cm="1">
        <f t="array" ref="F714">_xlfn.SWITCH(Sheet5!C714,FALSE,"NO",TRUE,"YES")</f>
        <v>NO</v>
      </c>
      <c r="G714" t="str" cm="1">
        <f t="array" ref="G714">_xlfn.SWITCH(Sheet5!B714,0,"Sunday",1,"Monday",2,"Tuesday",3,"Wednesday",4,"Thursday",5,"Friday",6,"Saturday")</f>
        <v>Wednesday</v>
      </c>
      <c r="H714" t="str" cm="1">
        <f t="array" ref="H714">_xlfn.SWITCH(Sheet5!D714, 1, "Clear Sky", 2, "Mist", 3, "Dark Cloud",4,"Heavy Rainfall")</f>
        <v>Dark Cloud</v>
      </c>
      <c r="I714" s="26">
        <f>Sheet5!E714*41</f>
        <v>9.02</v>
      </c>
      <c r="J714" s="27">
        <v>0.93</v>
      </c>
      <c r="K714">
        <v>0.19400000000000001</v>
      </c>
      <c r="L714">
        <v>0</v>
      </c>
      <c r="M714">
        <v>3</v>
      </c>
      <c r="N714">
        <v>3</v>
      </c>
    </row>
    <row r="715" spans="1:14" x14ac:dyDescent="0.3">
      <c r="A715">
        <v>714</v>
      </c>
      <c r="B715" s="21">
        <v>40576</v>
      </c>
      <c r="C715" s="25" t="s">
        <v>16</v>
      </c>
      <c r="D715" s="25" t="str" cm="1">
        <f t="array" ref="D715">_xlfn.SWITCH(Sheet5!A715,1,"JANUARY",2,"FEBRUARY")</f>
        <v>FEBRUARY</v>
      </c>
      <c r="E715">
        <v>2</v>
      </c>
      <c r="F715" t="str" cm="1">
        <f t="array" ref="F715">_xlfn.SWITCH(Sheet5!C715,FALSE,"NO",TRUE,"YES")</f>
        <v>NO</v>
      </c>
      <c r="G715" t="str" cm="1">
        <f t="array" ref="G715">_xlfn.SWITCH(Sheet5!B715,0,"Sunday",1,"Monday",2,"Tuesday",3,"Wednesday",4,"Thursday",5,"Friday",6,"Saturday")</f>
        <v>Wednesday</v>
      </c>
      <c r="H715" t="str" cm="1">
        <f t="array" ref="H715">_xlfn.SWITCH(Sheet5!D715, 1, "Clear Sky", 2, "Mist", 3, "Dark Cloud",4,"Heavy Rainfall")</f>
        <v>Dark Cloud</v>
      </c>
      <c r="I715" s="26">
        <f>Sheet5!E715*41</f>
        <v>9.02</v>
      </c>
      <c r="J715" s="27">
        <v>0.93</v>
      </c>
      <c r="K715">
        <v>0.1343</v>
      </c>
      <c r="L715">
        <v>4</v>
      </c>
      <c r="M715">
        <v>0</v>
      </c>
      <c r="N715">
        <v>4</v>
      </c>
    </row>
    <row r="716" spans="1:14" x14ac:dyDescent="0.3">
      <c r="A716">
        <v>715</v>
      </c>
      <c r="B716" s="21">
        <v>40576</v>
      </c>
      <c r="C716" s="25" t="s">
        <v>16</v>
      </c>
      <c r="D716" s="25" t="str" cm="1">
        <f t="array" ref="D716">_xlfn.SWITCH(Sheet5!A716,1,"JANUARY",2,"FEBRUARY")</f>
        <v>FEBRUARY</v>
      </c>
      <c r="E716">
        <v>3</v>
      </c>
      <c r="F716" t="str" cm="1">
        <f t="array" ref="F716">_xlfn.SWITCH(Sheet5!C716,FALSE,"NO",TRUE,"YES")</f>
        <v>NO</v>
      </c>
      <c r="G716" t="str" cm="1">
        <f t="array" ref="G716">_xlfn.SWITCH(Sheet5!B716,0,"Sunday",1,"Monday",2,"Tuesday",3,"Wednesday",4,"Thursday",5,"Friday",6,"Saturday")</f>
        <v>Wednesday</v>
      </c>
      <c r="H716" t="str" cm="1">
        <f t="array" ref="H716">_xlfn.SWITCH(Sheet5!D716, 1, "Clear Sky", 2, "Mist", 3, "Dark Cloud",4,"Heavy Rainfall")</f>
        <v>Dark Cloud</v>
      </c>
      <c r="I716" s="26">
        <f>Sheet5!E716*41</f>
        <v>9.02</v>
      </c>
      <c r="J716" s="27">
        <v>0.93</v>
      </c>
      <c r="K716">
        <v>0.1343</v>
      </c>
      <c r="L716">
        <v>0</v>
      </c>
      <c r="M716">
        <v>1</v>
      </c>
      <c r="N716">
        <v>1</v>
      </c>
    </row>
    <row r="717" spans="1:14" x14ac:dyDescent="0.3">
      <c r="A717">
        <v>716</v>
      </c>
      <c r="B717" s="21">
        <v>40576</v>
      </c>
      <c r="C717" s="25" t="s">
        <v>16</v>
      </c>
      <c r="D717" s="25" t="str" cm="1">
        <f t="array" ref="D717">_xlfn.SWITCH(Sheet5!A717,1,"JANUARY",2,"FEBRUARY")</f>
        <v>FEBRUARY</v>
      </c>
      <c r="E717">
        <v>4</v>
      </c>
      <c r="F717" t="str" cm="1">
        <f t="array" ref="F717">_xlfn.SWITCH(Sheet5!C717,FALSE,"NO",TRUE,"YES")</f>
        <v>NO</v>
      </c>
      <c r="G717" t="str" cm="1">
        <f t="array" ref="G717">_xlfn.SWITCH(Sheet5!B717,0,"Sunday",1,"Monday",2,"Tuesday",3,"Wednesday",4,"Thursday",5,"Friday",6,"Saturday")</f>
        <v>Wednesday</v>
      </c>
      <c r="H717" t="str" cm="1">
        <f t="array" ref="H717">_xlfn.SWITCH(Sheet5!D717, 1, "Clear Sky", 2, "Mist", 3, "Dark Cloud",4,"Heavy Rainfall")</f>
        <v>Dark Cloud</v>
      </c>
      <c r="I717" s="26">
        <f>Sheet5!E717*41</f>
        <v>9.02</v>
      </c>
      <c r="J717" s="27">
        <v>0.93</v>
      </c>
      <c r="K717">
        <v>0.28360000000000002</v>
      </c>
      <c r="L717">
        <v>0</v>
      </c>
      <c r="M717">
        <v>1</v>
      </c>
      <c r="N717">
        <v>1</v>
      </c>
    </row>
    <row r="718" spans="1:14" x14ac:dyDescent="0.3">
      <c r="A718">
        <v>717</v>
      </c>
      <c r="B718" s="21">
        <v>40576</v>
      </c>
      <c r="C718" s="25" t="s">
        <v>16</v>
      </c>
      <c r="D718" s="25" t="str" cm="1">
        <f t="array" ref="D718">_xlfn.SWITCH(Sheet5!A718,1,"JANUARY",2,"FEBRUARY")</f>
        <v>FEBRUARY</v>
      </c>
      <c r="E718">
        <v>5</v>
      </c>
      <c r="F718" t="str" cm="1">
        <f t="array" ref="F718">_xlfn.SWITCH(Sheet5!C718,FALSE,"NO",TRUE,"YES")</f>
        <v>NO</v>
      </c>
      <c r="G718" t="str" cm="1">
        <f t="array" ref="G718">_xlfn.SWITCH(Sheet5!B718,0,"Sunday",1,"Monday",2,"Tuesday",3,"Wednesday",4,"Thursday",5,"Friday",6,"Saturday")</f>
        <v>Wednesday</v>
      </c>
      <c r="H718" t="str" cm="1">
        <f t="array" ref="H718">_xlfn.SWITCH(Sheet5!D718, 1, "Clear Sky", 2, "Mist", 3, "Dark Cloud",4,"Heavy Rainfall")</f>
        <v>Dark Cloud</v>
      </c>
      <c r="I718" s="26">
        <f>Sheet5!E718*41</f>
        <v>9.02</v>
      </c>
      <c r="J718" s="27">
        <v>0.93</v>
      </c>
      <c r="K718">
        <v>0.1045</v>
      </c>
      <c r="L718">
        <v>0</v>
      </c>
      <c r="M718">
        <v>3</v>
      </c>
      <c r="N718">
        <v>3</v>
      </c>
    </row>
    <row r="719" spans="1:14" x14ac:dyDescent="0.3">
      <c r="A719">
        <v>718</v>
      </c>
      <c r="B719" s="21">
        <v>40576</v>
      </c>
      <c r="C719" s="25" t="s">
        <v>16</v>
      </c>
      <c r="D719" s="25" t="str" cm="1">
        <f t="array" ref="D719">_xlfn.SWITCH(Sheet5!A719,1,"JANUARY",2,"FEBRUARY")</f>
        <v>FEBRUARY</v>
      </c>
      <c r="E719">
        <v>6</v>
      </c>
      <c r="F719" t="str" cm="1">
        <f t="array" ref="F719">_xlfn.SWITCH(Sheet5!C719,FALSE,"NO",TRUE,"YES")</f>
        <v>NO</v>
      </c>
      <c r="G719" t="str" cm="1">
        <f t="array" ref="G719">_xlfn.SWITCH(Sheet5!B719,0,"Sunday",1,"Monday",2,"Tuesday",3,"Wednesday",4,"Thursday",5,"Friday",6,"Saturday")</f>
        <v>Wednesday</v>
      </c>
      <c r="H719" t="str" cm="1">
        <f t="array" ref="H719">_xlfn.SWITCH(Sheet5!D719, 1, "Clear Sky", 2, "Mist", 3, "Dark Cloud",4,"Heavy Rainfall")</f>
        <v>Dark Cloud</v>
      </c>
      <c r="I719" s="26">
        <f>Sheet5!E719*41</f>
        <v>9.02</v>
      </c>
      <c r="J719" s="27">
        <v>0.93</v>
      </c>
      <c r="K719">
        <v>0.1045</v>
      </c>
      <c r="L719">
        <v>1</v>
      </c>
      <c r="M719">
        <v>17</v>
      </c>
      <c r="N719">
        <v>18</v>
      </c>
    </row>
    <row r="720" spans="1:14" x14ac:dyDescent="0.3">
      <c r="A720">
        <v>719</v>
      </c>
      <c r="B720" s="21">
        <v>40576</v>
      </c>
      <c r="C720" s="25" t="s">
        <v>16</v>
      </c>
      <c r="D720" s="25" t="str" cm="1">
        <f t="array" ref="D720">_xlfn.SWITCH(Sheet5!A720,1,"JANUARY",2,"FEBRUARY")</f>
        <v>FEBRUARY</v>
      </c>
      <c r="E720">
        <v>7</v>
      </c>
      <c r="F720" t="str" cm="1">
        <f t="array" ref="F720">_xlfn.SWITCH(Sheet5!C720,FALSE,"NO",TRUE,"YES")</f>
        <v>NO</v>
      </c>
      <c r="G720" t="str" cm="1">
        <f t="array" ref="G720">_xlfn.SWITCH(Sheet5!B720,0,"Sunday",1,"Monday",2,"Tuesday",3,"Wednesday",4,"Thursday",5,"Friday",6,"Saturday")</f>
        <v>Wednesday</v>
      </c>
      <c r="H720" t="str" cm="1">
        <f t="array" ref="H720">_xlfn.SWITCH(Sheet5!D720, 1, "Clear Sky", 2, "Mist", 3, "Dark Cloud",4,"Heavy Rainfall")</f>
        <v>Dark Cloud</v>
      </c>
      <c r="I720" s="26">
        <f>Sheet5!E720*41</f>
        <v>9.02</v>
      </c>
      <c r="J720" s="27">
        <v>0.93</v>
      </c>
      <c r="K720">
        <v>0.22389999999999999</v>
      </c>
      <c r="L720">
        <v>1</v>
      </c>
      <c r="M720">
        <v>48</v>
      </c>
      <c r="N720">
        <v>49</v>
      </c>
    </row>
    <row r="721" spans="1:14" x14ac:dyDescent="0.3">
      <c r="A721">
        <v>720</v>
      </c>
      <c r="B721" s="21">
        <v>40576</v>
      </c>
      <c r="C721" s="25" t="s">
        <v>16</v>
      </c>
      <c r="D721" s="25" t="str" cm="1">
        <f t="array" ref="D721">_xlfn.SWITCH(Sheet5!A721,1,"JANUARY",2,"FEBRUARY")</f>
        <v>FEBRUARY</v>
      </c>
      <c r="E721">
        <v>8</v>
      </c>
      <c r="F721" t="str" cm="1">
        <f t="array" ref="F721">_xlfn.SWITCH(Sheet5!C721,FALSE,"NO",TRUE,"YES")</f>
        <v>NO</v>
      </c>
      <c r="G721" t="str" cm="1">
        <f t="array" ref="G721">_xlfn.SWITCH(Sheet5!B721,0,"Sunday",1,"Monday",2,"Tuesday",3,"Wednesday",4,"Thursday",5,"Friday",6,"Saturday")</f>
        <v>Wednesday</v>
      </c>
      <c r="H721" t="str" cm="1">
        <f t="array" ref="H721">_xlfn.SWITCH(Sheet5!D721, 1, "Clear Sky", 2, "Mist", 3, "Dark Cloud",4,"Heavy Rainfall")</f>
        <v>Dark Cloud</v>
      </c>
      <c r="I721" s="26">
        <f>Sheet5!E721*41</f>
        <v>9.02</v>
      </c>
      <c r="J721" s="27">
        <v>0.93</v>
      </c>
      <c r="K721">
        <v>0.22389999999999999</v>
      </c>
      <c r="L721">
        <v>1</v>
      </c>
      <c r="M721">
        <v>154</v>
      </c>
      <c r="N721">
        <v>155</v>
      </c>
    </row>
    <row r="722" spans="1:14" x14ac:dyDescent="0.3">
      <c r="A722">
        <v>721</v>
      </c>
      <c r="B722" s="21">
        <v>40576</v>
      </c>
      <c r="C722" s="25" t="s">
        <v>16</v>
      </c>
      <c r="D722" s="25" t="str" cm="1">
        <f t="array" ref="D722">_xlfn.SWITCH(Sheet5!A722,1,"JANUARY",2,"FEBRUARY")</f>
        <v>FEBRUARY</v>
      </c>
      <c r="E722">
        <v>9</v>
      </c>
      <c r="F722" t="str" cm="1">
        <f t="array" ref="F722">_xlfn.SWITCH(Sheet5!C722,FALSE,"NO",TRUE,"YES")</f>
        <v>NO</v>
      </c>
      <c r="G722" t="str" cm="1">
        <f t="array" ref="G722">_xlfn.SWITCH(Sheet5!B722,0,"Sunday",1,"Monday",2,"Tuesday",3,"Wednesday",4,"Thursday",5,"Friday",6,"Saturday")</f>
        <v>Wednesday</v>
      </c>
      <c r="H722" t="str" cm="1">
        <f t="array" ref="H722">_xlfn.SWITCH(Sheet5!D722, 1, "Clear Sky", 2, "Mist", 3, "Dark Cloud",4,"Heavy Rainfall")</f>
        <v>Mist</v>
      </c>
      <c r="I722" s="26">
        <f>Sheet5!E722*41</f>
        <v>9.84</v>
      </c>
      <c r="J722" s="27">
        <v>0.93</v>
      </c>
      <c r="K722">
        <v>8.9599999999999999E-2</v>
      </c>
      <c r="L722">
        <v>4</v>
      </c>
      <c r="M722">
        <v>119</v>
      </c>
      <c r="N722">
        <v>123</v>
      </c>
    </row>
    <row r="723" spans="1:14" x14ac:dyDescent="0.3">
      <c r="A723">
        <v>722</v>
      </c>
      <c r="B723" s="21">
        <v>40576</v>
      </c>
      <c r="C723" s="25" t="s">
        <v>16</v>
      </c>
      <c r="D723" s="25" t="str" cm="1">
        <f t="array" ref="D723">_xlfn.SWITCH(Sheet5!A723,1,"JANUARY",2,"FEBRUARY")</f>
        <v>FEBRUARY</v>
      </c>
      <c r="E723">
        <v>10</v>
      </c>
      <c r="F723" t="str" cm="1">
        <f t="array" ref="F723">_xlfn.SWITCH(Sheet5!C723,FALSE,"NO",TRUE,"YES")</f>
        <v>NO</v>
      </c>
      <c r="G723" t="str" cm="1">
        <f t="array" ref="G723">_xlfn.SWITCH(Sheet5!B723,0,"Sunday",1,"Monday",2,"Tuesday",3,"Wednesday",4,"Thursday",5,"Friday",6,"Saturday")</f>
        <v>Wednesday</v>
      </c>
      <c r="H723" t="str" cm="1">
        <f t="array" ref="H723">_xlfn.SWITCH(Sheet5!D723, 1, "Clear Sky", 2, "Mist", 3, "Dark Cloud",4,"Heavy Rainfall")</f>
        <v>Mist</v>
      </c>
      <c r="I723" s="26">
        <f>Sheet5!E723*41</f>
        <v>9.02</v>
      </c>
      <c r="J723" s="27">
        <v>1</v>
      </c>
      <c r="K723">
        <v>0</v>
      </c>
      <c r="L723">
        <v>2</v>
      </c>
      <c r="M723">
        <v>59</v>
      </c>
      <c r="N723">
        <v>61</v>
      </c>
    </row>
    <row r="724" spans="1:14" x14ac:dyDescent="0.3">
      <c r="A724">
        <v>723</v>
      </c>
      <c r="B724" s="21">
        <v>40576</v>
      </c>
      <c r="C724" s="25" t="s">
        <v>16</v>
      </c>
      <c r="D724" s="25" t="str" cm="1">
        <f t="array" ref="D724">_xlfn.SWITCH(Sheet5!A724,1,"JANUARY",2,"FEBRUARY")</f>
        <v>FEBRUARY</v>
      </c>
      <c r="E724">
        <v>11</v>
      </c>
      <c r="F724" t="str" cm="1">
        <f t="array" ref="F724">_xlfn.SWITCH(Sheet5!C724,FALSE,"NO",TRUE,"YES")</f>
        <v>NO</v>
      </c>
      <c r="G724" t="str" cm="1">
        <f t="array" ref="G724">_xlfn.SWITCH(Sheet5!B724,0,"Sunday",1,"Monday",2,"Tuesday",3,"Wednesday",4,"Thursday",5,"Friday",6,"Saturday")</f>
        <v>Wednesday</v>
      </c>
      <c r="H724" t="str" cm="1">
        <f t="array" ref="H724">_xlfn.SWITCH(Sheet5!D724, 1, "Clear Sky", 2, "Mist", 3, "Dark Cloud",4,"Heavy Rainfall")</f>
        <v>Mist</v>
      </c>
      <c r="I724" s="26">
        <f>Sheet5!E724*41</f>
        <v>9.84</v>
      </c>
      <c r="J724" s="27">
        <v>0.93</v>
      </c>
      <c r="K724">
        <v>0.19400000000000001</v>
      </c>
      <c r="L724">
        <v>5</v>
      </c>
      <c r="M724">
        <v>47</v>
      </c>
      <c r="N724">
        <v>52</v>
      </c>
    </row>
    <row r="725" spans="1:14" x14ac:dyDescent="0.3">
      <c r="A725">
        <v>724</v>
      </c>
      <c r="B725" s="21">
        <v>40576</v>
      </c>
      <c r="C725" s="25" t="s">
        <v>16</v>
      </c>
      <c r="D725" s="25" t="str" cm="1">
        <f t="array" ref="D725">_xlfn.SWITCH(Sheet5!A725,1,"JANUARY",2,"FEBRUARY")</f>
        <v>FEBRUARY</v>
      </c>
      <c r="E725">
        <v>12</v>
      </c>
      <c r="F725" t="str" cm="1">
        <f t="array" ref="F725">_xlfn.SWITCH(Sheet5!C725,FALSE,"NO",TRUE,"YES")</f>
        <v>NO</v>
      </c>
      <c r="G725" t="str" cm="1">
        <f t="array" ref="G725">_xlfn.SWITCH(Sheet5!B725,0,"Sunday",1,"Monday",2,"Tuesday",3,"Wednesday",4,"Thursday",5,"Friday",6,"Saturday")</f>
        <v>Wednesday</v>
      </c>
      <c r="H725" t="str" cm="1">
        <f t="array" ref="H725">_xlfn.SWITCH(Sheet5!D725, 1, "Clear Sky", 2, "Mist", 3, "Dark Cloud",4,"Heavy Rainfall")</f>
        <v>Mist</v>
      </c>
      <c r="I725" s="26">
        <f>Sheet5!E725*41</f>
        <v>9.84</v>
      </c>
      <c r="J725" s="27">
        <v>0.93</v>
      </c>
      <c r="K725">
        <v>0.22389999999999999</v>
      </c>
      <c r="L725">
        <v>3</v>
      </c>
      <c r="M725">
        <v>61</v>
      </c>
      <c r="N725">
        <v>64</v>
      </c>
    </row>
    <row r="726" spans="1:14" x14ac:dyDescent="0.3">
      <c r="A726">
        <v>725</v>
      </c>
      <c r="B726" s="21">
        <v>40576</v>
      </c>
      <c r="C726" s="25" t="s">
        <v>16</v>
      </c>
      <c r="D726" s="25" t="str" cm="1">
        <f t="array" ref="D726">_xlfn.SWITCH(Sheet5!A726,1,"JANUARY",2,"FEBRUARY")</f>
        <v>FEBRUARY</v>
      </c>
      <c r="E726">
        <v>13</v>
      </c>
      <c r="F726" t="str" cm="1">
        <f t="array" ref="F726">_xlfn.SWITCH(Sheet5!C726,FALSE,"NO",TRUE,"YES")</f>
        <v>NO</v>
      </c>
      <c r="G726" t="str" cm="1">
        <f t="array" ref="G726">_xlfn.SWITCH(Sheet5!B726,0,"Sunday",1,"Monday",2,"Tuesday",3,"Wednesday",4,"Thursday",5,"Friday",6,"Saturday")</f>
        <v>Wednesday</v>
      </c>
      <c r="H726" t="str" cm="1">
        <f t="array" ref="H726">_xlfn.SWITCH(Sheet5!D726, 1, "Clear Sky", 2, "Mist", 3, "Dark Cloud",4,"Heavy Rainfall")</f>
        <v>Clear Sky</v>
      </c>
      <c r="I726" s="26">
        <f>Sheet5!E726*41</f>
        <v>13.940000000000001</v>
      </c>
      <c r="J726" s="27">
        <v>0.93</v>
      </c>
      <c r="K726">
        <v>0.16420000000000001</v>
      </c>
      <c r="L726">
        <v>1</v>
      </c>
      <c r="M726">
        <v>74</v>
      </c>
      <c r="N726">
        <v>75</v>
      </c>
    </row>
    <row r="727" spans="1:14" x14ac:dyDescent="0.3">
      <c r="A727">
        <v>726</v>
      </c>
      <c r="B727" s="21">
        <v>40576</v>
      </c>
      <c r="C727" s="25" t="s">
        <v>16</v>
      </c>
      <c r="D727" s="25" t="str" cm="1">
        <f t="array" ref="D727">_xlfn.SWITCH(Sheet5!A727,1,"JANUARY",2,"FEBRUARY")</f>
        <v>FEBRUARY</v>
      </c>
      <c r="E727">
        <v>14</v>
      </c>
      <c r="F727" t="str" cm="1">
        <f t="array" ref="F727">_xlfn.SWITCH(Sheet5!C727,FALSE,"NO",TRUE,"YES")</f>
        <v>NO</v>
      </c>
      <c r="G727" t="str" cm="1">
        <f t="array" ref="G727">_xlfn.SWITCH(Sheet5!B727,0,"Sunday",1,"Monday",2,"Tuesday",3,"Wednesday",4,"Thursday",5,"Friday",6,"Saturday")</f>
        <v>Wednesday</v>
      </c>
      <c r="H727" t="str" cm="1">
        <f t="array" ref="H727">_xlfn.SWITCH(Sheet5!D727, 1, "Clear Sky", 2, "Mist", 3, "Dark Cloud",4,"Heavy Rainfall")</f>
        <v>Clear Sky</v>
      </c>
      <c r="I727" s="26">
        <f>Sheet5!E727*41</f>
        <v>15.58</v>
      </c>
      <c r="J727" s="27">
        <v>0.82</v>
      </c>
      <c r="K727">
        <v>0.3881</v>
      </c>
      <c r="L727">
        <v>2</v>
      </c>
      <c r="M727">
        <v>61</v>
      </c>
      <c r="N727">
        <v>63</v>
      </c>
    </row>
    <row r="728" spans="1:14" x14ac:dyDescent="0.3">
      <c r="A728">
        <v>727</v>
      </c>
      <c r="B728" s="21">
        <v>40576</v>
      </c>
      <c r="C728" s="25" t="s">
        <v>16</v>
      </c>
      <c r="D728" s="25" t="str" cm="1">
        <f t="array" ref="D728">_xlfn.SWITCH(Sheet5!A728,1,"JANUARY",2,"FEBRUARY")</f>
        <v>FEBRUARY</v>
      </c>
      <c r="E728">
        <v>15</v>
      </c>
      <c r="F728" t="str" cm="1">
        <f t="array" ref="F728">_xlfn.SWITCH(Sheet5!C728,FALSE,"NO",TRUE,"YES")</f>
        <v>NO</v>
      </c>
      <c r="G728" t="str" cm="1">
        <f t="array" ref="G728">_xlfn.SWITCH(Sheet5!B728,0,"Sunday",1,"Monday",2,"Tuesday",3,"Wednesday",4,"Thursday",5,"Friday",6,"Saturday")</f>
        <v>Wednesday</v>
      </c>
      <c r="H728" t="str" cm="1">
        <f t="array" ref="H728">_xlfn.SWITCH(Sheet5!D728, 1, "Clear Sky", 2, "Mist", 3, "Dark Cloud",4,"Heavy Rainfall")</f>
        <v>Clear Sky</v>
      </c>
      <c r="I728" s="26">
        <f>Sheet5!E728*41</f>
        <v>15.58</v>
      </c>
      <c r="J728" s="27">
        <v>0.76</v>
      </c>
      <c r="K728">
        <v>0.32840000000000003</v>
      </c>
      <c r="L728">
        <v>10</v>
      </c>
      <c r="M728">
        <v>66</v>
      </c>
      <c r="N728">
        <v>76</v>
      </c>
    </row>
    <row r="729" spans="1:14" x14ac:dyDescent="0.3">
      <c r="A729">
        <v>728</v>
      </c>
      <c r="B729" s="21">
        <v>40576</v>
      </c>
      <c r="C729" s="25" t="s">
        <v>16</v>
      </c>
      <c r="D729" s="25" t="str" cm="1">
        <f t="array" ref="D729">_xlfn.SWITCH(Sheet5!A729,1,"JANUARY",2,"FEBRUARY")</f>
        <v>FEBRUARY</v>
      </c>
      <c r="E729">
        <v>16</v>
      </c>
      <c r="F729" t="str" cm="1">
        <f t="array" ref="F729">_xlfn.SWITCH(Sheet5!C729,FALSE,"NO",TRUE,"YES")</f>
        <v>NO</v>
      </c>
      <c r="G729" t="str" cm="1">
        <f t="array" ref="G729">_xlfn.SWITCH(Sheet5!B729,0,"Sunday",1,"Monday",2,"Tuesday",3,"Wednesday",4,"Thursday",5,"Friday",6,"Saturday")</f>
        <v>Wednesday</v>
      </c>
      <c r="H729" t="str" cm="1">
        <f t="array" ref="H729">_xlfn.SWITCH(Sheet5!D729, 1, "Clear Sky", 2, "Mist", 3, "Dark Cloud",4,"Heavy Rainfall")</f>
        <v>Clear Sky</v>
      </c>
      <c r="I729" s="26">
        <f>Sheet5!E729*41</f>
        <v>14.76</v>
      </c>
      <c r="J729" s="27">
        <v>0.71</v>
      </c>
      <c r="K729">
        <v>0.29849999999999999</v>
      </c>
      <c r="L729">
        <v>8</v>
      </c>
      <c r="M729">
        <v>95</v>
      </c>
      <c r="N729">
        <v>103</v>
      </c>
    </row>
    <row r="730" spans="1:14" x14ac:dyDescent="0.3">
      <c r="A730">
        <v>729</v>
      </c>
      <c r="B730" s="21">
        <v>40576</v>
      </c>
      <c r="C730" s="25" t="s">
        <v>16</v>
      </c>
      <c r="D730" s="25" t="str" cm="1">
        <f t="array" ref="D730">_xlfn.SWITCH(Sheet5!A730,1,"JANUARY",2,"FEBRUARY")</f>
        <v>FEBRUARY</v>
      </c>
      <c r="E730">
        <v>17</v>
      </c>
      <c r="F730" t="str" cm="1">
        <f t="array" ref="F730">_xlfn.SWITCH(Sheet5!C730,FALSE,"NO",TRUE,"YES")</f>
        <v>NO</v>
      </c>
      <c r="G730" t="str" cm="1">
        <f t="array" ref="G730">_xlfn.SWITCH(Sheet5!B730,0,"Sunday",1,"Monday",2,"Tuesday",3,"Wednesday",4,"Thursday",5,"Friday",6,"Saturday")</f>
        <v>Wednesday</v>
      </c>
      <c r="H730" t="str" cm="1">
        <f t="array" ref="H730">_xlfn.SWITCH(Sheet5!D730, 1, "Clear Sky", 2, "Mist", 3, "Dark Cloud",4,"Heavy Rainfall")</f>
        <v>Clear Sky</v>
      </c>
      <c r="I730" s="26">
        <f>Sheet5!E730*41</f>
        <v>14.76</v>
      </c>
      <c r="J730" s="27">
        <v>0.53</v>
      </c>
      <c r="K730">
        <v>0.52239999999999998</v>
      </c>
      <c r="L730">
        <v>7</v>
      </c>
      <c r="M730">
        <v>183</v>
      </c>
      <c r="N730">
        <v>190</v>
      </c>
    </row>
    <row r="731" spans="1:14" x14ac:dyDescent="0.3">
      <c r="A731">
        <v>730</v>
      </c>
      <c r="B731" s="21">
        <v>40576</v>
      </c>
      <c r="C731" s="25" t="s">
        <v>16</v>
      </c>
      <c r="D731" s="25" t="str" cm="1">
        <f t="array" ref="D731">_xlfn.SWITCH(Sheet5!A731,1,"JANUARY",2,"FEBRUARY")</f>
        <v>FEBRUARY</v>
      </c>
      <c r="E731">
        <v>18</v>
      </c>
      <c r="F731" t="str" cm="1">
        <f t="array" ref="F731">_xlfn.SWITCH(Sheet5!C731,FALSE,"NO",TRUE,"YES")</f>
        <v>NO</v>
      </c>
      <c r="G731" t="str" cm="1">
        <f t="array" ref="G731">_xlfn.SWITCH(Sheet5!B731,0,"Sunday",1,"Monday",2,"Tuesday",3,"Wednesday",4,"Thursday",5,"Friday",6,"Saturday")</f>
        <v>Wednesday</v>
      </c>
      <c r="H731" t="str" cm="1">
        <f t="array" ref="H731">_xlfn.SWITCH(Sheet5!D731, 1, "Clear Sky", 2, "Mist", 3, "Dark Cloud",4,"Heavy Rainfall")</f>
        <v>Clear Sky</v>
      </c>
      <c r="I731" s="26">
        <f>Sheet5!E731*41</f>
        <v>13.940000000000001</v>
      </c>
      <c r="J731" s="27">
        <v>0.42</v>
      </c>
      <c r="K731">
        <v>0.55220000000000002</v>
      </c>
      <c r="L731">
        <v>7</v>
      </c>
      <c r="M731">
        <v>175</v>
      </c>
      <c r="N731">
        <v>182</v>
      </c>
    </row>
    <row r="732" spans="1:14" x14ac:dyDescent="0.3">
      <c r="A732">
        <v>731</v>
      </c>
      <c r="B732" s="21">
        <v>40576</v>
      </c>
      <c r="C732" s="25" t="s">
        <v>16</v>
      </c>
      <c r="D732" s="25" t="str" cm="1">
        <f t="array" ref="D732">_xlfn.SWITCH(Sheet5!A732,1,"JANUARY",2,"FEBRUARY")</f>
        <v>FEBRUARY</v>
      </c>
      <c r="E732">
        <v>19</v>
      </c>
      <c r="F732" t="str" cm="1">
        <f t="array" ref="F732">_xlfn.SWITCH(Sheet5!C732,FALSE,"NO",TRUE,"YES")</f>
        <v>NO</v>
      </c>
      <c r="G732" t="str" cm="1">
        <f t="array" ref="G732">_xlfn.SWITCH(Sheet5!B732,0,"Sunday",1,"Monday",2,"Tuesday",3,"Wednesday",4,"Thursday",5,"Friday",6,"Saturday")</f>
        <v>Wednesday</v>
      </c>
      <c r="H732" t="str" cm="1">
        <f t="array" ref="H732">_xlfn.SWITCH(Sheet5!D732, 1, "Clear Sky", 2, "Mist", 3, "Dark Cloud",4,"Heavy Rainfall")</f>
        <v>Clear Sky</v>
      </c>
      <c r="I732" s="26">
        <f>Sheet5!E732*41</f>
        <v>11.48</v>
      </c>
      <c r="J732" s="27">
        <v>0.45</v>
      </c>
      <c r="K732">
        <v>0.49249999999999999</v>
      </c>
      <c r="L732">
        <v>3</v>
      </c>
      <c r="M732">
        <v>88</v>
      </c>
      <c r="N732">
        <v>91</v>
      </c>
    </row>
    <row r="733" spans="1:14" x14ac:dyDescent="0.3">
      <c r="A733">
        <v>732</v>
      </c>
      <c r="B733" s="21">
        <v>40576</v>
      </c>
      <c r="C733" s="25" t="s">
        <v>16</v>
      </c>
      <c r="D733" s="25" t="str" cm="1">
        <f t="array" ref="D733">_xlfn.SWITCH(Sheet5!A733,1,"JANUARY",2,"FEBRUARY")</f>
        <v>FEBRUARY</v>
      </c>
      <c r="E733">
        <v>20</v>
      </c>
      <c r="F733" t="str" cm="1">
        <f t="array" ref="F733">_xlfn.SWITCH(Sheet5!C733,FALSE,"NO",TRUE,"YES")</f>
        <v>NO</v>
      </c>
      <c r="G733" t="str" cm="1">
        <f t="array" ref="G733">_xlfn.SWITCH(Sheet5!B733,0,"Sunday",1,"Monday",2,"Tuesday",3,"Wednesday",4,"Thursday",5,"Friday",6,"Saturday")</f>
        <v>Wednesday</v>
      </c>
      <c r="H733" t="str" cm="1">
        <f t="array" ref="H733">_xlfn.SWITCH(Sheet5!D733, 1, "Clear Sky", 2, "Mist", 3, "Dark Cloud",4,"Heavy Rainfall")</f>
        <v>Clear Sky</v>
      </c>
      <c r="I733" s="26">
        <f>Sheet5!E733*41</f>
        <v>9.84</v>
      </c>
      <c r="J733" s="27">
        <v>0.48</v>
      </c>
      <c r="K733">
        <v>0.55220000000000002</v>
      </c>
      <c r="L733">
        <v>4</v>
      </c>
      <c r="M733">
        <v>71</v>
      </c>
      <c r="N733">
        <v>75</v>
      </c>
    </row>
    <row r="734" spans="1:14" x14ac:dyDescent="0.3">
      <c r="A734">
        <v>733</v>
      </c>
      <c r="B734" s="21">
        <v>40576</v>
      </c>
      <c r="C734" s="25" t="s">
        <v>16</v>
      </c>
      <c r="D734" s="25" t="str" cm="1">
        <f t="array" ref="D734">_xlfn.SWITCH(Sheet5!A734,1,"JANUARY",2,"FEBRUARY")</f>
        <v>FEBRUARY</v>
      </c>
      <c r="E734">
        <v>21</v>
      </c>
      <c r="F734" t="str" cm="1">
        <f t="array" ref="F734">_xlfn.SWITCH(Sheet5!C734,FALSE,"NO",TRUE,"YES")</f>
        <v>NO</v>
      </c>
      <c r="G734" t="str" cm="1">
        <f t="array" ref="G734">_xlfn.SWITCH(Sheet5!B734,0,"Sunday",1,"Monday",2,"Tuesday",3,"Wednesday",4,"Thursday",5,"Friday",6,"Saturday")</f>
        <v>Wednesday</v>
      </c>
      <c r="H734" t="str" cm="1">
        <f t="array" ref="H734">_xlfn.SWITCH(Sheet5!D734, 1, "Clear Sky", 2, "Mist", 3, "Dark Cloud",4,"Heavy Rainfall")</f>
        <v>Clear Sky</v>
      </c>
      <c r="I734" s="26">
        <f>Sheet5!E734*41</f>
        <v>9.02</v>
      </c>
      <c r="J734" s="27">
        <v>0.47</v>
      </c>
      <c r="K734">
        <v>0.32840000000000003</v>
      </c>
      <c r="L734">
        <v>1</v>
      </c>
      <c r="M734">
        <v>62</v>
      </c>
      <c r="N734">
        <v>63</v>
      </c>
    </row>
    <row r="735" spans="1:14" x14ac:dyDescent="0.3">
      <c r="A735">
        <v>734</v>
      </c>
      <c r="B735" s="21">
        <v>40576</v>
      </c>
      <c r="C735" s="25" t="s">
        <v>16</v>
      </c>
      <c r="D735" s="25" t="str" cm="1">
        <f t="array" ref="D735">_xlfn.SWITCH(Sheet5!A735,1,"JANUARY",2,"FEBRUARY")</f>
        <v>FEBRUARY</v>
      </c>
      <c r="E735">
        <v>22</v>
      </c>
      <c r="F735" t="str" cm="1">
        <f t="array" ref="F735">_xlfn.SWITCH(Sheet5!C735,FALSE,"NO",TRUE,"YES")</f>
        <v>NO</v>
      </c>
      <c r="G735" t="str" cm="1">
        <f t="array" ref="G735">_xlfn.SWITCH(Sheet5!B735,0,"Sunday",1,"Monday",2,"Tuesday",3,"Wednesday",4,"Thursday",5,"Friday",6,"Saturday")</f>
        <v>Wednesday</v>
      </c>
      <c r="H735" t="str" cm="1">
        <f t="array" ref="H735">_xlfn.SWITCH(Sheet5!D735, 1, "Clear Sky", 2, "Mist", 3, "Dark Cloud",4,"Heavy Rainfall")</f>
        <v>Clear Sky</v>
      </c>
      <c r="I735" s="26">
        <f>Sheet5!E735*41</f>
        <v>9.02</v>
      </c>
      <c r="J735" s="27">
        <v>0.44</v>
      </c>
      <c r="K735">
        <v>0.25369999999999998</v>
      </c>
      <c r="L735">
        <v>5</v>
      </c>
      <c r="M735">
        <v>35</v>
      </c>
      <c r="N735">
        <v>40</v>
      </c>
    </row>
    <row r="736" spans="1:14" x14ac:dyDescent="0.3">
      <c r="A736">
        <v>735</v>
      </c>
      <c r="B736" s="21">
        <v>40576</v>
      </c>
      <c r="C736" s="25" t="s">
        <v>16</v>
      </c>
      <c r="D736" s="25" t="str" cm="1">
        <f t="array" ref="D736">_xlfn.SWITCH(Sheet5!A736,1,"JANUARY",2,"FEBRUARY")</f>
        <v>FEBRUARY</v>
      </c>
      <c r="E736">
        <v>23</v>
      </c>
      <c r="F736" t="str" cm="1">
        <f t="array" ref="F736">_xlfn.SWITCH(Sheet5!C736,FALSE,"NO",TRUE,"YES")</f>
        <v>NO</v>
      </c>
      <c r="G736" t="str" cm="1">
        <f t="array" ref="G736">_xlfn.SWITCH(Sheet5!B736,0,"Sunday",1,"Monday",2,"Tuesday",3,"Wednesday",4,"Thursday",5,"Friday",6,"Saturday")</f>
        <v>Wednesday</v>
      </c>
      <c r="H736" t="str" cm="1">
        <f t="array" ref="H736">_xlfn.SWITCH(Sheet5!D736, 1, "Clear Sky", 2, "Mist", 3, "Dark Cloud",4,"Heavy Rainfall")</f>
        <v>Clear Sky</v>
      </c>
      <c r="I736" s="26">
        <f>Sheet5!E736*41</f>
        <v>8.2000000000000011</v>
      </c>
      <c r="J736" s="27">
        <v>0.44</v>
      </c>
      <c r="K736">
        <v>0.44779999999999998</v>
      </c>
      <c r="L736">
        <v>3</v>
      </c>
      <c r="M736">
        <v>29</v>
      </c>
      <c r="N736">
        <v>32</v>
      </c>
    </row>
    <row r="737" spans="1:14" x14ac:dyDescent="0.3">
      <c r="A737">
        <v>736</v>
      </c>
      <c r="B737" s="21">
        <v>40577</v>
      </c>
      <c r="C737" s="25" t="s">
        <v>16</v>
      </c>
      <c r="D737" s="25" t="str" cm="1">
        <f t="array" ref="D737">_xlfn.SWITCH(Sheet5!A737,1,"JANUARY",2,"FEBRUARY")</f>
        <v>FEBRUARY</v>
      </c>
      <c r="E737">
        <v>0</v>
      </c>
      <c r="F737" t="str" cm="1">
        <f t="array" ref="F737">_xlfn.SWITCH(Sheet5!C737,FALSE,"NO",TRUE,"YES")</f>
        <v>NO</v>
      </c>
      <c r="G737" t="str" cm="1">
        <f t="array" ref="G737">_xlfn.SWITCH(Sheet5!B737,0,"Sunday",1,"Monday",2,"Tuesday",3,"Wednesday",4,"Thursday",5,"Friday",6,"Saturday")</f>
        <v>Thursday</v>
      </c>
      <c r="H737" t="str" cm="1">
        <f t="array" ref="H737">_xlfn.SWITCH(Sheet5!D737, 1, "Clear Sky", 2, "Mist", 3, "Dark Cloud",4,"Heavy Rainfall")</f>
        <v>Clear Sky</v>
      </c>
      <c r="I737" s="26">
        <f>Sheet5!E737*41</f>
        <v>8.2000000000000011</v>
      </c>
      <c r="J737" s="27">
        <v>0.4</v>
      </c>
      <c r="K737">
        <v>0.44779999999999998</v>
      </c>
      <c r="L737">
        <v>1</v>
      </c>
      <c r="M737">
        <v>11</v>
      </c>
      <c r="N737">
        <v>12</v>
      </c>
    </row>
    <row r="738" spans="1:14" x14ac:dyDescent="0.3">
      <c r="A738">
        <v>737</v>
      </c>
      <c r="B738" s="21">
        <v>40577</v>
      </c>
      <c r="C738" s="25" t="s">
        <v>16</v>
      </c>
      <c r="D738" s="25" t="str" cm="1">
        <f t="array" ref="D738">_xlfn.SWITCH(Sheet5!A738,1,"JANUARY",2,"FEBRUARY")</f>
        <v>FEBRUARY</v>
      </c>
      <c r="E738">
        <v>1</v>
      </c>
      <c r="F738" t="str" cm="1">
        <f t="array" ref="F738">_xlfn.SWITCH(Sheet5!C738,FALSE,"NO",TRUE,"YES")</f>
        <v>NO</v>
      </c>
      <c r="G738" t="str" cm="1">
        <f t="array" ref="G738">_xlfn.SWITCH(Sheet5!B738,0,"Sunday",1,"Monday",2,"Tuesday",3,"Wednesday",4,"Thursday",5,"Friday",6,"Saturday")</f>
        <v>Thursday</v>
      </c>
      <c r="H738" t="str" cm="1">
        <f t="array" ref="H738">_xlfn.SWITCH(Sheet5!D738, 1, "Clear Sky", 2, "Mist", 3, "Dark Cloud",4,"Heavy Rainfall")</f>
        <v>Clear Sky</v>
      </c>
      <c r="I738" s="26">
        <f>Sheet5!E738*41</f>
        <v>8.2000000000000011</v>
      </c>
      <c r="J738" s="27">
        <v>0.44</v>
      </c>
      <c r="K738">
        <v>0.52239999999999998</v>
      </c>
      <c r="L738">
        <v>0</v>
      </c>
      <c r="M738">
        <v>5</v>
      </c>
      <c r="N738">
        <v>5</v>
      </c>
    </row>
    <row r="739" spans="1:14" x14ac:dyDescent="0.3">
      <c r="A739">
        <v>738</v>
      </c>
      <c r="B739" s="21">
        <v>40577</v>
      </c>
      <c r="C739" s="25" t="s">
        <v>16</v>
      </c>
      <c r="D739" s="25" t="str" cm="1">
        <f t="array" ref="D739">_xlfn.SWITCH(Sheet5!A739,1,"JANUARY",2,"FEBRUARY")</f>
        <v>FEBRUARY</v>
      </c>
      <c r="E739">
        <v>2</v>
      </c>
      <c r="F739" t="str" cm="1">
        <f t="array" ref="F739">_xlfn.SWITCH(Sheet5!C739,FALSE,"NO",TRUE,"YES")</f>
        <v>NO</v>
      </c>
      <c r="G739" t="str" cm="1">
        <f t="array" ref="G739">_xlfn.SWITCH(Sheet5!B739,0,"Sunday",1,"Monday",2,"Tuesday",3,"Wednesday",4,"Thursday",5,"Friday",6,"Saturday")</f>
        <v>Thursday</v>
      </c>
      <c r="H739" t="str" cm="1">
        <f t="array" ref="H739">_xlfn.SWITCH(Sheet5!D739, 1, "Clear Sky", 2, "Mist", 3, "Dark Cloud",4,"Heavy Rainfall")</f>
        <v>Clear Sky</v>
      </c>
      <c r="I739" s="26">
        <f>Sheet5!E739*41</f>
        <v>7.38</v>
      </c>
      <c r="J739" s="27">
        <v>0.43</v>
      </c>
      <c r="K739">
        <v>0.25369999999999998</v>
      </c>
      <c r="L739">
        <v>0</v>
      </c>
      <c r="M739">
        <v>2</v>
      </c>
      <c r="N739">
        <v>2</v>
      </c>
    </row>
    <row r="740" spans="1:14" x14ac:dyDescent="0.3">
      <c r="A740">
        <v>739</v>
      </c>
      <c r="B740" s="21">
        <v>40577</v>
      </c>
      <c r="C740" s="25" t="s">
        <v>16</v>
      </c>
      <c r="D740" s="25" t="str" cm="1">
        <f t="array" ref="D740">_xlfn.SWITCH(Sheet5!A740,1,"JANUARY",2,"FEBRUARY")</f>
        <v>FEBRUARY</v>
      </c>
      <c r="E740">
        <v>3</v>
      </c>
      <c r="F740" t="str" cm="1">
        <f t="array" ref="F740">_xlfn.SWITCH(Sheet5!C740,FALSE,"NO",TRUE,"YES")</f>
        <v>NO</v>
      </c>
      <c r="G740" t="str" cm="1">
        <f t="array" ref="G740">_xlfn.SWITCH(Sheet5!B740,0,"Sunday",1,"Monday",2,"Tuesday",3,"Wednesday",4,"Thursday",5,"Friday",6,"Saturday")</f>
        <v>Thursday</v>
      </c>
      <c r="H740" t="str" cm="1">
        <f t="array" ref="H740">_xlfn.SWITCH(Sheet5!D740, 1, "Clear Sky", 2, "Mist", 3, "Dark Cloud",4,"Heavy Rainfall")</f>
        <v>Clear Sky</v>
      </c>
      <c r="I740" s="26">
        <f>Sheet5!E740*41</f>
        <v>7.38</v>
      </c>
      <c r="J740" s="27">
        <v>0.43</v>
      </c>
      <c r="K740">
        <v>0.25369999999999998</v>
      </c>
      <c r="L740">
        <v>0</v>
      </c>
      <c r="M740">
        <v>1</v>
      </c>
      <c r="N740">
        <v>1</v>
      </c>
    </row>
    <row r="741" spans="1:14" x14ac:dyDescent="0.3">
      <c r="A741">
        <v>740</v>
      </c>
      <c r="B741" s="21">
        <v>40577</v>
      </c>
      <c r="C741" s="25" t="s">
        <v>16</v>
      </c>
      <c r="D741" s="25" t="str" cm="1">
        <f t="array" ref="D741">_xlfn.SWITCH(Sheet5!A741,1,"JANUARY",2,"FEBRUARY")</f>
        <v>FEBRUARY</v>
      </c>
      <c r="E741">
        <v>5</v>
      </c>
      <c r="F741" t="str" cm="1">
        <f t="array" ref="F741">_xlfn.SWITCH(Sheet5!C741,FALSE,"NO",TRUE,"YES")</f>
        <v>NO</v>
      </c>
      <c r="G741" t="str" cm="1">
        <f t="array" ref="G741">_xlfn.SWITCH(Sheet5!B741,0,"Sunday",1,"Monday",2,"Tuesday",3,"Wednesday",4,"Thursday",5,"Friday",6,"Saturday")</f>
        <v>Thursday</v>
      </c>
      <c r="H741" t="str" cm="1">
        <f t="array" ref="H741">_xlfn.SWITCH(Sheet5!D741, 1, "Clear Sky", 2, "Mist", 3, "Dark Cloud",4,"Heavy Rainfall")</f>
        <v>Clear Sky</v>
      </c>
      <c r="I741" s="26">
        <f>Sheet5!E741*41</f>
        <v>6.5600000000000005</v>
      </c>
      <c r="J741" s="27">
        <v>0.5</v>
      </c>
      <c r="K741">
        <v>0.29849999999999999</v>
      </c>
      <c r="L741">
        <v>0</v>
      </c>
      <c r="M741">
        <v>2</v>
      </c>
      <c r="N741">
        <v>2</v>
      </c>
    </row>
    <row r="742" spans="1:14" x14ac:dyDescent="0.3">
      <c r="A742">
        <v>741</v>
      </c>
      <c r="B742" s="21">
        <v>40577</v>
      </c>
      <c r="C742" s="25" t="s">
        <v>16</v>
      </c>
      <c r="D742" s="25" t="str" cm="1">
        <f t="array" ref="D742">_xlfn.SWITCH(Sheet5!A742,1,"JANUARY",2,"FEBRUARY")</f>
        <v>FEBRUARY</v>
      </c>
      <c r="E742">
        <v>6</v>
      </c>
      <c r="F742" t="str" cm="1">
        <f t="array" ref="F742">_xlfn.SWITCH(Sheet5!C742,FALSE,"NO",TRUE,"YES")</f>
        <v>NO</v>
      </c>
      <c r="G742" t="str" cm="1">
        <f t="array" ref="G742">_xlfn.SWITCH(Sheet5!B742,0,"Sunday",1,"Monday",2,"Tuesday",3,"Wednesday",4,"Thursday",5,"Friday",6,"Saturday")</f>
        <v>Thursday</v>
      </c>
      <c r="H742" t="str" cm="1">
        <f t="array" ref="H742">_xlfn.SWITCH(Sheet5!D742, 1, "Clear Sky", 2, "Mist", 3, "Dark Cloud",4,"Heavy Rainfall")</f>
        <v>Clear Sky</v>
      </c>
      <c r="I742" s="26">
        <f>Sheet5!E742*41</f>
        <v>6.5600000000000005</v>
      </c>
      <c r="J742" s="27">
        <v>0.43</v>
      </c>
      <c r="K742">
        <v>0.35820000000000002</v>
      </c>
      <c r="L742">
        <v>0</v>
      </c>
      <c r="M742">
        <v>39</v>
      </c>
      <c r="N742">
        <v>39</v>
      </c>
    </row>
    <row r="743" spans="1:14" x14ac:dyDescent="0.3">
      <c r="A743">
        <v>742</v>
      </c>
      <c r="B743" s="21">
        <v>40577</v>
      </c>
      <c r="C743" s="25" t="s">
        <v>16</v>
      </c>
      <c r="D743" s="25" t="str" cm="1">
        <f t="array" ref="D743">_xlfn.SWITCH(Sheet5!A743,1,"JANUARY",2,"FEBRUARY")</f>
        <v>FEBRUARY</v>
      </c>
      <c r="E743">
        <v>7</v>
      </c>
      <c r="F743" t="str" cm="1">
        <f t="array" ref="F743">_xlfn.SWITCH(Sheet5!C743,FALSE,"NO",TRUE,"YES")</f>
        <v>NO</v>
      </c>
      <c r="G743" t="str" cm="1">
        <f t="array" ref="G743">_xlfn.SWITCH(Sheet5!B743,0,"Sunday",1,"Monday",2,"Tuesday",3,"Wednesday",4,"Thursday",5,"Friday",6,"Saturday")</f>
        <v>Thursday</v>
      </c>
      <c r="H743" t="str" cm="1">
        <f t="array" ref="H743">_xlfn.SWITCH(Sheet5!D743, 1, "Clear Sky", 2, "Mist", 3, "Dark Cloud",4,"Heavy Rainfall")</f>
        <v>Clear Sky</v>
      </c>
      <c r="I743" s="26">
        <f>Sheet5!E743*41</f>
        <v>5.74</v>
      </c>
      <c r="J743" s="27">
        <v>0.5</v>
      </c>
      <c r="K743">
        <v>0.32840000000000003</v>
      </c>
      <c r="L743">
        <v>1</v>
      </c>
      <c r="M743">
        <v>86</v>
      </c>
      <c r="N743">
        <v>87</v>
      </c>
    </row>
    <row r="744" spans="1:14" x14ac:dyDescent="0.3">
      <c r="A744">
        <v>743</v>
      </c>
      <c r="B744" s="21">
        <v>40577</v>
      </c>
      <c r="C744" s="25" t="s">
        <v>16</v>
      </c>
      <c r="D744" s="25" t="str" cm="1">
        <f t="array" ref="D744">_xlfn.SWITCH(Sheet5!A744,1,"JANUARY",2,"FEBRUARY")</f>
        <v>FEBRUARY</v>
      </c>
      <c r="E744">
        <v>8</v>
      </c>
      <c r="F744" t="str" cm="1">
        <f t="array" ref="F744">_xlfn.SWITCH(Sheet5!C744,FALSE,"NO",TRUE,"YES")</f>
        <v>NO</v>
      </c>
      <c r="G744" t="str" cm="1">
        <f t="array" ref="G744">_xlfn.SWITCH(Sheet5!B744,0,"Sunday",1,"Monday",2,"Tuesday",3,"Wednesday",4,"Thursday",5,"Friday",6,"Saturday")</f>
        <v>Thursday</v>
      </c>
      <c r="H744" t="str" cm="1">
        <f t="array" ref="H744">_xlfn.SWITCH(Sheet5!D744, 1, "Clear Sky", 2, "Mist", 3, "Dark Cloud",4,"Heavy Rainfall")</f>
        <v>Clear Sky</v>
      </c>
      <c r="I744" s="26">
        <f>Sheet5!E744*41</f>
        <v>5.74</v>
      </c>
      <c r="J744" s="27">
        <v>0.5</v>
      </c>
      <c r="K744">
        <v>0.35820000000000002</v>
      </c>
      <c r="L744">
        <v>4</v>
      </c>
      <c r="M744">
        <v>184</v>
      </c>
      <c r="N744">
        <v>188</v>
      </c>
    </row>
    <row r="745" spans="1:14" x14ac:dyDescent="0.3">
      <c r="A745">
        <v>744</v>
      </c>
      <c r="B745" s="21">
        <v>40577</v>
      </c>
      <c r="C745" s="25" t="s">
        <v>16</v>
      </c>
      <c r="D745" s="25" t="str" cm="1">
        <f t="array" ref="D745">_xlfn.SWITCH(Sheet5!A745,1,"JANUARY",2,"FEBRUARY")</f>
        <v>FEBRUARY</v>
      </c>
      <c r="E745">
        <v>9</v>
      </c>
      <c r="F745" t="str" cm="1">
        <f t="array" ref="F745">_xlfn.SWITCH(Sheet5!C745,FALSE,"NO",TRUE,"YES")</f>
        <v>NO</v>
      </c>
      <c r="G745" t="str" cm="1">
        <f t="array" ref="G745">_xlfn.SWITCH(Sheet5!B745,0,"Sunday",1,"Monday",2,"Tuesday",3,"Wednesday",4,"Thursday",5,"Friday",6,"Saturday")</f>
        <v>Thursday</v>
      </c>
      <c r="H745" t="str" cm="1">
        <f t="array" ref="H745">_xlfn.SWITCH(Sheet5!D745, 1, "Clear Sky", 2, "Mist", 3, "Dark Cloud",4,"Heavy Rainfall")</f>
        <v>Clear Sky</v>
      </c>
      <c r="I745" s="26">
        <f>Sheet5!E745*41</f>
        <v>6.5600000000000005</v>
      </c>
      <c r="J745" s="27">
        <v>0.47</v>
      </c>
      <c r="K745">
        <v>0.29849999999999999</v>
      </c>
      <c r="L745">
        <v>6</v>
      </c>
      <c r="M745">
        <v>127</v>
      </c>
      <c r="N745">
        <v>133</v>
      </c>
    </row>
    <row r="746" spans="1:14" x14ac:dyDescent="0.3">
      <c r="A746">
        <v>745</v>
      </c>
      <c r="B746" s="21">
        <v>40577</v>
      </c>
      <c r="C746" s="25" t="s">
        <v>16</v>
      </c>
      <c r="D746" s="25" t="str" cm="1">
        <f t="array" ref="D746">_xlfn.SWITCH(Sheet5!A746,1,"JANUARY",2,"FEBRUARY")</f>
        <v>FEBRUARY</v>
      </c>
      <c r="E746">
        <v>10</v>
      </c>
      <c r="F746" t="str" cm="1">
        <f t="array" ref="F746">_xlfn.SWITCH(Sheet5!C746,FALSE,"NO",TRUE,"YES")</f>
        <v>NO</v>
      </c>
      <c r="G746" t="str" cm="1">
        <f t="array" ref="G746">_xlfn.SWITCH(Sheet5!B746,0,"Sunday",1,"Monday",2,"Tuesday",3,"Wednesday",4,"Thursday",5,"Friday",6,"Saturday")</f>
        <v>Thursday</v>
      </c>
      <c r="H746" t="str" cm="1">
        <f t="array" ref="H746">_xlfn.SWITCH(Sheet5!D746, 1, "Clear Sky", 2, "Mist", 3, "Dark Cloud",4,"Heavy Rainfall")</f>
        <v>Clear Sky</v>
      </c>
      <c r="I746" s="26">
        <f>Sheet5!E746*41</f>
        <v>7.38</v>
      </c>
      <c r="J746" s="27">
        <v>0.43</v>
      </c>
      <c r="K746">
        <v>0.32840000000000003</v>
      </c>
      <c r="L746">
        <v>2</v>
      </c>
      <c r="M746">
        <v>50</v>
      </c>
      <c r="N746">
        <v>52</v>
      </c>
    </row>
    <row r="747" spans="1:14" x14ac:dyDescent="0.3">
      <c r="A747">
        <v>746</v>
      </c>
      <c r="B747" s="21">
        <v>40577</v>
      </c>
      <c r="C747" s="25" t="s">
        <v>16</v>
      </c>
      <c r="D747" s="25" t="str" cm="1">
        <f t="array" ref="D747">_xlfn.SWITCH(Sheet5!A747,1,"JANUARY",2,"FEBRUARY")</f>
        <v>FEBRUARY</v>
      </c>
      <c r="E747">
        <v>11</v>
      </c>
      <c r="F747" t="str" cm="1">
        <f t="array" ref="F747">_xlfn.SWITCH(Sheet5!C747,FALSE,"NO",TRUE,"YES")</f>
        <v>NO</v>
      </c>
      <c r="G747" t="str" cm="1">
        <f t="array" ref="G747">_xlfn.SWITCH(Sheet5!B747,0,"Sunday",1,"Monday",2,"Tuesday",3,"Wednesday",4,"Thursday",5,"Friday",6,"Saturday")</f>
        <v>Thursday</v>
      </c>
      <c r="H747" t="str" cm="1">
        <f t="array" ref="H747">_xlfn.SWITCH(Sheet5!D747, 1, "Clear Sky", 2, "Mist", 3, "Dark Cloud",4,"Heavy Rainfall")</f>
        <v>Clear Sky</v>
      </c>
      <c r="I747" s="26">
        <f>Sheet5!E747*41</f>
        <v>7.38</v>
      </c>
      <c r="J747" s="27">
        <v>0.43</v>
      </c>
      <c r="K747">
        <v>0.44779999999999998</v>
      </c>
      <c r="L747">
        <v>9</v>
      </c>
      <c r="M747">
        <v>55</v>
      </c>
      <c r="N747">
        <v>64</v>
      </c>
    </row>
    <row r="748" spans="1:14" x14ac:dyDescent="0.3">
      <c r="A748">
        <v>747</v>
      </c>
      <c r="B748" s="21">
        <v>40577</v>
      </c>
      <c r="C748" s="25" t="s">
        <v>16</v>
      </c>
      <c r="D748" s="25" t="str" cm="1">
        <f t="array" ref="D748">_xlfn.SWITCH(Sheet5!A748,1,"JANUARY",2,"FEBRUARY")</f>
        <v>FEBRUARY</v>
      </c>
      <c r="E748">
        <v>12</v>
      </c>
      <c r="F748" t="str" cm="1">
        <f t="array" ref="F748">_xlfn.SWITCH(Sheet5!C748,FALSE,"NO",TRUE,"YES")</f>
        <v>NO</v>
      </c>
      <c r="G748" t="str" cm="1">
        <f t="array" ref="G748">_xlfn.SWITCH(Sheet5!B748,0,"Sunday",1,"Monday",2,"Tuesday",3,"Wednesday",4,"Thursday",5,"Friday",6,"Saturday")</f>
        <v>Thursday</v>
      </c>
      <c r="H748" t="str" cm="1">
        <f t="array" ref="H748">_xlfn.SWITCH(Sheet5!D748, 1, "Clear Sky", 2, "Mist", 3, "Dark Cloud",4,"Heavy Rainfall")</f>
        <v>Clear Sky</v>
      </c>
      <c r="I748" s="26">
        <f>Sheet5!E748*41</f>
        <v>8.2000000000000011</v>
      </c>
      <c r="J748" s="27">
        <v>0.4</v>
      </c>
      <c r="K748">
        <v>0.35820000000000002</v>
      </c>
      <c r="L748">
        <v>2</v>
      </c>
      <c r="M748">
        <v>67</v>
      </c>
      <c r="N748">
        <v>69</v>
      </c>
    </row>
    <row r="749" spans="1:14" x14ac:dyDescent="0.3">
      <c r="A749">
        <v>748</v>
      </c>
      <c r="B749" s="21">
        <v>40577</v>
      </c>
      <c r="C749" s="25" t="s">
        <v>16</v>
      </c>
      <c r="D749" s="25" t="str" cm="1">
        <f t="array" ref="D749">_xlfn.SWITCH(Sheet5!A749,1,"JANUARY",2,"FEBRUARY")</f>
        <v>FEBRUARY</v>
      </c>
      <c r="E749">
        <v>13</v>
      </c>
      <c r="F749" t="str" cm="1">
        <f t="array" ref="F749">_xlfn.SWITCH(Sheet5!C749,FALSE,"NO",TRUE,"YES")</f>
        <v>NO</v>
      </c>
      <c r="G749" t="str" cm="1">
        <f t="array" ref="G749">_xlfn.SWITCH(Sheet5!B749,0,"Sunday",1,"Monday",2,"Tuesday",3,"Wednesday",4,"Thursday",5,"Friday",6,"Saturday")</f>
        <v>Thursday</v>
      </c>
      <c r="H749" t="str" cm="1">
        <f t="array" ref="H749">_xlfn.SWITCH(Sheet5!D749, 1, "Clear Sky", 2, "Mist", 3, "Dark Cloud",4,"Heavy Rainfall")</f>
        <v>Clear Sky</v>
      </c>
      <c r="I749" s="26">
        <f>Sheet5!E749*41</f>
        <v>8.2000000000000011</v>
      </c>
      <c r="J749" s="27">
        <v>0.4</v>
      </c>
      <c r="K749">
        <v>0.41789999999999999</v>
      </c>
      <c r="L749">
        <v>4</v>
      </c>
      <c r="M749">
        <v>47</v>
      </c>
      <c r="N749">
        <v>51</v>
      </c>
    </row>
    <row r="750" spans="1:14" x14ac:dyDescent="0.3">
      <c r="A750">
        <v>749</v>
      </c>
      <c r="B750" s="21">
        <v>40577</v>
      </c>
      <c r="C750" s="25" t="s">
        <v>16</v>
      </c>
      <c r="D750" s="25" t="str" cm="1">
        <f t="array" ref="D750">_xlfn.SWITCH(Sheet5!A750,1,"JANUARY",2,"FEBRUARY")</f>
        <v>FEBRUARY</v>
      </c>
      <c r="E750">
        <v>14</v>
      </c>
      <c r="F750" t="str" cm="1">
        <f t="array" ref="F750">_xlfn.SWITCH(Sheet5!C750,FALSE,"NO",TRUE,"YES")</f>
        <v>NO</v>
      </c>
      <c r="G750" t="str" cm="1">
        <f t="array" ref="G750">_xlfn.SWITCH(Sheet5!B750,0,"Sunday",1,"Monday",2,"Tuesday",3,"Wednesday",4,"Thursday",5,"Friday",6,"Saturday")</f>
        <v>Thursday</v>
      </c>
      <c r="H750" t="str" cm="1">
        <f t="array" ref="H750">_xlfn.SWITCH(Sheet5!D750, 1, "Clear Sky", 2, "Mist", 3, "Dark Cloud",4,"Heavy Rainfall")</f>
        <v>Clear Sky</v>
      </c>
      <c r="I750" s="26">
        <f>Sheet5!E750*41</f>
        <v>9.02</v>
      </c>
      <c r="J750" s="27">
        <v>0.37</v>
      </c>
      <c r="K750">
        <v>0.3881</v>
      </c>
      <c r="L750">
        <v>4</v>
      </c>
      <c r="M750">
        <v>43</v>
      </c>
      <c r="N750">
        <v>47</v>
      </c>
    </row>
    <row r="751" spans="1:14" x14ac:dyDescent="0.3">
      <c r="A751">
        <v>750</v>
      </c>
      <c r="B751" s="21">
        <v>40577</v>
      </c>
      <c r="C751" s="25" t="s">
        <v>16</v>
      </c>
      <c r="D751" s="25" t="str" cm="1">
        <f t="array" ref="D751">_xlfn.SWITCH(Sheet5!A751,1,"JANUARY",2,"FEBRUARY")</f>
        <v>FEBRUARY</v>
      </c>
      <c r="E751">
        <v>15</v>
      </c>
      <c r="F751" t="str" cm="1">
        <f t="array" ref="F751">_xlfn.SWITCH(Sheet5!C751,FALSE,"NO",TRUE,"YES")</f>
        <v>NO</v>
      </c>
      <c r="G751" t="str" cm="1">
        <f t="array" ref="G751">_xlfn.SWITCH(Sheet5!B751,0,"Sunday",1,"Monday",2,"Tuesday",3,"Wednesday",4,"Thursday",5,"Friday",6,"Saturday")</f>
        <v>Thursday</v>
      </c>
      <c r="H751" t="str" cm="1">
        <f t="array" ref="H751">_xlfn.SWITCH(Sheet5!D751, 1, "Clear Sky", 2, "Mist", 3, "Dark Cloud",4,"Heavy Rainfall")</f>
        <v>Clear Sky</v>
      </c>
      <c r="I751" s="26">
        <f>Sheet5!E751*41</f>
        <v>9.02</v>
      </c>
      <c r="J751" s="27">
        <v>0.37</v>
      </c>
      <c r="K751">
        <v>0.32840000000000003</v>
      </c>
      <c r="L751">
        <v>4</v>
      </c>
      <c r="M751">
        <v>56</v>
      </c>
      <c r="N751">
        <v>60</v>
      </c>
    </row>
    <row r="752" spans="1:14" x14ac:dyDescent="0.3">
      <c r="A752">
        <v>751</v>
      </c>
      <c r="B752" s="21">
        <v>40577</v>
      </c>
      <c r="C752" s="25" t="s">
        <v>16</v>
      </c>
      <c r="D752" s="25" t="str" cm="1">
        <f t="array" ref="D752">_xlfn.SWITCH(Sheet5!A752,1,"JANUARY",2,"FEBRUARY")</f>
        <v>FEBRUARY</v>
      </c>
      <c r="E752">
        <v>16</v>
      </c>
      <c r="F752" t="str" cm="1">
        <f t="array" ref="F752">_xlfn.SWITCH(Sheet5!C752,FALSE,"NO",TRUE,"YES")</f>
        <v>NO</v>
      </c>
      <c r="G752" t="str" cm="1">
        <f t="array" ref="G752">_xlfn.SWITCH(Sheet5!B752,0,"Sunday",1,"Monday",2,"Tuesday",3,"Wednesday",4,"Thursday",5,"Friday",6,"Saturday")</f>
        <v>Thursday</v>
      </c>
      <c r="H752" t="str" cm="1">
        <f t="array" ref="H752">_xlfn.SWITCH(Sheet5!D752, 1, "Clear Sky", 2, "Mist", 3, "Dark Cloud",4,"Heavy Rainfall")</f>
        <v>Clear Sky</v>
      </c>
      <c r="I752" s="26">
        <f>Sheet5!E752*41</f>
        <v>9.02</v>
      </c>
      <c r="J752" s="27">
        <v>0.37</v>
      </c>
      <c r="K752">
        <v>0.25369999999999998</v>
      </c>
      <c r="L752">
        <v>5</v>
      </c>
      <c r="M752">
        <v>73</v>
      </c>
      <c r="N752">
        <v>78</v>
      </c>
    </row>
    <row r="753" spans="1:14" x14ac:dyDescent="0.3">
      <c r="A753">
        <v>752</v>
      </c>
      <c r="B753" s="21">
        <v>40577</v>
      </c>
      <c r="C753" s="25" t="s">
        <v>16</v>
      </c>
      <c r="D753" s="25" t="str" cm="1">
        <f t="array" ref="D753">_xlfn.SWITCH(Sheet5!A753,1,"JANUARY",2,"FEBRUARY")</f>
        <v>FEBRUARY</v>
      </c>
      <c r="E753">
        <v>17</v>
      </c>
      <c r="F753" t="str" cm="1">
        <f t="array" ref="F753">_xlfn.SWITCH(Sheet5!C753,FALSE,"NO",TRUE,"YES")</f>
        <v>NO</v>
      </c>
      <c r="G753" t="str" cm="1">
        <f t="array" ref="G753">_xlfn.SWITCH(Sheet5!B753,0,"Sunday",1,"Monday",2,"Tuesday",3,"Wednesday",4,"Thursday",5,"Friday",6,"Saturday")</f>
        <v>Thursday</v>
      </c>
      <c r="H753" t="str" cm="1">
        <f t="array" ref="H753">_xlfn.SWITCH(Sheet5!D753, 1, "Clear Sky", 2, "Mist", 3, "Dark Cloud",4,"Heavy Rainfall")</f>
        <v>Clear Sky</v>
      </c>
      <c r="I753" s="26">
        <f>Sheet5!E753*41</f>
        <v>8.2000000000000011</v>
      </c>
      <c r="J753" s="27">
        <v>0.4</v>
      </c>
      <c r="K753">
        <v>0.19400000000000001</v>
      </c>
      <c r="L753">
        <v>5</v>
      </c>
      <c r="M753">
        <v>170</v>
      </c>
      <c r="N753">
        <v>175</v>
      </c>
    </row>
    <row r="754" spans="1:14" x14ac:dyDescent="0.3">
      <c r="A754">
        <v>753</v>
      </c>
      <c r="B754" s="21">
        <v>40577</v>
      </c>
      <c r="C754" s="25" t="s">
        <v>16</v>
      </c>
      <c r="D754" s="25" t="str" cm="1">
        <f t="array" ref="D754">_xlfn.SWITCH(Sheet5!A754,1,"JANUARY",2,"FEBRUARY")</f>
        <v>FEBRUARY</v>
      </c>
      <c r="E754">
        <v>18</v>
      </c>
      <c r="F754" t="str" cm="1">
        <f t="array" ref="F754">_xlfn.SWITCH(Sheet5!C754,FALSE,"NO",TRUE,"YES")</f>
        <v>NO</v>
      </c>
      <c r="G754" t="str" cm="1">
        <f t="array" ref="G754">_xlfn.SWITCH(Sheet5!B754,0,"Sunday",1,"Monday",2,"Tuesday",3,"Wednesday",4,"Thursday",5,"Friday",6,"Saturday")</f>
        <v>Thursday</v>
      </c>
      <c r="H754" t="str" cm="1">
        <f t="array" ref="H754">_xlfn.SWITCH(Sheet5!D754, 1, "Clear Sky", 2, "Mist", 3, "Dark Cloud",4,"Heavy Rainfall")</f>
        <v>Clear Sky</v>
      </c>
      <c r="I754" s="26">
        <f>Sheet5!E754*41</f>
        <v>8.2000000000000011</v>
      </c>
      <c r="J754" s="27">
        <v>0.4</v>
      </c>
      <c r="K754">
        <v>0.16420000000000001</v>
      </c>
      <c r="L754">
        <v>2</v>
      </c>
      <c r="M754">
        <v>145</v>
      </c>
      <c r="N754">
        <v>147</v>
      </c>
    </row>
    <row r="755" spans="1:14" x14ac:dyDescent="0.3">
      <c r="A755">
        <v>754</v>
      </c>
      <c r="B755" s="21">
        <v>40577</v>
      </c>
      <c r="C755" s="25" t="s">
        <v>16</v>
      </c>
      <c r="D755" s="25" t="str" cm="1">
        <f t="array" ref="D755">_xlfn.SWITCH(Sheet5!A755,1,"JANUARY",2,"FEBRUARY")</f>
        <v>FEBRUARY</v>
      </c>
      <c r="E755">
        <v>19</v>
      </c>
      <c r="F755" t="str" cm="1">
        <f t="array" ref="F755">_xlfn.SWITCH(Sheet5!C755,FALSE,"NO",TRUE,"YES")</f>
        <v>NO</v>
      </c>
      <c r="G755" t="str" cm="1">
        <f t="array" ref="G755">_xlfn.SWITCH(Sheet5!B755,0,"Sunday",1,"Monday",2,"Tuesday",3,"Wednesday",4,"Thursday",5,"Friday",6,"Saturday")</f>
        <v>Thursday</v>
      </c>
      <c r="H755" t="str" cm="1">
        <f t="array" ref="H755">_xlfn.SWITCH(Sheet5!D755, 1, "Clear Sky", 2, "Mist", 3, "Dark Cloud",4,"Heavy Rainfall")</f>
        <v>Clear Sky</v>
      </c>
      <c r="I755" s="26">
        <f>Sheet5!E755*41</f>
        <v>8.2000000000000011</v>
      </c>
      <c r="J755" s="27">
        <v>0.4</v>
      </c>
      <c r="K755">
        <v>0</v>
      </c>
      <c r="L755">
        <v>4</v>
      </c>
      <c r="M755">
        <v>92</v>
      </c>
      <c r="N755">
        <v>96</v>
      </c>
    </row>
    <row r="756" spans="1:14" x14ac:dyDescent="0.3">
      <c r="A756">
        <v>755</v>
      </c>
      <c r="B756" s="21">
        <v>40577</v>
      </c>
      <c r="C756" s="25" t="s">
        <v>16</v>
      </c>
      <c r="D756" s="25" t="str" cm="1">
        <f t="array" ref="D756">_xlfn.SWITCH(Sheet5!A756,1,"JANUARY",2,"FEBRUARY")</f>
        <v>FEBRUARY</v>
      </c>
      <c r="E756">
        <v>20</v>
      </c>
      <c r="F756" t="str" cm="1">
        <f t="array" ref="F756">_xlfn.SWITCH(Sheet5!C756,FALSE,"NO",TRUE,"YES")</f>
        <v>NO</v>
      </c>
      <c r="G756" t="str" cm="1">
        <f t="array" ref="G756">_xlfn.SWITCH(Sheet5!B756,0,"Sunday",1,"Monday",2,"Tuesday",3,"Wednesday",4,"Thursday",5,"Friday",6,"Saturday")</f>
        <v>Thursday</v>
      </c>
      <c r="H756" t="str" cm="1">
        <f t="array" ref="H756">_xlfn.SWITCH(Sheet5!D756, 1, "Clear Sky", 2, "Mist", 3, "Dark Cloud",4,"Heavy Rainfall")</f>
        <v>Clear Sky</v>
      </c>
      <c r="I756" s="26">
        <f>Sheet5!E756*41</f>
        <v>8.2000000000000011</v>
      </c>
      <c r="J756" s="27">
        <v>0.47</v>
      </c>
      <c r="K756">
        <v>8.9599999999999999E-2</v>
      </c>
      <c r="L756">
        <v>1</v>
      </c>
      <c r="M756">
        <v>108</v>
      </c>
      <c r="N756">
        <v>109</v>
      </c>
    </row>
    <row r="757" spans="1:14" x14ac:dyDescent="0.3">
      <c r="A757">
        <v>756</v>
      </c>
      <c r="B757" s="21">
        <v>40577</v>
      </c>
      <c r="C757" s="25" t="s">
        <v>16</v>
      </c>
      <c r="D757" s="25" t="str" cm="1">
        <f t="array" ref="D757">_xlfn.SWITCH(Sheet5!A757,1,"JANUARY",2,"FEBRUARY")</f>
        <v>FEBRUARY</v>
      </c>
      <c r="E757">
        <v>21</v>
      </c>
      <c r="F757" t="str" cm="1">
        <f t="array" ref="F757">_xlfn.SWITCH(Sheet5!C757,FALSE,"NO",TRUE,"YES")</f>
        <v>NO</v>
      </c>
      <c r="G757" t="str" cm="1">
        <f t="array" ref="G757">_xlfn.SWITCH(Sheet5!B757,0,"Sunday",1,"Monday",2,"Tuesday",3,"Wednesday",4,"Thursday",5,"Friday",6,"Saturday")</f>
        <v>Thursday</v>
      </c>
      <c r="H757" t="str" cm="1">
        <f t="array" ref="H757">_xlfn.SWITCH(Sheet5!D757, 1, "Clear Sky", 2, "Mist", 3, "Dark Cloud",4,"Heavy Rainfall")</f>
        <v>Clear Sky</v>
      </c>
      <c r="I757" s="26">
        <f>Sheet5!E757*41</f>
        <v>7.38</v>
      </c>
      <c r="J757" s="27">
        <v>0.55000000000000004</v>
      </c>
      <c r="K757">
        <v>0.1045</v>
      </c>
      <c r="L757">
        <v>1</v>
      </c>
      <c r="M757">
        <v>53</v>
      </c>
      <c r="N757">
        <v>54</v>
      </c>
    </row>
    <row r="758" spans="1:14" x14ac:dyDescent="0.3">
      <c r="A758">
        <v>757</v>
      </c>
      <c r="B758" s="21">
        <v>40577</v>
      </c>
      <c r="C758" s="25" t="s">
        <v>16</v>
      </c>
      <c r="D758" s="25" t="str" cm="1">
        <f t="array" ref="D758">_xlfn.SWITCH(Sheet5!A758,1,"JANUARY",2,"FEBRUARY")</f>
        <v>FEBRUARY</v>
      </c>
      <c r="E758">
        <v>22</v>
      </c>
      <c r="F758" t="str" cm="1">
        <f t="array" ref="F758">_xlfn.SWITCH(Sheet5!C758,FALSE,"NO",TRUE,"YES")</f>
        <v>NO</v>
      </c>
      <c r="G758" t="str" cm="1">
        <f t="array" ref="G758">_xlfn.SWITCH(Sheet5!B758,0,"Sunday",1,"Monday",2,"Tuesday",3,"Wednesday",4,"Thursday",5,"Friday",6,"Saturday")</f>
        <v>Thursday</v>
      </c>
      <c r="H758" t="str" cm="1">
        <f t="array" ref="H758">_xlfn.SWITCH(Sheet5!D758, 1, "Clear Sky", 2, "Mist", 3, "Dark Cloud",4,"Heavy Rainfall")</f>
        <v>Clear Sky</v>
      </c>
      <c r="I758" s="26">
        <f>Sheet5!E758*41</f>
        <v>7.38</v>
      </c>
      <c r="J758" s="27">
        <v>0.51</v>
      </c>
      <c r="K758">
        <v>8.9599999999999999E-2</v>
      </c>
      <c r="L758">
        <v>2</v>
      </c>
      <c r="M758">
        <v>39</v>
      </c>
      <c r="N758">
        <v>41</v>
      </c>
    </row>
    <row r="759" spans="1:14" x14ac:dyDescent="0.3">
      <c r="A759">
        <v>758</v>
      </c>
      <c r="B759" s="21">
        <v>40577</v>
      </c>
      <c r="C759" s="25" t="s">
        <v>16</v>
      </c>
      <c r="D759" s="25" t="str" cm="1">
        <f t="array" ref="D759">_xlfn.SWITCH(Sheet5!A759,1,"JANUARY",2,"FEBRUARY")</f>
        <v>FEBRUARY</v>
      </c>
      <c r="E759">
        <v>23</v>
      </c>
      <c r="F759" t="str" cm="1">
        <f t="array" ref="F759">_xlfn.SWITCH(Sheet5!C759,FALSE,"NO",TRUE,"YES")</f>
        <v>NO</v>
      </c>
      <c r="G759" t="str" cm="1">
        <f t="array" ref="G759">_xlfn.SWITCH(Sheet5!B759,0,"Sunday",1,"Monday",2,"Tuesday",3,"Wednesday",4,"Thursday",5,"Friday",6,"Saturday")</f>
        <v>Thursday</v>
      </c>
      <c r="H759" t="str" cm="1">
        <f t="array" ref="H759">_xlfn.SWITCH(Sheet5!D759, 1, "Clear Sky", 2, "Mist", 3, "Dark Cloud",4,"Heavy Rainfall")</f>
        <v>Clear Sky</v>
      </c>
      <c r="I759" s="26">
        <f>Sheet5!E759*41</f>
        <v>8.2000000000000011</v>
      </c>
      <c r="J759" s="27">
        <v>0.47</v>
      </c>
      <c r="K759">
        <v>0.1045</v>
      </c>
      <c r="L759">
        <v>4</v>
      </c>
      <c r="M759">
        <v>34</v>
      </c>
      <c r="N759">
        <v>38</v>
      </c>
    </row>
    <row r="760" spans="1:14" x14ac:dyDescent="0.3">
      <c r="A760">
        <v>759</v>
      </c>
      <c r="B760" s="21">
        <v>40578</v>
      </c>
      <c r="C760" s="25" t="s">
        <v>16</v>
      </c>
      <c r="D760" s="25" t="str" cm="1">
        <f t="array" ref="D760">_xlfn.SWITCH(Sheet5!A760,1,"JANUARY",2,"FEBRUARY")</f>
        <v>FEBRUARY</v>
      </c>
      <c r="E760">
        <v>0</v>
      </c>
      <c r="F760" t="str" cm="1">
        <f t="array" ref="F760">_xlfn.SWITCH(Sheet5!C760,FALSE,"NO",TRUE,"YES")</f>
        <v>NO</v>
      </c>
      <c r="G760" t="str" cm="1">
        <f t="array" ref="G760">_xlfn.SWITCH(Sheet5!B760,0,"Sunday",1,"Monday",2,"Tuesday",3,"Wednesday",4,"Thursday",5,"Friday",6,"Saturday")</f>
        <v>Friday</v>
      </c>
      <c r="H760" t="str" cm="1">
        <f t="array" ref="H760">_xlfn.SWITCH(Sheet5!D760, 1, "Clear Sky", 2, "Mist", 3, "Dark Cloud",4,"Heavy Rainfall")</f>
        <v>Mist</v>
      </c>
      <c r="I760" s="26">
        <f>Sheet5!E760*41</f>
        <v>8.2000000000000011</v>
      </c>
      <c r="J760" s="27">
        <v>0.44</v>
      </c>
      <c r="K760">
        <v>0</v>
      </c>
      <c r="L760">
        <v>3</v>
      </c>
      <c r="M760">
        <v>10</v>
      </c>
      <c r="N760">
        <v>13</v>
      </c>
    </row>
    <row r="761" spans="1:14" x14ac:dyDescent="0.3">
      <c r="A761">
        <v>760</v>
      </c>
      <c r="B761" s="21">
        <v>40578</v>
      </c>
      <c r="C761" s="25" t="s">
        <v>16</v>
      </c>
      <c r="D761" s="25" t="str" cm="1">
        <f t="array" ref="D761">_xlfn.SWITCH(Sheet5!A761,1,"JANUARY",2,"FEBRUARY")</f>
        <v>FEBRUARY</v>
      </c>
      <c r="E761">
        <v>1</v>
      </c>
      <c r="F761" t="str" cm="1">
        <f t="array" ref="F761">_xlfn.SWITCH(Sheet5!C761,FALSE,"NO",TRUE,"YES")</f>
        <v>NO</v>
      </c>
      <c r="G761" t="str" cm="1">
        <f t="array" ref="G761">_xlfn.SWITCH(Sheet5!B761,0,"Sunday",1,"Monday",2,"Tuesday",3,"Wednesday",4,"Thursday",5,"Friday",6,"Saturday")</f>
        <v>Friday</v>
      </c>
      <c r="H761" t="str" cm="1">
        <f t="array" ref="H761">_xlfn.SWITCH(Sheet5!D761, 1, "Clear Sky", 2, "Mist", 3, "Dark Cloud",4,"Heavy Rainfall")</f>
        <v>Mist</v>
      </c>
      <c r="I761" s="26">
        <f>Sheet5!E761*41</f>
        <v>6.5600000000000005</v>
      </c>
      <c r="J761" s="27">
        <v>0.59</v>
      </c>
      <c r="K761">
        <v>0</v>
      </c>
      <c r="L761">
        <v>0</v>
      </c>
      <c r="M761">
        <v>7</v>
      </c>
      <c r="N761">
        <v>7</v>
      </c>
    </row>
    <row r="762" spans="1:14" x14ac:dyDescent="0.3">
      <c r="A762">
        <v>761</v>
      </c>
      <c r="B762" s="21">
        <v>40578</v>
      </c>
      <c r="C762" s="25" t="s">
        <v>16</v>
      </c>
      <c r="D762" s="25" t="str" cm="1">
        <f t="array" ref="D762">_xlfn.SWITCH(Sheet5!A762,1,"JANUARY",2,"FEBRUARY")</f>
        <v>FEBRUARY</v>
      </c>
      <c r="E762">
        <v>2</v>
      </c>
      <c r="F762" t="str" cm="1">
        <f t="array" ref="F762">_xlfn.SWITCH(Sheet5!C762,FALSE,"NO",TRUE,"YES")</f>
        <v>NO</v>
      </c>
      <c r="G762" t="str" cm="1">
        <f t="array" ref="G762">_xlfn.SWITCH(Sheet5!B762,0,"Sunday",1,"Monday",2,"Tuesday",3,"Wednesday",4,"Thursday",5,"Friday",6,"Saturday")</f>
        <v>Friday</v>
      </c>
      <c r="H762" t="str" cm="1">
        <f t="array" ref="H762">_xlfn.SWITCH(Sheet5!D762, 1, "Clear Sky", 2, "Mist", 3, "Dark Cloud",4,"Heavy Rainfall")</f>
        <v>Mist</v>
      </c>
      <c r="I762" s="26">
        <f>Sheet5!E762*41</f>
        <v>5.74</v>
      </c>
      <c r="J762" s="27">
        <v>0.63</v>
      </c>
      <c r="K762">
        <v>0.1045</v>
      </c>
      <c r="L762">
        <v>0</v>
      </c>
      <c r="M762">
        <v>1</v>
      </c>
      <c r="N762">
        <v>1</v>
      </c>
    </row>
    <row r="763" spans="1:14" x14ac:dyDescent="0.3">
      <c r="A763">
        <v>762</v>
      </c>
      <c r="B763" s="21">
        <v>40578</v>
      </c>
      <c r="C763" s="25" t="s">
        <v>16</v>
      </c>
      <c r="D763" s="25" t="str" cm="1">
        <f t="array" ref="D763">_xlfn.SWITCH(Sheet5!A763,1,"JANUARY",2,"FEBRUARY")</f>
        <v>FEBRUARY</v>
      </c>
      <c r="E763">
        <v>3</v>
      </c>
      <c r="F763" t="str" cm="1">
        <f t="array" ref="F763">_xlfn.SWITCH(Sheet5!C763,FALSE,"NO",TRUE,"YES")</f>
        <v>NO</v>
      </c>
      <c r="G763" t="str" cm="1">
        <f t="array" ref="G763">_xlfn.SWITCH(Sheet5!B763,0,"Sunday",1,"Monday",2,"Tuesday",3,"Wednesday",4,"Thursday",5,"Friday",6,"Saturday")</f>
        <v>Friday</v>
      </c>
      <c r="H763" t="str" cm="1">
        <f t="array" ref="H763">_xlfn.SWITCH(Sheet5!D763, 1, "Clear Sky", 2, "Mist", 3, "Dark Cloud",4,"Heavy Rainfall")</f>
        <v>Mist</v>
      </c>
      <c r="I763" s="26">
        <f>Sheet5!E763*41</f>
        <v>5.74</v>
      </c>
      <c r="J763" s="27">
        <v>0.63</v>
      </c>
      <c r="K763">
        <v>0.1045</v>
      </c>
      <c r="L763">
        <v>0</v>
      </c>
      <c r="M763">
        <v>1</v>
      </c>
      <c r="N763">
        <v>1</v>
      </c>
    </row>
    <row r="764" spans="1:14" x14ac:dyDescent="0.3">
      <c r="A764">
        <v>763</v>
      </c>
      <c r="B764" s="21">
        <v>40578</v>
      </c>
      <c r="C764" s="25" t="s">
        <v>16</v>
      </c>
      <c r="D764" s="25" t="str" cm="1">
        <f t="array" ref="D764">_xlfn.SWITCH(Sheet5!A764,1,"JANUARY",2,"FEBRUARY")</f>
        <v>FEBRUARY</v>
      </c>
      <c r="E764">
        <v>5</v>
      </c>
      <c r="F764" t="str" cm="1">
        <f t="array" ref="F764">_xlfn.SWITCH(Sheet5!C764,FALSE,"NO",TRUE,"YES")</f>
        <v>NO</v>
      </c>
      <c r="G764" t="str" cm="1">
        <f t="array" ref="G764">_xlfn.SWITCH(Sheet5!B764,0,"Sunday",1,"Monday",2,"Tuesday",3,"Wednesday",4,"Thursday",5,"Friday",6,"Saturday")</f>
        <v>Friday</v>
      </c>
      <c r="H764" t="str" cm="1">
        <f t="array" ref="H764">_xlfn.SWITCH(Sheet5!D764, 1, "Clear Sky", 2, "Mist", 3, "Dark Cloud",4,"Heavy Rainfall")</f>
        <v>Mist</v>
      </c>
      <c r="I764" s="26">
        <f>Sheet5!E764*41</f>
        <v>5.74</v>
      </c>
      <c r="J764" s="27">
        <v>0.63</v>
      </c>
      <c r="K764">
        <v>0.1343</v>
      </c>
      <c r="L764">
        <v>0</v>
      </c>
      <c r="M764">
        <v>7</v>
      </c>
      <c r="N764">
        <v>7</v>
      </c>
    </row>
    <row r="765" spans="1:14" x14ac:dyDescent="0.3">
      <c r="A765">
        <v>764</v>
      </c>
      <c r="B765" s="21">
        <v>40578</v>
      </c>
      <c r="C765" s="25" t="s">
        <v>16</v>
      </c>
      <c r="D765" s="25" t="str" cm="1">
        <f t="array" ref="D765">_xlfn.SWITCH(Sheet5!A765,1,"JANUARY",2,"FEBRUARY")</f>
        <v>FEBRUARY</v>
      </c>
      <c r="E765">
        <v>6</v>
      </c>
      <c r="F765" t="str" cm="1">
        <f t="array" ref="F765">_xlfn.SWITCH(Sheet5!C765,FALSE,"NO",TRUE,"YES")</f>
        <v>NO</v>
      </c>
      <c r="G765" t="str" cm="1">
        <f t="array" ref="G765">_xlfn.SWITCH(Sheet5!B765,0,"Sunday",1,"Monday",2,"Tuesday",3,"Wednesday",4,"Thursday",5,"Friday",6,"Saturday")</f>
        <v>Friday</v>
      </c>
      <c r="H765" t="str" cm="1">
        <f t="array" ref="H765">_xlfn.SWITCH(Sheet5!D765, 1, "Clear Sky", 2, "Mist", 3, "Dark Cloud",4,"Heavy Rainfall")</f>
        <v>Mist</v>
      </c>
      <c r="I765" s="26">
        <f>Sheet5!E765*41</f>
        <v>6.5600000000000005</v>
      </c>
      <c r="J765" s="27">
        <v>0.55000000000000004</v>
      </c>
      <c r="K765">
        <v>0</v>
      </c>
      <c r="L765">
        <v>2</v>
      </c>
      <c r="M765">
        <v>26</v>
      </c>
      <c r="N765">
        <v>28</v>
      </c>
    </row>
    <row r="766" spans="1:14" x14ac:dyDescent="0.3">
      <c r="A766">
        <v>765</v>
      </c>
      <c r="B766" s="21">
        <v>40578</v>
      </c>
      <c r="C766" s="25" t="s">
        <v>16</v>
      </c>
      <c r="D766" s="25" t="str" cm="1">
        <f t="array" ref="D766">_xlfn.SWITCH(Sheet5!A766,1,"JANUARY",2,"FEBRUARY")</f>
        <v>FEBRUARY</v>
      </c>
      <c r="E766">
        <v>7</v>
      </c>
      <c r="F766" t="str" cm="1">
        <f t="array" ref="F766">_xlfn.SWITCH(Sheet5!C766,FALSE,"NO",TRUE,"YES")</f>
        <v>NO</v>
      </c>
      <c r="G766" t="str" cm="1">
        <f t="array" ref="G766">_xlfn.SWITCH(Sheet5!B766,0,"Sunday",1,"Monday",2,"Tuesday",3,"Wednesday",4,"Thursday",5,"Friday",6,"Saturday")</f>
        <v>Friday</v>
      </c>
      <c r="H766" t="str" cm="1">
        <f t="array" ref="H766">_xlfn.SWITCH(Sheet5!D766, 1, "Clear Sky", 2, "Mist", 3, "Dark Cloud",4,"Heavy Rainfall")</f>
        <v>Clear Sky</v>
      </c>
      <c r="I766" s="26">
        <f>Sheet5!E766*41</f>
        <v>5.74</v>
      </c>
      <c r="J766" s="27">
        <v>0.59</v>
      </c>
      <c r="K766">
        <v>0</v>
      </c>
      <c r="L766">
        <v>0</v>
      </c>
      <c r="M766">
        <v>87</v>
      </c>
      <c r="N766">
        <v>87</v>
      </c>
    </row>
    <row r="767" spans="1:14" x14ac:dyDescent="0.3">
      <c r="A767">
        <v>766</v>
      </c>
      <c r="B767" s="21">
        <v>40578</v>
      </c>
      <c r="C767" s="25" t="s">
        <v>16</v>
      </c>
      <c r="D767" s="25" t="str" cm="1">
        <f t="array" ref="D767">_xlfn.SWITCH(Sheet5!A767,1,"JANUARY",2,"FEBRUARY")</f>
        <v>FEBRUARY</v>
      </c>
      <c r="E767">
        <v>8</v>
      </c>
      <c r="F767" t="str" cm="1">
        <f t="array" ref="F767">_xlfn.SWITCH(Sheet5!C767,FALSE,"NO",TRUE,"YES")</f>
        <v>NO</v>
      </c>
      <c r="G767" t="str" cm="1">
        <f t="array" ref="G767">_xlfn.SWITCH(Sheet5!B767,0,"Sunday",1,"Monday",2,"Tuesday",3,"Wednesday",4,"Thursday",5,"Friday",6,"Saturday")</f>
        <v>Friday</v>
      </c>
      <c r="H767" t="str" cm="1">
        <f t="array" ref="H767">_xlfn.SWITCH(Sheet5!D767, 1, "Clear Sky", 2, "Mist", 3, "Dark Cloud",4,"Heavy Rainfall")</f>
        <v>Clear Sky</v>
      </c>
      <c r="I767" s="26">
        <f>Sheet5!E767*41</f>
        <v>5.74</v>
      </c>
      <c r="J767" s="27">
        <v>0.74</v>
      </c>
      <c r="K767">
        <v>0.1343</v>
      </c>
      <c r="L767">
        <v>3</v>
      </c>
      <c r="M767">
        <v>217</v>
      </c>
      <c r="N767">
        <v>220</v>
      </c>
    </row>
    <row r="768" spans="1:14" x14ac:dyDescent="0.3">
      <c r="A768">
        <v>767</v>
      </c>
      <c r="B768" s="21">
        <v>40578</v>
      </c>
      <c r="C768" s="25" t="s">
        <v>16</v>
      </c>
      <c r="D768" s="25" t="str" cm="1">
        <f t="array" ref="D768">_xlfn.SWITCH(Sheet5!A768,1,"JANUARY",2,"FEBRUARY")</f>
        <v>FEBRUARY</v>
      </c>
      <c r="E768">
        <v>9</v>
      </c>
      <c r="F768" t="str" cm="1">
        <f t="array" ref="F768">_xlfn.SWITCH(Sheet5!C768,FALSE,"NO",TRUE,"YES")</f>
        <v>NO</v>
      </c>
      <c r="G768" t="str" cm="1">
        <f t="array" ref="G768">_xlfn.SWITCH(Sheet5!B768,0,"Sunday",1,"Monday",2,"Tuesday",3,"Wednesday",4,"Thursday",5,"Friday",6,"Saturday")</f>
        <v>Friday</v>
      </c>
      <c r="H768" t="str" cm="1">
        <f t="array" ref="H768">_xlfn.SWITCH(Sheet5!D768, 1, "Clear Sky", 2, "Mist", 3, "Dark Cloud",4,"Heavy Rainfall")</f>
        <v>Mist</v>
      </c>
      <c r="I768" s="26">
        <f>Sheet5!E768*41</f>
        <v>6.5600000000000005</v>
      </c>
      <c r="J768" s="27">
        <v>0.8</v>
      </c>
      <c r="K768">
        <v>0.1343</v>
      </c>
      <c r="L768">
        <v>3</v>
      </c>
      <c r="M768">
        <v>124</v>
      </c>
      <c r="N768">
        <v>127</v>
      </c>
    </row>
    <row r="769" spans="1:14" x14ac:dyDescent="0.3">
      <c r="A769">
        <v>768</v>
      </c>
      <c r="B769" s="21">
        <v>40578</v>
      </c>
      <c r="C769" s="25" t="s">
        <v>16</v>
      </c>
      <c r="D769" s="25" t="str" cm="1">
        <f t="array" ref="D769">_xlfn.SWITCH(Sheet5!A769,1,"JANUARY",2,"FEBRUARY")</f>
        <v>FEBRUARY</v>
      </c>
      <c r="E769">
        <v>10</v>
      </c>
      <c r="F769" t="str" cm="1">
        <f t="array" ref="F769">_xlfn.SWITCH(Sheet5!C769,FALSE,"NO",TRUE,"YES")</f>
        <v>NO</v>
      </c>
      <c r="G769" t="str" cm="1">
        <f t="array" ref="G769">_xlfn.SWITCH(Sheet5!B769,0,"Sunday",1,"Monday",2,"Tuesday",3,"Wednesday",4,"Thursday",5,"Friday",6,"Saturday")</f>
        <v>Friday</v>
      </c>
      <c r="H769" t="str" cm="1">
        <f t="array" ref="H769">_xlfn.SWITCH(Sheet5!D769, 1, "Clear Sky", 2, "Mist", 3, "Dark Cloud",4,"Heavy Rainfall")</f>
        <v>Mist</v>
      </c>
      <c r="I769" s="26">
        <f>Sheet5!E769*41</f>
        <v>8.2000000000000011</v>
      </c>
      <c r="J769" s="27">
        <v>0.51</v>
      </c>
      <c r="K769">
        <v>0.1343</v>
      </c>
      <c r="L769">
        <v>5</v>
      </c>
      <c r="M769">
        <v>46</v>
      </c>
      <c r="N769">
        <v>51</v>
      </c>
    </row>
    <row r="770" spans="1:14" x14ac:dyDescent="0.3">
      <c r="A770">
        <v>769</v>
      </c>
      <c r="B770" s="21">
        <v>40578</v>
      </c>
      <c r="C770" s="25" t="s">
        <v>16</v>
      </c>
      <c r="D770" s="25" t="str" cm="1">
        <f t="array" ref="D770">_xlfn.SWITCH(Sheet5!A770,1,"JANUARY",2,"FEBRUARY")</f>
        <v>FEBRUARY</v>
      </c>
      <c r="E770">
        <v>11</v>
      </c>
      <c r="F770" t="str" cm="1">
        <f t="array" ref="F770">_xlfn.SWITCH(Sheet5!C770,FALSE,"NO",TRUE,"YES")</f>
        <v>NO</v>
      </c>
      <c r="G770" t="str" cm="1">
        <f t="array" ref="G770">_xlfn.SWITCH(Sheet5!B770,0,"Sunday",1,"Monday",2,"Tuesday",3,"Wednesday",4,"Thursday",5,"Friday",6,"Saturday")</f>
        <v>Friday</v>
      </c>
      <c r="H770" t="str" cm="1">
        <f t="array" ref="H770">_xlfn.SWITCH(Sheet5!D770, 1, "Clear Sky", 2, "Mist", 3, "Dark Cloud",4,"Heavy Rainfall")</f>
        <v>Clear Sky</v>
      </c>
      <c r="I770" s="26">
        <f>Sheet5!E770*41</f>
        <v>9.02</v>
      </c>
      <c r="J770" s="27">
        <v>0.51</v>
      </c>
      <c r="K770">
        <v>0.16420000000000001</v>
      </c>
      <c r="L770">
        <v>3</v>
      </c>
      <c r="M770">
        <v>61</v>
      </c>
      <c r="N770">
        <v>64</v>
      </c>
    </row>
    <row r="771" spans="1:14" x14ac:dyDescent="0.3">
      <c r="A771">
        <v>770</v>
      </c>
      <c r="B771" s="21">
        <v>40578</v>
      </c>
      <c r="C771" s="25" t="s">
        <v>16</v>
      </c>
      <c r="D771" s="25" t="str" cm="1">
        <f t="array" ref="D771">_xlfn.SWITCH(Sheet5!A771,1,"JANUARY",2,"FEBRUARY")</f>
        <v>FEBRUARY</v>
      </c>
      <c r="E771">
        <v>12</v>
      </c>
      <c r="F771" t="str" cm="1">
        <f t="array" ref="F771">_xlfn.SWITCH(Sheet5!C771,FALSE,"NO",TRUE,"YES")</f>
        <v>NO</v>
      </c>
      <c r="G771" t="str" cm="1">
        <f t="array" ref="G771">_xlfn.SWITCH(Sheet5!B771,0,"Sunday",1,"Monday",2,"Tuesday",3,"Wednesday",4,"Thursday",5,"Friday",6,"Saturday")</f>
        <v>Friday</v>
      </c>
      <c r="H771" t="str" cm="1">
        <f t="array" ref="H771">_xlfn.SWITCH(Sheet5!D771, 1, "Clear Sky", 2, "Mist", 3, "Dark Cloud",4,"Heavy Rainfall")</f>
        <v>Mist</v>
      </c>
      <c r="I771" s="26">
        <f>Sheet5!E771*41</f>
        <v>9.84</v>
      </c>
      <c r="J771" s="27">
        <v>0.48</v>
      </c>
      <c r="K771">
        <v>0.16420000000000001</v>
      </c>
      <c r="L771">
        <v>8</v>
      </c>
      <c r="M771">
        <v>78</v>
      </c>
      <c r="N771">
        <v>86</v>
      </c>
    </row>
    <row r="772" spans="1:14" x14ac:dyDescent="0.3">
      <c r="A772">
        <v>771</v>
      </c>
      <c r="B772" s="21">
        <v>40578</v>
      </c>
      <c r="C772" s="25" t="s">
        <v>16</v>
      </c>
      <c r="D772" s="25" t="str" cm="1">
        <f t="array" ref="D772">_xlfn.SWITCH(Sheet5!A772,1,"JANUARY",2,"FEBRUARY")</f>
        <v>FEBRUARY</v>
      </c>
      <c r="E772">
        <v>13</v>
      </c>
      <c r="F772" t="str" cm="1">
        <f t="array" ref="F772">_xlfn.SWITCH(Sheet5!C772,FALSE,"NO",TRUE,"YES")</f>
        <v>NO</v>
      </c>
      <c r="G772" t="str" cm="1">
        <f t="array" ref="G772">_xlfn.SWITCH(Sheet5!B772,0,"Sunday",1,"Monday",2,"Tuesday",3,"Wednesday",4,"Thursday",5,"Friday",6,"Saturday")</f>
        <v>Friday</v>
      </c>
      <c r="H772" t="str" cm="1">
        <f t="array" ref="H772">_xlfn.SWITCH(Sheet5!D772, 1, "Clear Sky", 2, "Mist", 3, "Dark Cloud",4,"Heavy Rainfall")</f>
        <v>Mist</v>
      </c>
      <c r="I772" s="26">
        <f>Sheet5!E772*41</f>
        <v>10.66</v>
      </c>
      <c r="J772" s="27">
        <v>0.5</v>
      </c>
      <c r="K772">
        <v>0.22389999999999999</v>
      </c>
      <c r="L772">
        <v>9</v>
      </c>
      <c r="M772">
        <v>73</v>
      </c>
      <c r="N772">
        <v>82</v>
      </c>
    </row>
    <row r="773" spans="1:14" x14ac:dyDescent="0.3">
      <c r="A773">
        <v>772</v>
      </c>
      <c r="B773" s="21">
        <v>40578</v>
      </c>
      <c r="C773" s="25" t="s">
        <v>16</v>
      </c>
      <c r="D773" s="25" t="str" cm="1">
        <f t="array" ref="D773">_xlfn.SWITCH(Sheet5!A773,1,"JANUARY",2,"FEBRUARY")</f>
        <v>FEBRUARY</v>
      </c>
      <c r="E773">
        <v>14</v>
      </c>
      <c r="F773" t="str" cm="1">
        <f t="array" ref="F773">_xlfn.SWITCH(Sheet5!C773,FALSE,"NO",TRUE,"YES")</f>
        <v>NO</v>
      </c>
      <c r="G773" t="str" cm="1">
        <f t="array" ref="G773">_xlfn.SWITCH(Sheet5!B773,0,"Sunday",1,"Monday",2,"Tuesday",3,"Wednesday",4,"Thursday",5,"Friday",6,"Saturday")</f>
        <v>Friday</v>
      </c>
      <c r="H773" t="str" cm="1">
        <f t="array" ref="H773">_xlfn.SWITCH(Sheet5!D773, 1, "Clear Sky", 2, "Mist", 3, "Dark Cloud",4,"Heavy Rainfall")</f>
        <v>Mist</v>
      </c>
      <c r="I773" s="26">
        <f>Sheet5!E773*41</f>
        <v>11.48</v>
      </c>
      <c r="J773" s="27">
        <v>0.45</v>
      </c>
      <c r="K773">
        <v>0.16420000000000001</v>
      </c>
      <c r="L773">
        <v>15</v>
      </c>
      <c r="M773">
        <v>76</v>
      </c>
      <c r="N773">
        <v>91</v>
      </c>
    </row>
    <row r="774" spans="1:14" x14ac:dyDescent="0.3">
      <c r="A774">
        <v>773</v>
      </c>
      <c r="B774" s="21">
        <v>40578</v>
      </c>
      <c r="C774" s="25" t="s">
        <v>16</v>
      </c>
      <c r="D774" s="25" t="str" cm="1">
        <f t="array" ref="D774">_xlfn.SWITCH(Sheet5!A774,1,"JANUARY",2,"FEBRUARY")</f>
        <v>FEBRUARY</v>
      </c>
      <c r="E774">
        <v>15</v>
      </c>
      <c r="F774" t="str" cm="1">
        <f t="array" ref="F774">_xlfn.SWITCH(Sheet5!C774,FALSE,"NO",TRUE,"YES")</f>
        <v>NO</v>
      </c>
      <c r="G774" t="str" cm="1">
        <f t="array" ref="G774">_xlfn.SWITCH(Sheet5!B774,0,"Sunday",1,"Monday",2,"Tuesday",3,"Wednesday",4,"Thursday",5,"Friday",6,"Saturday")</f>
        <v>Friday</v>
      </c>
      <c r="H774" t="str" cm="1">
        <f t="array" ref="H774">_xlfn.SWITCH(Sheet5!D774, 1, "Clear Sky", 2, "Mist", 3, "Dark Cloud",4,"Heavy Rainfall")</f>
        <v>Mist</v>
      </c>
      <c r="I774" s="26">
        <f>Sheet5!E774*41</f>
        <v>11.48</v>
      </c>
      <c r="J774" s="27">
        <v>0.48</v>
      </c>
      <c r="K774">
        <v>0.25369999999999998</v>
      </c>
      <c r="L774">
        <v>9</v>
      </c>
      <c r="M774">
        <v>81</v>
      </c>
      <c r="N774">
        <v>90</v>
      </c>
    </row>
    <row r="775" spans="1:14" x14ac:dyDescent="0.3">
      <c r="A775">
        <v>774</v>
      </c>
      <c r="B775" s="21">
        <v>40578</v>
      </c>
      <c r="C775" s="25" t="s">
        <v>16</v>
      </c>
      <c r="D775" s="25" t="str" cm="1">
        <f t="array" ref="D775">_xlfn.SWITCH(Sheet5!A775,1,"JANUARY",2,"FEBRUARY")</f>
        <v>FEBRUARY</v>
      </c>
      <c r="E775">
        <v>16</v>
      </c>
      <c r="F775" t="str" cm="1">
        <f t="array" ref="F775">_xlfn.SWITCH(Sheet5!C775,FALSE,"NO",TRUE,"YES")</f>
        <v>NO</v>
      </c>
      <c r="G775" t="str" cm="1">
        <f t="array" ref="G775">_xlfn.SWITCH(Sheet5!B775,0,"Sunday",1,"Monday",2,"Tuesday",3,"Wednesday",4,"Thursday",5,"Friday",6,"Saturday")</f>
        <v>Friday</v>
      </c>
      <c r="H775" t="str" cm="1">
        <f t="array" ref="H775">_xlfn.SWITCH(Sheet5!D775, 1, "Clear Sky", 2, "Mist", 3, "Dark Cloud",4,"Heavy Rainfall")</f>
        <v>Mist</v>
      </c>
      <c r="I775" s="26">
        <f>Sheet5!E775*41</f>
        <v>12.299999999999999</v>
      </c>
      <c r="J775" s="27">
        <v>0.42</v>
      </c>
      <c r="K775">
        <v>0.22389999999999999</v>
      </c>
      <c r="L775">
        <v>8</v>
      </c>
      <c r="M775">
        <v>91</v>
      </c>
      <c r="N775">
        <v>99</v>
      </c>
    </row>
    <row r="776" spans="1:14" x14ac:dyDescent="0.3">
      <c r="A776">
        <v>775</v>
      </c>
      <c r="B776" s="21">
        <v>40578</v>
      </c>
      <c r="C776" s="25" t="s">
        <v>16</v>
      </c>
      <c r="D776" s="25" t="str" cm="1">
        <f t="array" ref="D776">_xlfn.SWITCH(Sheet5!A776,1,"JANUARY",2,"FEBRUARY")</f>
        <v>FEBRUARY</v>
      </c>
      <c r="E776">
        <v>17</v>
      </c>
      <c r="F776" t="str" cm="1">
        <f t="array" ref="F776">_xlfn.SWITCH(Sheet5!C776,FALSE,"NO",TRUE,"YES")</f>
        <v>NO</v>
      </c>
      <c r="G776" t="str" cm="1">
        <f t="array" ref="G776">_xlfn.SWITCH(Sheet5!B776,0,"Sunday",1,"Monday",2,"Tuesday",3,"Wednesday",4,"Thursday",5,"Friday",6,"Saturday")</f>
        <v>Friday</v>
      </c>
      <c r="H776" t="str" cm="1">
        <f t="array" ref="H776">_xlfn.SWITCH(Sheet5!D776, 1, "Clear Sky", 2, "Mist", 3, "Dark Cloud",4,"Heavy Rainfall")</f>
        <v>Mist</v>
      </c>
      <c r="I776" s="26">
        <f>Sheet5!E776*41</f>
        <v>10.66</v>
      </c>
      <c r="J776" s="27">
        <v>0.56000000000000005</v>
      </c>
      <c r="K776">
        <v>0.1343</v>
      </c>
      <c r="L776">
        <v>10</v>
      </c>
      <c r="M776">
        <v>195</v>
      </c>
      <c r="N776">
        <v>205</v>
      </c>
    </row>
    <row r="777" spans="1:14" x14ac:dyDescent="0.3">
      <c r="A777">
        <v>776</v>
      </c>
      <c r="B777" s="21">
        <v>40578</v>
      </c>
      <c r="C777" s="25" t="s">
        <v>16</v>
      </c>
      <c r="D777" s="25" t="str" cm="1">
        <f t="array" ref="D777">_xlfn.SWITCH(Sheet5!A777,1,"JANUARY",2,"FEBRUARY")</f>
        <v>FEBRUARY</v>
      </c>
      <c r="E777">
        <v>18</v>
      </c>
      <c r="F777" t="str" cm="1">
        <f t="array" ref="F777">_xlfn.SWITCH(Sheet5!C777,FALSE,"NO",TRUE,"YES")</f>
        <v>NO</v>
      </c>
      <c r="G777" t="str" cm="1">
        <f t="array" ref="G777">_xlfn.SWITCH(Sheet5!B777,0,"Sunday",1,"Monday",2,"Tuesday",3,"Wednesday",4,"Thursday",5,"Friday",6,"Saturday")</f>
        <v>Friday</v>
      </c>
      <c r="H777" t="str" cm="1">
        <f t="array" ref="H777">_xlfn.SWITCH(Sheet5!D777, 1, "Clear Sky", 2, "Mist", 3, "Dark Cloud",4,"Heavy Rainfall")</f>
        <v>Mist</v>
      </c>
      <c r="I777" s="26">
        <f>Sheet5!E777*41</f>
        <v>9.84</v>
      </c>
      <c r="J777" s="27">
        <v>0.6</v>
      </c>
      <c r="K777">
        <v>0.1045</v>
      </c>
      <c r="L777">
        <v>3</v>
      </c>
      <c r="M777">
        <v>152</v>
      </c>
      <c r="N777">
        <v>155</v>
      </c>
    </row>
    <row r="778" spans="1:14" x14ac:dyDescent="0.3">
      <c r="A778">
        <v>777</v>
      </c>
      <c r="B778" s="21">
        <v>40578</v>
      </c>
      <c r="C778" s="25" t="s">
        <v>16</v>
      </c>
      <c r="D778" s="25" t="str" cm="1">
        <f t="array" ref="D778">_xlfn.SWITCH(Sheet5!A778,1,"JANUARY",2,"FEBRUARY")</f>
        <v>FEBRUARY</v>
      </c>
      <c r="E778">
        <v>19</v>
      </c>
      <c r="F778" t="str" cm="1">
        <f t="array" ref="F778">_xlfn.SWITCH(Sheet5!C778,FALSE,"NO",TRUE,"YES")</f>
        <v>NO</v>
      </c>
      <c r="G778" t="str" cm="1">
        <f t="array" ref="G778">_xlfn.SWITCH(Sheet5!B778,0,"Sunday",1,"Monday",2,"Tuesday",3,"Wednesday",4,"Thursday",5,"Friday",6,"Saturday")</f>
        <v>Friday</v>
      </c>
      <c r="H778" t="str" cm="1">
        <f t="array" ref="H778">_xlfn.SWITCH(Sheet5!D778, 1, "Clear Sky", 2, "Mist", 3, "Dark Cloud",4,"Heavy Rainfall")</f>
        <v>Mist</v>
      </c>
      <c r="I778" s="26">
        <f>Sheet5!E778*41</f>
        <v>9.84</v>
      </c>
      <c r="J778" s="27">
        <v>0.65</v>
      </c>
      <c r="K778">
        <v>0.1343</v>
      </c>
      <c r="L778">
        <v>1</v>
      </c>
      <c r="M778">
        <v>102</v>
      </c>
      <c r="N778">
        <v>103</v>
      </c>
    </row>
    <row r="779" spans="1:14" x14ac:dyDescent="0.3">
      <c r="A779">
        <v>778</v>
      </c>
      <c r="B779" s="21">
        <v>40578</v>
      </c>
      <c r="C779" s="25" t="s">
        <v>16</v>
      </c>
      <c r="D779" s="25" t="str" cm="1">
        <f t="array" ref="D779">_xlfn.SWITCH(Sheet5!A779,1,"JANUARY",2,"FEBRUARY")</f>
        <v>FEBRUARY</v>
      </c>
      <c r="E779">
        <v>20</v>
      </c>
      <c r="F779" t="str" cm="1">
        <f t="array" ref="F779">_xlfn.SWITCH(Sheet5!C779,FALSE,"NO",TRUE,"YES")</f>
        <v>NO</v>
      </c>
      <c r="G779" t="str" cm="1">
        <f t="array" ref="G779">_xlfn.SWITCH(Sheet5!B779,0,"Sunday",1,"Monday",2,"Tuesday",3,"Wednesday",4,"Thursday",5,"Friday",6,"Saturday")</f>
        <v>Friday</v>
      </c>
      <c r="H779" t="str" cm="1">
        <f t="array" ref="H779">_xlfn.SWITCH(Sheet5!D779, 1, "Clear Sky", 2, "Mist", 3, "Dark Cloud",4,"Heavy Rainfall")</f>
        <v>Mist</v>
      </c>
      <c r="I779" s="26">
        <f>Sheet5!E779*41</f>
        <v>9.84</v>
      </c>
      <c r="J779" s="27">
        <v>0.65</v>
      </c>
      <c r="K779">
        <v>0.16420000000000001</v>
      </c>
      <c r="L779">
        <v>2</v>
      </c>
      <c r="M779">
        <v>69</v>
      </c>
      <c r="N779">
        <v>71</v>
      </c>
    </row>
    <row r="780" spans="1:14" x14ac:dyDescent="0.3">
      <c r="A780">
        <v>779</v>
      </c>
      <c r="B780" s="21">
        <v>40578</v>
      </c>
      <c r="C780" s="25" t="s">
        <v>16</v>
      </c>
      <c r="D780" s="25" t="str" cm="1">
        <f t="array" ref="D780">_xlfn.SWITCH(Sheet5!A780,1,"JANUARY",2,"FEBRUARY")</f>
        <v>FEBRUARY</v>
      </c>
      <c r="E780">
        <v>21</v>
      </c>
      <c r="F780" t="str" cm="1">
        <f t="array" ref="F780">_xlfn.SWITCH(Sheet5!C780,FALSE,"NO",TRUE,"YES")</f>
        <v>NO</v>
      </c>
      <c r="G780" t="str" cm="1">
        <f t="array" ref="G780">_xlfn.SWITCH(Sheet5!B780,0,"Sunday",1,"Monday",2,"Tuesday",3,"Wednesday",4,"Thursday",5,"Friday",6,"Saturday")</f>
        <v>Friday</v>
      </c>
      <c r="H780" t="str" cm="1">
        <f t="array" ref="H780">_xlfn.SWITCH(Sheet5!D780, 1, "Clear Sky", 2, "Mist", 3, "Dark Cloud",4,"Heavy Rainfall")</f>
        <v>Mist</v>
      </c>
      <c r="I780" s="26">
        <f>Sheet5!E780*41</f>
        <v>9.84</v>
      </c>
      <c r="J780" s="27">
        <v>0.7</v>
      </c>
      <c r="K780">
        <v>0.16420000000000001</v>
      </c>
      <c r="L780">
        <v>2</v>
      </c>
      <c r="M780">
        <v>41</v>
      </c>
      <c r="N780">
        <v>43</v>
      </c>
    </row>
    <row r="781" spans="1:14" x14ac:dyDescent="0.3">
      <c r="A781">
        <v>780</v>
      </c>
      <c r="B781" s="21">
        <v>40578</v>
      </c>
      <c r="C781" s="25" t="s">
        <v>16</v>
      </c>
      <c r="D781" s="25" t="str" cm="1">
        <f t="array" ref="D781">_xlfn.SWITCH(Sheet5!A781,1,"JANUARY",2,"FEBRUARY")</f>
        <v>FEBRUARY</v>
      </c>
      <c r="E781">
        <v>22</v>
      </c>
      <c r="F781" t="str" cm="1">
        <f t="array" ref="F781">_xlfn.SWITCH(Sheet5!C781,FALSE,"NO",TRUE,"YES")</f>
        <v>NO</v>
      </c>
      <c r="G781" t="str" cm="1">
        <f t="array" ref="G781">_xlfn.SWITCH(Sheet5!B781,0,"Sunday",1,"Monday",2,"Tuesday",3,"Wednesday",4,"Thursday",5,"Friday",6,"Saturday")</f>
        <v>Friday</v>
      </c>
      <c r="H781" t="str" cm="1">
        <f t="array" ref="H781">_xlfn.SWITCH(Sheet5!D781, 1, "Clear Sky", 2, "Mist", 3, "Dark Cloud",4,"Heavy Rainfall")</f>
        <v>Mist</v>
      </c>
      <c r="I781" s="26">
        <f>Sheet5!E781*41</f>
        <v>9.84</v>
      </c>
      <c r="J781" s="27">
        <v>0.65</v>
      </c>
      <c r="K781">
        <v>0.16420000000000001</v>
      </c>
      <c r="L781">
        <v>1</v>
      </c>
      <c r="M781">
        <v>45</v>
      </c>
      <c r="N781">
        <v>46</v>
      </c>
    </row>
    <row r="782" spans="1:14" x14ac:dyDescent="0.3">
      <c r="A782">
        <v>781</v>
      </c>
      <c r="B782" s="21">
        <v>40578</v>
      </c>
      <c r="C782" s="25" t="s">
        <v>16</v>
      </c>
      <c r="D782" s="25" t="str" cm="1">
        <f t="array" ref="D782">_xlfn.SWITCH(Sheet5!A782,1,"JANUARY",2,"FEBRUARY")</f>
        <v>FEBRUARY</v>
      </c>
      <c r="E782">
        <v>23</v>
      </c>
      <c r="F782" t="str" cm="1">
        <f t="array" ref="F782">_xlfn.SWITCH(Sheet5!C782,FALSE,"NO",TRUE,"YES")</f>
        <v>NO</v>
      </c>
      <c r="G782" t="str" cm="1">
        <f t="array" ref="G782">_xlfn.SWITCH(Sheet5!B782,0,"Sunday",1,"Monday",2,"Tuesday",3,"Wednesday",4,"Thursday",5,"Friday",6,"Saturday")</f>
        <v>Friday</v>
      </c>
      <c r="H782" t="str" cm="1">
        <f t="array" ref="H782">_xlfn.SWITCH(Sheet5!D782, 1, "Clear Sky", 2, "Mist", 3, "Dark Cloud",4,"Heavy Rainfall")</f>
        <v>Mist</v>
      </c>
      <c r="I782" s="26">
        <f>Sheet5!E782*41</f>
        <v>9.84</v>
      </c>
      <c r="J782" s="27">
        <v>0.7</v>
      </c>
      <c r="K782">
        <v>0.1343</v>
      </c>
      <c r="L782">
        <v>1</v>
      </c>
      <c r="M782">
        <v>30</v>
      </c>
      <c r="N782">
        <v>31</v>
      </c>
    </row>
    <row r="783" spans="1:14" x14ac:dyDescent="0.3">
      <c r="A783">
        <v>782</v>
      </c>
      <c r="B783" s="21">
        <v>40579</v>
      </c>
      <c r="C783" s="25" t="s">
        <v>16</v>
      </c>
      <c r="D783" s="25" t="str" cm="1">
        <f t="array" ref="D783">_xlfn.SWITCH(Sheet5!A783,1,"JANUARY",2,"FEBRUARY")</f>
        <v>FEBRUARY</v>
      </c>
      <c r="E783">
        <v>0</v>
      </c>
      <c r="F783" t="str" cm="1">
        <f t="array" ref="F783">_xlfn.SWITCH(Sheet5!C783,FALSE,"NO",TRUE,"YES")</f>
        <v>NO</v>
      </c>
      <c r="G783" t="str" cm="1">
        <f t="array" ref="G783">_xlfn.SWITCH(Sheet5!B783,0,"Sunday",1,"Monday",2,"Tuesday",3,"Wednesday",4,"Thursday",5,"Friday",6,"Saturday")</f>
        <v>Saturday</v>
      </c>
      <c r="H783" t="str" cm="1">
        <f t="array" ref="H783">_xlfn.SWITCH(Sheet5!D783, 1, "Clear Sky", 2, "Mist", 3, "Dark Cloud",4,"Heavy Rainfall")</f>
        <v>Mist</v>
      </c>
      <c r="I783" s="26">
        <f>Sheet5!E783*41</f>
        <v>9.84</v>
      </c>
      <c r="J783" s="27">
        <v>0.7</v>
      </c>
      <c r="K783">
        <v>0.16420000000000001</v>
      </c>
      <c r="L783">
        <v>3</v>
      </c>
      <c r="M783">
        <v>36</v>
      </c>
      <c r="N783">
        <v>39</v>
      </c>
    </row>
    <row r="784" spans="1:14" x14ac:dyDescent="0.3">
      <c r="A784">
        <v>783</v>
      </c>
      <c r="B784" s="21">
        <v>40579</v>
      </c>
      <c r="C784" s="25" t="s">
        <v>16</v>
      </c>
      <c r="D784" s="25" t="str" cm="1">
        <f t="array" ref="D784">_xlfn.SWITCH(Sheet5!A784,1,"JANUARY",2,"FEBRUARY")</f>
        <v>FEBRUARY</v>
      </c>
      <c r="E784">
        <v>1</v>
      </c>
      <c r="F784" t="str" cm="1">
        <f t="array" ref="F784">_xlfn.SWITCH(Sheet5!C784,FALSE,"NO",TRUE,"YES")</f>
        <v>NO</v>
      </c>
      <c r="G784" t="str" cm="1">
        <f t="array" ref="G784">_xlfn.SWITCH(Sheet5!B784,0,"Sunday",1,"Monday",2,"Tuesday",3,"Wednesday",4,"Thursday",5,"Friday",6,"Saturday")</f>
        <v>Saturday</v>
      </c>
      <c r="H784" t="str" cm="1">
        <f t="array" ref="H784">_xlfn.SWITCH(Sheet5!D784, 1, "Clear Sky", 2, "Mist", 3, "Dark Cloud",4,"Heavy Rainfall")</f>
        <v>Mist</v>
      </c>
      <c r="I784" s="26">
        <f>Sheet5!E784*41</f>
        <v>9.84</v>
      </c>
      <c r="J784" s="27">
        <v>0.65</v>
      </c>
      <c r="K784">
        <v>0.16420000000000001</v>
      </c>
      <c r="L784">
        <v>1</v>
      </c>
      <c r="M784">
        <v>17</v>
      </c>
      <c r="N784">
        <v>18</v>
      </c>
    </row>
    <row r="785" spans="1:14" x14ac:dyDescent="0.3">
      <c r="A785">
        <v>784</v>
      </c>
      <c r="B785" s="21">
        <v>40579</v>
      </c>
      <c r="C785" s="25" t="s">
        <v>16</v>
      </c>
      <c r="D785" s="25" t="str" cm="1">
        <f t="array" ref="D785">_xlfn.SWITCH(Sheet5!A785,1,"JANUARY",2,"FEBRUARY")</f>
        <v>FEBRUARY</v>
      </c>
      <c r="E785">
        <v>2</v>
      </c>
      <c r="F785" t="str" cm="1">
        <f t="array" ref="F785">_xlfn.SWITCH(Sheet5!C785,FALSE,"NO",TRUE,"YES")</f>
        <v>NO</v>
      </c>
      <c r="G785" t="str" cm="1">
        <f t="array" ref="G785">_xlfn.SWITCH(Sheet5!B785,0,"Sunday",1,"Monday",2,"Tuesday",3,"Wednesday",4,"Thursday",5,"Friday",6,"Saturday")</f>
        <v>Saturday</v>
      </c>
      <c r="H785" t="str" cm="1">
        <f t="array" ref="H785">_xlfn.SWITCH(Sheet5!D785, 1, "Clear Sky", 2, "Mist", 3, "Dark Cloud",4,"Heavy Rainfall")</f>
        <v>Mist</v>
      </c>
      <c r="I785" s="26">
        <f>Sheet5!E785*41</f>
        <v>9.84</v>
      </c>
      <c r="J785" s="27">
        <v>0.75</v>
      </c>
      <c r="K785">
        <v>0.16420000000000001</v>
      </c>
      <c r="L785">
        <v>5</v>
      </c>
      <c r="M785">
        <v>12</v>
      </c>
      <c r="N785">
        <v>17</v>
      </c>
    </row>
    <row r="786" spans="1:14" x14ac:dyDescent="0.3">
      <c r="A786">
        <v>785</v>
      </c>
      <c r="B786" s="21">
        <v>40579</v>
      </c>
      <c r="C786" s="25" t="s">
        <v>16</v>
      </c>
      <c r="D786" s="25" t="str" cm="1">
        <f t="array" ref="D786">_xlfn.SWITCH(Sheet5!A786,1,"JANUARY",2,"FEBRUARY")</f>
        <v>FEBRUARY</v>
      </c>
      <c r="E786">
        <v>3</v>
      </c>
      <c r="F786" t="str" cm="1">
        <f t="array" ref="F786">_xlfn.SWITCH(Sheet5!C786,FALSE,"NO",TRUE,"YES")</f>
        <v>NO</v>
      </c>
      <c r="G786" t="str" cm="1">
        <f t="array" ref="G786">_xlfn.SWITCH(Sheet5!B786,0,"Sunday",1,"Monday",2,"Tuesday",3,"Wednesday",4,"Thursday",5,"Friday",6,"Saturday")</f>
        <v>Saturday</v>
      </c>
      <c r="H786" t="str" cm="1">
        <f t="array" ref="H786">_xlfn.SWITCH(Sheet5!D786, 1, "Clear Sky", 2, "Mist", 3, "Dark Cloud",4,"Heavy Rainfall")</f>
        <v>Mist</v>
      </c>
      <c r="I786" s="26">
        <f>Sheet5!E786*41</f>
        <v>9.84</v>
      </c>
      <c r="J786" s="27">
        <v>0.75</v>
      </c>
      <c r="K786">
        <v>0.16420000000000001</v>
      </c>
      <c r="L786">
        <v>1</v>
      </c>
      <c r="M786">
        <v>10</v>
      </c>
      <c r="N786">
        <v>11</v>
      </c>
    </row>
    <row r="787" spans="1:14" x14ac:dyDescent="0.3">
      <c r="A787">
        <v>786</v>
      </c>
      <c r="B787" s="21">
        <v>40579</v>
      </c>
      <c r="C787" s="25" t="s">
        <v>16</v>
      </c>
      <c r="D787" s="25" t="str" cm="1">
        <f t="array" ref="D787">_xlfn.SWITCH(Sheet5!A787,1,"JANUARY",2,"FEBRUARY")</f>
        <v>FEBRUARY</v>
      </c>
      <c r="E787">
        <v>4</v>
      </c>
      <c r="F787" t="str" cm="1">
        <f t="array" ref="F787">_xlfn.SWITCH(Sheet5!C787,FALSE,"NO",TRUE,"YES")</f>
        <v>NO</v>
      </c>
      <c r="G787" t="str" cm="1">
        <f t="array" ref="G787">_xlfn.SWITCH(Sheet5!B787,0,"Sunday",1,"Monday",2,"Tuesday",3,"Wednesday",4,"Thursday",5,"Friday",6,"Saturday")</f>
        <v>Saturday</v>
      </c>
      <c r="H787" t="str" cm="1">
        <f t="array" ref="H787">_xlfn.SWITCH(Sheet5!D787, 1, "Clear Sky", 2, "Mist", 3, "Dark Cloud",4,"Heavy Rainfall")</f>
        <v>Dark Cloud</v>
      </c>
      <c r="I787" s="26">
        <f>Sheet5!E787*41</f>
        <v>9.02</v>
      </c>
      <c r="J787" s="27">
        <v>0.93</v>
      </c>
      <c r="K787">
        <v>0.1343</v>
      </c>
      <c r="L787">
        <v>0</v>
      </c>
      <c r="M787">
        <v>8</v>
      </c>
      <c r="N787">
        <v>8</v>
      </c>
    </row>
    <row r="788" spans="1:14" x14ac:dyDescent="0.3">
      <c r="A788">
        <v>787</v>
      </c>
      <c r="B788" s="21">
        <v>40579</v>
      </c>
      <c r="C788" s="25" t="s">
        <v>16</v>
      </c>
      <c r="D788" s="25" t="str" cm="1">
        <f t="array" ref="D788">_xlfn.SWITCH(Sheet5!A788,1,"JANUARY",2,"FEBRUARY")</f>
        <v>FEBRUARY</v>
      </c>
      <c r="E788">
        <v>5</v>
      </c>
      <c r="F788" t="str" cm="1">
        <f t="array" ref="F788">_xlfn.SWITCH(Sheet5!C788,FALSE,"NO",TRUE,"YES")</f>
        <v>NO</v>
      </c>
      <c r="G788" t="str" cm="1">
        <f t="array" ref="G788">_xlfn.SWITCH(Sheet5!B788,0,"Sunday",1,"Monday",2,"Tuesday",3,"Wednesday",4,"Thursday",5,"Friday",6,"Saturday")</f>
        <v>Saturday</v>
      </c>
      <c r="H788" t="str" cm="1">
        <f t="array" ref="H788">_xlfn.SWITCH(Sheet5!D788, 1, "Clear Sky", 2, "Mist", 3, "Dark Cloud",4,"Heavy Rainfall")</f>
        <v>Dark Cloud</v>
      </c>
      <c r="I788" s="26">
        <f>Sheet5!E788*41</f>
        <v>8.2000000000000011</v>
      </c>
      <c r="J788" s="27">
        <v>1</v>
      </c>
      <c r="K788">
        <v>8.9599999999999999E-2</v>
      </c>
      <c r="L788">
        <v>0</v>
      </c>
      <c r="M788">
        <v>9</v>
      </c>
      <c r="N788">
        <v>9</v>
      </c>
    </row>
    <row r="789" spans="1:14" x14ac:dyDescent="0.3">
      <c r="A789">
        <v>788</v>
      </c>
      <c r="B789" s="21">
        <v>40579</v>
      </c>
      <c r="C789" s="25" t="s">
        <v>16</v>
      </c>
      <c r="D789" s="25" t="str" cm="1">
        <f t="array" ref="D789">_xlfn.SWITCH(Sheet5!A789,1,"JANUARY",2,"FEBRUARY")</f>
        <v>FEBRUARY</v>
      </c>
      <c r="E789">
        <v>6</v>
      </c>
      <c r="F789" t="str" cm="1">
        <f t="array" ref="F789">_xlfn.SWITCH(Sheet5!C789,FALSE,"NO",TRUE,"YES")</f>
        <v>NO</v>
      </c>
      <c r="G789" t="str" cm="1">
        <f t="array" ref="G789">_xlfn.SWITCH(Sheet5!B789,0,"Sunday",1,"Monday",2,"Tuesday",3,"Wednesday",4,"Thursday",5,"Friday",6,"Saturday")</f>
        <v>Saturday</v>
      </c>
      <c r="H789" t="str" cm="1">
        <f t="array" ref="H789">_xlfn.SWITCH(Sheet5!D789, 1, "Clear Sky", 2, "Mist", 3, "Dark Cloud",4,"Heavy Rainfall")</f>
        <v>Dark Cloud</v>
      </c>
      <c r="I789" s="26">
        <f>Sheet5!E789*41</f>
        <v>8.2000000000000011</v>
      </c>
      <c r="J789" s="27">
        <v>1</v>
      </c>
      <c r="K789">
        <v>0</v>
      </c>
      <c r="L789">
        <v>0</v>
      </c>
      <c r="M789">
        <v>4</v>
      </c>
      <c r="N789">
        <v>4</v>
      </c>
    </row>
    <row r="790" spans="1:14" x14ac:dyDescent="0.3">
      <c r="A790">
        <v>789</v>
      </c>
      <c r="B790" s="21">
        <v>40579</v>
      </c>
      <c r="C790" s="25" t="s">
        <v>16</v>
      </c>
      <c r="D790" s="25" t="str" cm="1">
        <f t="array" ref="D790">_xlfn.SWITCH(Sheet5!A790,1,"JANUARY",2,"FEBRUARY")</f>
        <v>FEBRUARY</v>
      </c>
      <c r="E790">
        <v>7</v>
      </c>
      <c r="F790" t="str" cm="1">
        <f t="array" ref="F790">_xlfn.SWITCH(Sheet5!C790,FALSE,"NO",TRUE,"YES")</f>
        <v>NO</v>
      </c>
      <c r="G790" t="str" cm="1">
        <f t="array" ref="G790">_xlfn.SWITCH(Sheet5!B790,0,"Sunday",1,"Monday",2,"Tuesday",3,"Wednesday",4,"Thursday",5,"Friday",6,"Saturday")</f>
        <v>Saturday</v>
      </c>
      <c r="H790" t="str" cm="1">
        <f t="array" ref="H790">_xlfn.SWITCH(Sheet5!D790, 1, "Clear Sky", 2, "Mist", 3, "Dark Cloud",4,"Heavy Rainfall")</f>
        <v>Dark Cloud</v>
      </c>
      <c r="I790" s="26">
        <f>Sheet5!E790*41</f>
        <v>9.02</v>
      </c>
      <c r="J790" s="27">
        <v>0.93</v>
      </c>
      <c r="K790">
        <v>8.9599999999999999E-2</v>
      </c>
      <c r="L790">
        <v>0</v>
      </c>
      <c r="M790">
        <v>4</v>
      </c>
      <c r="N790">
        <v>4</v>
      </c>
    </row>
    <row r="791" spans="1:14" x14ac:dyDescent="0.3">
      <c r="A791">
        <v>790</v>
      </c>
      <c r="B791" s="21">
        <v>40579</v>
      </c>
      <c r="C791" s="25" t="s">
        <v>16</v>
      </c>
      <c r="D791" s="25" t="str" cm="1">
        <f t="array" ref="D791">_xlfn.SWITCH(Sheet5!A791,1,"JANUARY",2,"FEBRUARY")</f>
        <v>FEBRUARY</v>
      </c>
      <c r="E791">
        <v>8</v>
      </c>
      <c r="F791" t="str" cm="1">
        <f t="array" ref="F791">_xlfn.SWITCH(Sheet5!C791,FALSE,"NO",TRUE,"YES")</f>
        <v>NO</v>
      </c>
      <c r="G791" t="str" cm="1">
        <f t="array" ref="G791">_xlfn.SWITCH(Sheet5!B791,0,"Sunday",1,"Monday",2,"Tuesday",3,"Wednesday",4,"Thursday",5,"Friday",6,"Saturday")</f>
        <v>Saturday</v>
      </c>
      <c r="H791" t="str" cm="1">
        <f t="array" ref="H791">_xlfn.SWITCH(Sheet5!D791, 1, "Clear Sky", 2, "Mist", 3, "Dark Cloud",4,"Heavy Rainfall")</f>
        <v>Dark Cloud</v>
      </c>
      <c r="I791" s="26">
        <f>Sheet5!E791*41</f>
        <v>8.2000000000000011</v>
      </c>
      <c r="J791" s="27">
        <v>1</v>
      </c>
      <c r="K791">
        <v>8.9599999999999999E-2</v>
      </c>
      <c r="L791">
        <v>0</v>
      </c>
      <c r="M791">
        <v>10</v>
      </c>
      <c r="N791">
        <v>10</v>
      </c>
    </row>
    <row r="792" spans="1:14" x14ac:dyDescent="0.3">
      <c r="A792">
        <v>791</v>
      </c>
      <c r="B792" s="21">
        <v>40579</v>
      </c>
      <c r="C792" s="25" t="s">
        <v>16</v>
      </c>
      <c r="D792" s="25" t="str" cm="1">
        <f t="array" ref="D792">_xlfn.SWITCH(Sheet5!A792,1,"JANUARY",2,"FEBRUARY")</f>
        <v>FEBRUARY</v>
      </c>
      <c r="E792">
        <v>9</v>
      </c>
      <c r="F792" t="str" cm="1">
        <f t="array" ref="F792">_xlfn.SWITCH(Sheet5!C792,FALSE,"NO",TRUE,"YES")</f>
        <v>NO</v>
      </c>
      <c r="G792" t="str" cm="1">
        <f t="array" ref="G792">_xlfn.SWITCH(Sheet5!B792,0,"Sunday",1,"Monday",2,"Tuesday",3,"Wednesday",4,"Thursday",5,"Friday",6,"Saturday")</f>
        <v>Saturday</v>
      </c>
      <c r="H792" t="str" cm="1">
        <f t="array" ref="H792">_xlfn.SWITCH(Sheet5!D792, 1, "Clear Sky", 2, "Mist", 3, "Dark Cloud",4,"Heavy Rainfall")</f>
        <v>Dark Cloud</v>
      </c>
      <c r="I792" s="26">
        <f>Sheet5!E792*41</f>
        <v>8.2000000000000011</v>
      </c>
      <c r="J792" s="27">
        <v>1</v>
      </c>
      <c r="K792">
        <v>8.9599999999999999E-2</v>
      </c>
      <c r="L792">
        <v>3</v>
      </c>
      <c r="M792">
        <v>17</v>
      </c>
      <c r="N792">
        <v>20</v>
      </c>
    </row>
    <row r="793" spans="1:14" x14ac:dyDescent="0.3">
      <c r="A793">
        <v>792</v>
      </c>
      <c r="B793" s="21">
        <v>40579</v>
      </c>
      <c r="C793" s="25" t="s">
        <v>16</v>
      </c>
      <c r="D793" s="25" t="str" cm="1">
        <f t="array" ref="D793">_xlfn.SWITCH(Sheet5!A793,1,"JANUARY",2,"FEBRUARY")</f>
        <v>FEBRUARY</v>
      </c>
      <c r="E793">
        <v>10</v>
      </c>
      <c r="F793" t="str" cm="1">
        <f t="array" ref="F793">_xlfn.SWITCH(Sheet5!C793,FALSE,"NO",TRUE,"YES")</f>
        <v>NO</v>
      </c>
      <c r="G793" t="str" cm="1">
        <f t="array" ref="G793">_xlfn.SWITCH(Sheet5!B793,0,"Sunday",1,"Monday",2,"Tuesday",3,"Wednesday",4,"Thursday",5,"Friday",6,"Saturday")</f>
        <v>Saturday</v>
      </c>
      <c r="H793" t="str" cm="1">
        <f t="array" ref="H793">_xlfn.SWITCH(Sheet5!D793, 1, "Clear Sky", 2, "Mist", 3, "Dark Cloud",4,"Heavy Rainfall")</f>
        <v>Dark Cloud</v>
      </c>
      <c r="I793" s="26">
        <f>Sheet5!E793*41</f>
        <v>8.2000000000000011</v>
      </c>
      <c r="J793" s="27">
        <v>1</v>
      </c>
      <c r="K793">
        <v>0.1343</v>
      </c>
      <c r="L793">
        <v>3</v>
      </c>
      <c r="M793">
        <v>31</v>
      </c>
      <c r="N793">
        <v>34</v>
      </c>
    </row>
    <row r="794" spans="1:14" x14ac:dyDescent="0.3">
      <c r="A794">
        <v>793</v>
      </c>
      <c r="B794" s="21">
        <v>40579</v>
      </c>
      <c r="C794" s="25" t="s">
        <v>16</v>
      </c>
      <c r="D794" s="25" t="str" cm="1">
        <f t="array" ref="D794">_xlfn.SWITCH(Sheet5!A794,1,"JANUARY",2,"FEBRUARY")</f>
        <v>FEBRUARY</v>
      </c>
      <c r="E794">
        <v>11</v>
      </c>
      <c r="F794" t="str" cm="1">
        <f t="array" ref="F794">_xlfn.SWITCH(Sheet5!C794,FALSE,"NO",TRUE,"YES")</f>
        <v>NO</v>
      </c>
      <c r="G794" t="str" cm="1">
        <f t="array" ref="G794">_xlfn.SWITCH(Sheet5!B794,0,"Sunday",1,"Monday",2,"Tuesday",3,"Wednesday",4,"Thursday",5,"Friday",6,"Saturday")</f>
        <v>Saturday</v>
      </c>
      <c r="H794" t="str" cm="1">
        <f t="array" ref="H794">_xlfn.SWITCH(Sheet5!D794, 1, "Clear Sky", 2, "Mist", 3, "Dark Cloud",4,"Heavy Rainfall")</f>
        <v>Dark Cloud</v>
      </c>
      <c r="I794" s="26">
        <f>Sheet5!E794*41</f>
        <v>9.02</v>
      </c>
      <c r="J794" s="27">
        <v>1</v>
      </c>
      <c r="K794">
        <v>0.1343</v>
      </c>
      <c r="L794">
        <v>1</v>
      </c>
      <c r="M794">
        <v>46</v>
      </c>
      <c r="N794">
        <v>47</v>
      </c>
    </row>
    <row r="795" spans="1:14" x14ac:dyDescent="0.3">
      <c r="A795">
        <v>794</v>
      </c>
      <c r="B795" s="21">
        <v>40579</v>
      </c>
      <c r="C795" s="25" t="s">
        <v>16</v>
      </c>
      <c r="D795" s="25" t="str" cm="1">
        <f t="array" ref="D795">_xlfn.SWITCH(Sheet5!A795,1,"JANUARY",2,"FEBRUARY")</f>
        <v>FEBRUARY</v>
      </c>
      <c r="E795">
        <v>12</v>
      </c>
      <c r="F795" t="str" cm="1">
        <f t="array" ref="F795">_xlfn.SWITCH(Sheet5!C795,FALSE,"NO",TRUE,"YES")</f>
        <v>NO</v>
      </c>
      <c r="G795" t="str" cm="1">
        <f t="array" ref="G795">_xlfn.SWITCH(Sheet5!B795,0,"Sunday",1,"Monday",2,"Tuesday",3,"Wednesday",4,"Thursday",5,"Friday",6,"Saturday")</f>
        <v>Saturday</v>
      </c>
      <c r="H795" t="str" cm="1">
        <f t="array" ref="H795">_xlfn.SWITCH(Sheet5!D795, 1, "Clear Sky", 2, "Mist", 3, "Dark Cloud",4,"Heavy Rainfall")</f>
        <v>Dark Cloud</v>
      </c>
      <c r="I795" s="26">
        <f>Sheet5!E795*41</f>
        <v>9.02</v>
      </c>
      <c r="J795" s="27">
        <v>1</v>
      </c>
      <c r="K795">
        <v>0.16420000000000001</v>
      </c>
      <c r="L795">
        <v>10</v>
      </c>
      <c r="M795">
        <v>42</v>
      </c>
      <c r="N795">
        <v>52</v>
      </c>
    </row>
    <row r="796" spans="1:14" x14ac:dyDescent="0.3">
      <c r="A796">
        <v>795</v>
      </c>
      <c r="B796" s="21">
        <v>40579</v>
      </c>
      <c r="C796" s="25" t="s">
        <v>16</v>
      </c>
      <c r="D796" s="25" t="str" cm="1">
        <f t="array" ref="D796">_xlfn.SWITCH(Sheet5!A796,1,"JANUARY",2,"FEBRUARY")</f>
        <v>FEBRUARY</v>
      </c>
      <c r="E796">
        <v>13</v>
      </c>
      <c r="F796" t="str" cm="1">
        <f t="array" ref="F796">_xlfn.SWITCH(Sheet5!C796,FALSE,"NO",TRUE,"YES")</f>
        <v>NO</v>
      </c>
      <c r="G796" t="str" cm="1">
        <f t="array" ref="G796">_xlfn.SWITCH(Sheet5!B796,0,"Sunday",1,"Monday",2,"Tuesday",3,"Wednesday",4,"Thursday",5,"Friday",6,"Saturday")</f>
        <v>Saturday</v>
      </c>
      <c r="H796" t="str" cm="1">
        <f t="array" ref="H796">_xlfn.SWITCH(Sheet5!D796, 1, "Clear Sky", 2, "Mist", 3, "Dark Cloud",4,"Heavy Rainfall")</f>
        <v>Dark Cloud</v>
      </c>
      <c r="I796" s="26">
        <f>Sheet5!E796*41</f>
        <v>9.02</v>
      </c>
      <c r="J796" s="27">
        <v>1</v>
      </c>
      <c r="K796">
        <v>0.16420000000000001</v>
      </c>
      <c r="L796">
        <v>10</v>
      </c>
      <c r="M796">
        <v>62</v>
      </c>
      <c r="N796">
        <v>72</v>
      </c>
    </row>
    <row r="797" spans="1:14" x14ac:dyDescent="0.3">
      <c r="A797">
        <v>796</v>
      </c>
      <c r="B797" s="21">
        <v>40579</v>
      </c>
      <c r="C797" s="25" t="s">
        <v>16</v>
      </c>
      <c r="D797" s="25" t="str" cm="1">
        <f t="array" ref="D797">_xlfn.SWITCH(Sheet5!A797,1,"JANUARY",2,"FEBRUARY")</f>
        <v>FEBRUARY</v>
      </c>
      <c r="E797">
        <v>14</v>
      </c>
      <c r="F797" t="str" cm="1">
        <f t="array" ref="F797">_xlfn.SWITCH(Sheet5!C797,FALSE,"NO",TRUE,"YES")</f>
        <v>NO</v>
      </c>
      <c r="G797" t="str" cm="1">
        <f t="array" ref="G797">_xlfn.SWITCH(Sheet5!B797,0,"Sunday",1,"Monday",2,"Tuesday",3,"Wednesday",4,"Thursday",5,"Friday",6,"Saturday")</f>
        <v>Saturday</v>
      </c>
      <c r="H797" t="str" cm="1">
        <f t="array" ref="H797">_xlfn.SWITCH(Sheet5!D797, 1, "Clear Sky", 2, "Mist", 3, "Dark Cloud",4,"Heavy Rainfall")</f>
        <v>Dark Cloud</v>
      </c>
      <c r="I797" s="26">
        <f>Sheet5!E797*41</f>
        <v>9.02</v>
      </c>
      <c r="J797" s="27">
        <v>1</v>
      </c>
      <c r="K797">
        <v>0</v>
      </c>
      <c r="L797">
        <v>5</v>
      </c>
      <c r="M797">
        <v>50</v>
      </c>
      <c r="N797">
        <v>55</v>
      </c>
    </row>
    <row r="798" spans="1:14" x14ac:dyDescent="0.3">
      <c r="A798">
        <v>797</v>
      </c>
      <c r="B798" s="21">
        <v>40579</v>
      </c>
      <c r="C798" s="25" t="s">
        <v>16</v>
      </c>
      <c r="D798" s="25" t="str" cm="1">
        <f t="array" ref="D798">_xlfn.SWITCH(Sheet5!A798,1,"JANUARY",2,"FEBRUARY")</f>
        <v>FEBRUARY</v>
      </c>
      <c r="E798">
        <v>15</v>
      </c>
      <c r="F798" t="str" cm="1">
        <f t="array" ref="F798">_xlfn.SWITCH(Sheet5!C798,FALSE,"NO",TRUE,"YES")</f>
        <v>NO</v>
      </c>
      <c r="G798" t="str" cm="1">
        <f t="array" ref="G798">_xlfn.SWITCH(Sheet5!B798,0,"Sunday",1,"Monday",2,"Tuesday",3,"Wednesday",4,"Thursday",5,"Friday",6,"Saturday")</f>
        <v>Saturday</v>
      </c>
      <c r="H798" t="str" cm="1">
        <f t="array" ref="H798">_xlfn.SWITCH(Sheet5!D798, 1, "Clear Sky", 2, "Mist", 3, "Dark Cloud",4,"Heavy Rainfall")</f>
        <v>Dark Cloud</v>
      </c>
      <c r="I798" s="26">
        <f>Sheet5!E798*41</f>
        <v>9.02</v>
      </c>
      <c r="J798" s="27">
        <v>1</v>
      </c>
      <c r="K798">
        <v>0</v>
      </c>
      <c r="L798">
        <v>11</v>
      </c>
      <c r="M798">
        <v>49</v>
      </c>
      <c r="N798">
        <v>60</v>
      </c>
    </row>
    <row r="799" spans="1:14" x14ac:dyDescent="0.3">
      <c r="A799">
        <v>798</v>
      </c>
      <c r="B799" s="21">
        <v>40579</v>
      </c>
      <c r="C799" s="25" t="s">
        <v>16</v>
      </c>
      <c r="D799" s="25" t="str" cm="1">
        <f t="array" ref="D799">_xlfn.SWITCH(Sheet5!A799,1,"JANUARY",2,"FEBRUARY")</f>
        <v>FEBRUARY</v>
      </c>
      <c r="E799">
        <v>16</v>
      </c>
      <c r="F799" t="str" cm="1">
        <f t="array" ref="F799">_xlfn.SWITCH(Sheet5!C799,FALSE,"NO",TRUE,"YES")</f>
        <v>NO</v>
      </c>
      <c r="G799" t="str" cm="1">
        <f t="array" ref="G799">_xlfn.SWITCH(Sheet5!B799,0,"Sunday",1,"Monday",2,"Tuesday",3,"Wednesday",4,"Thursday",5,"Friday",6,"Saturday")</f>
        <v>Saturday</v>
      </c>
      <c r="H799" t="str" cm="1">
        <f t="array" ref="H799">_xlfn.SWITCH(Sheet5!D799, 1, "Clear Sky", 2, "Mist", 3, "Dark Cloud",4,"Heavy Rainfall")</f>
        <v>Dark Cloud</v>
      </c>
      <c r="I799" s="26">
        <f>Sheet5!E799*41</f>
        <v>9.02</v>
      </c>
      <c r="J799" s="27">
        <v>1</v>
      </c>
      <c r="K799">
        <v>0.1343</v>
      </c>
      <c r="L799">
        <v>8</v>
      </c>
      <c r="M799">
        <v>63</v>
      </c>
      <c r="N799">
        <v>71</v>
      </c>
    </row>
    <row r="800" spans="1:14" x14ac:dyDescent="0.3">
      <c r="A800">
        <v>799</v>
      </c>
      <c r="B800" s="21">
        <v>40579</v>
      </c>
      <c r="C800" s="25" t="s">
        <v>16</v>
      </c>
      <c r="D800" s="25" t="str" cm="1">
        <f t="array" ref="D800">_xlfn.SWITCH(Sheet5!A800,1,"JANUARY",2,"FEBRUARY")</f>
        <v>FEBRUARY</v>
      </c>
      <c r="E800">
        <v>17</v>
      </c>
      <c r="F800" t="str" cm="1">
        <f t="array" ref="F800">_xlfn.SWITCH(Sheet5!C800,FALSE,"NO",TRUE,"YES")</f>
        <v>NO</v>
      </c>
      <c r="G800" t="str" cm="1">
        <f t="array" ref="G800">_xlfn.SWITCH(Sheet5!B800,0,"Sunday",1,"Monday",2,"Tuesday",3,"Wednesday",4,"Thursday",5,"Friday",6,"Saturday")</f>
        <v>Saturday</v>
      </c>
      <c r="H800" t="str" cm="1">
        <f t="array" ref="H800">_xlfn.SWITCH(Sheet5!D800, 1, "Clear Sky", 2, "Mist", 3, "Dark Cloud",4,"Heavy Rainfall")</f>
        <v>Mist</v>
      </c>
      <c r="I800" s="26">
        <f>Sheet5!E800*41</f>
        <v>9.84</v>
      </c>
      <c r="J800" s="27">
        <v>1</v>
      </c>
      <c r="K800">
        <v>0.28360000000000002</v>
      </c>
      <c r="L800">
        <v>14</v>
      </c>
      <c r="M800">
        <v>64</v>
      </c>
      <c r="N800">
        <v>78</v>
      </c>
    </row>
    <row r="801" spans="1:14" x14ac:dyDescent="0.3">
      <c r="A801">
        <v>800</v>
      </c>
      <c r="B801" s="21">
        <v>40579</v>
      </c>
      <c r="C801" s="25" t="s">
        <v>16</v>
      </c>
      <c r="D801" s="25" t="str" cm="1">
        <f t="array" ref="D801">_xlfn.SWITCH(Sheet5!A801,1,"JANUARY",2,"FEBRUARY")</f>
        <v>FEBRUARY</v>
      </c>
      <c r="E801">
        <v>18</v>
      </c>
      <c r="F801" t="str" cm="1">
        <f t="array" ref="F801">_xlfn.SWITCH(Sheet5!C801,FALSE,"NO",TRUE,"YES")</f>
        <v>NO</v>
      </c>
      <c r="G801" t="str" cm="1">
        <f t="array" ref="G801">_xlfn.SWITCH(Sheet5!B801,0,"Sunday",1,"Monday",2,"Tuesday",3,"Wednesday",4,"Thursday",5,"Friday",6,"Saturday")</f>
        <v>Saturday</v>
      </c>
      <c r="H801" t="str" cm="1">
        <f t="array" ref="H801">_xlfn.SWITCH(Sheet5!D801, 1, "Clear Sky", 2, "Mist", 3, "Dark Cloud",4,"Heavy Rainfall")</f>
        <v>Mist</v>
      </c>
      <c r="I801" s="26">
        <f>Sheet5!E801*41</f>
        <v>11.48</v>
      </c>
      <c r="J801" s="27">
        <v>0.93</v>
      </c>
      <c r="K801">
        <v>0.44779999999999998</v>
      </c>
      <c r="L801">
        <v>2</v>
      </c>
      <c r="M801">
        <v>81</v>
      </c>
      <c r="N801">
        <v>83</v>
      </c>
    </row>
    <row r="802" spans="1:14" x14ac:dyDescent="0.3">
      <c r="A802">
        <v>801</v>
      </c>
      <c r="B802" s="21">
        <v>40579</v>
      </c>
      <c r="C802" s="25" t="s">
        <v>16</v>
      </c>
      <c r="D802" s="25" t="str" cm="1">
        <f t="array" ref="D802">_xlfn.SWITCH(Sheet5!A802,1,"JANUARY",2,"FEBRUARY")</f>
        <v>FEBRUARY</v>
      </c>
      <c r="E802">
        <v>19</v>
      </c>
      <c r="F802" t="str" cm="1">
        <f t="array" ref="F802">_xlfn.SWITCH(Sheet5!C802,FALSE,"NO",TRUE,"YES")</f>
        <v>NO</v>
      </c>
      <c r="G802" t="str" cm="1">
        <f t="array" ref="G802">_xlfn.SWITCH(Sheet5!B802,0,"Sunday",1,"Monday",2,"Tuesday",3,"Wednesday",4,"Thursday",5,"Friday",6,"Saturday")</f>
        <v>Saturday</v>
      </c>
      <c r="H802" t="str" cm="1">
        <f t="array" ref="H802">_xlfn.SWITCH(Sheet5!D802, 1, "Clear Sky", 2, "Mist", 3, "Dark Cloud",4,"Heavy Rainfall")</f>
        <v>Mist</v>
      </c>
      <c r="I802" s="26">
        <f>Sheet5!E802*41</f>
        <v>11.48</v>
      </c>
      <c r="J802" s="27">
        <v>0.93</v>
      </c>
      <c r="K802">
        <v>0.44779999999999998</v>
      </c>
      <c r="L802">
        <v>6</v>
      </c>
      <c r="M802">
        <v>78</v>
      </c>
      <c r="N802">
        <v>84</v>
      </c>
    </row>
    <row r="803" spans="1:14" x14ac:dyDescent="0.3">
      <c r="A803">
        <v>802</v>
      </c>
      <c r="B803" s="21">
        <v>40579</v>
      </c>
      <c r="C803" s="25" t="s">
        <v>16</v>
      </c>
      <c r="D803" s="25" t="str" cm="1">
        <f t="array" ref="D803">_xlfn.SWITCH(Sheet5!A803,1,"JANUARY",2,"FEBRUARY")</f>
        <v>FEBRUARY</v>
      </c>
      <c r="E803">
        <v>20</v>
      </c>
      <c r="F803" t="str" cm="1">
        <f t="array" ref="F803">_xlfn.SWITCH(Sheet5!C803,FALSE,"NO",TRUE,"YES")</f>
        <v>NO</v>
      </c>
      <c r="G803" t="str" cm="1">
        <f t="array" ref="G803">_xlfn.SWITCH(Sheet5!B803,0,"Sunday",1,"Monday",2,"Tuesday",3,"Wednesday",4,"Thursday",5,"Friday",6,"Saturday")</f>
        <v>Saturday</v>
      </c>
      <c r="H803" t="str" cm="1">
        <f t="array" ref="H803">_xlfn.SWITCH(Sheet5!D803, 1, "Clear Sky", 2, "Mist", 3, "Dark Cloud",4,"Heavy Rainfall")</f>
        <v>Clear Sky</v>
      </c>
      <c r="I803" s="26">
        <f>Sheet5!E803*41</f>
        <v>12.299999999999999</v>
      </c>
      <c r="J803" s="27">
        <v>0.87</v>
      </c>
      <c r="K803">
        <v>0.25369999999999998</v>
      </c>
      <c r="L803">
        <v>5</v>
      </c>
      <c r="M803">
        <v>64</v>
      </c>
      <c r="N803">
        <v>69</v>
      </c>
    </row>
    <row r="804" spans="1:14" x14ac:dyDescent="0.3">
      <c r="A804">
        <v>803</v>
      </c>
      <c r="B804" s="21">
        <v>40579</v>
      </c>
      <c r="C804" s="25" t="s">
        <v>16</v>
      </c>
      <c r="D804" s="25" t="str" cm="1">
        <f t="array" ref="D804">_xlfn.SWITCH(Sheet5!A804,1,"JANUARY",2,"FEBRUARY")</f>
        <v>FEBRUARY</v>
      </c>
      <c r="E804">
        <v>21</v>
      </c>
      <c r="F804" t="str" cm="1">
        <f t="array" ref="F804">_xlfn.SWITCH(Sheet5!C804,FALSE,"NO",TRUE,"YES")</f>
        <v>NO</v>
      </c>
      <c r="G804" t="str" cm="1">
        <f t="array" ref="G804">_xlfn.SWITCH(Sheet5!B804,0,"Sunday",1,"Monday",2,"Tuesday",3,"Wednesday",4,"Thursday",5,"Friday",6,"Saturday")</f>
        <v>Saturday</v>
      </c>
      <c r="H804" t="str" cm="1">
        <f t="array" ref="H804">_xlfn.SWITCH(Sheet5!D804, 1, "Clear Sky", 2, "Mist", 3, "Dark Cloud",4,"Heavy Rainfall")</f>
        <v>Clear Sky</v>
      </c>
      <c r="I804" s="26">
        <f>Sheet5!E804*41</f>
        <v>10.66</v>
      </c>
      <c r="J804" s="27">
        <v>1</v>
      </c>
      <c r="K804">
        <v>0.19400000000000001</v>
      </c>
      <c r="L804">
        <v>3</v>
      </c>
      <c r="M804">
        <v>53</v>
      </c>
      <c r="N804">
        <v>56</v>
      </c>
    </row>
    <row r="805" spans="1:14" x14ac:dyDescent="0.3">
      <c r="A805">
        <v>804</v>
      </c>
      <c r="B805" s="21">
        <v>40579</v>
      </c>
      <c r="C805" s="25" t="s">
        <v>16</v>
      </c>
      <c r="D805" s="25" t="str" cm="1">
        <f t="array" ref="D805">_xlfn.SWITCH(Sheet5!A805,1,"JANUARY",2,"FEBRUARY")</f>
        <v>FEBRUARY</v>
      </c>
      <c r="E805">
        <v>22</v>
      </c>
      <c r="F805" t="str" cm="1">
        <f t="array" ref="F805">_xlfn.SWITCH(Sheet5!C805,FALSE,"NO",TRUE,"YES")</f>
        <v>NO</v>
      </c>
      <c r="G805" t="str" cm="1">
        <f t="array" ref="G805">_xlfn.SWITCH(Sheet5!B805,0,"Sunday",1,"Monday",2,"Tuesday",3,"Wednesday",4,"Thursday",5,"Friday",6,"Saturday")</f>
        <v>Saturday</v>
      </c>
      <c r="H805" t="str" cm="1">
        <f t="array" ref="H805">_xlfn.SWITCH(Sheet5!D805, 1, "Clear Sky", 2, "Mist", 3, "Dark Cloud",4,"Heavy Rainfall")</f>
        <v>Clear Sky</v>
      </c>
      <c r="I805" s="26">
        <f>Sheet5!E805*41</f>
        <v>10.66</v>
      </c>
      <c r="J805" s="27">
        <v>0.93</v>
      </c>
      <c r="K805">
        <v>0.1343</v>
      </c>
      <c r="L805">
        <v>2</v>
      </c>
      <c r="M805">
        <v>43</v>
      </c>
      <c r="N805">
        <v>45</v>
      </c>
    </row>
    <row r="806" spans="1:14" x14ac:dyDescent="0.3">
      <c r="A806">
        <v>805</v>
      </c>
      <c r="B806" s="21">
        <v>40579</v>
      </c>
      <c r="C806" s="25" t="s">
        <v>16</v>
      </c>
      <c r="D806" s="25" t="str" cm="1">
        <f t="array" ref="D806">_xlfn.SWITCH(Sheet5!A806,1,"JANUARY",2,"FEBRUARY")</f>
        <v>FEBRUARY</v>
      </c>
      <c r="E806">
        <v>23</v>
      </c>
      <c r="F806" t="str" cm="1">
        <f t="array" ref="F806">_xlfn.SWITCH(Sheet5!C806,FALSE,"NO",TRUE,"YES")</f>
        <v>NO</v>
      </c>
      <c r="G806" t="str" cm="1">
        <f t="array" ref="G806">_xlfn.SWITCH(Sheet5!B806,0,"Sunday",1,"Monday",2,"Tuesday",3,"Wednesday",4,"Thursday",5,"Friday",6,"Saturday")</f>
        <v>Saturday</v>
      </c>
      <c r="H806" t="str" cm="1">
        <f t="array" ref="H806">_xlfn.SWITCH(Sheet5!D806, 1, "Clear Sky", 2, "Mist", 3, "Dark Cloud",4,"Heavy Rainfall")</f>
        <v>Clear Sky</v>
      </c>
      <c r="I806" s="26">
        <f>Sheet5!E806*41</f>
        <v>10.66</v>
      </c>
      <c r="J806" s="27">
        <v>0.93</v>
      </c>
      <c r="K806">
        <v>0.22389999999999999</v>
      </c>
      <c r="L806">
        <v>7</v>
      </c>
      <c r="M806">
        <v>52</v>
      </c>
      <c r="N806">
        <v>59</v>
      </c>
    </row>
    <row r="807" spans="1:14" x14ac:dyDescent="0.3">
      <c r="A807">
        <v>806</v>
      </c>
      <c r="B807" s="21">
        <v>40580</v>
      </c>
      <c r="C807" s="25" t="s">
        <v>16</v>
      </c>
      <c r="D807" s="25" t="str" cm="1">
        <f t="array" ref="D807">_xlfn.SWITCH(Sheet5!A807,1,"JANUARY",2,"FEBRUARY")</f>
        <v>FEBRUARY</v>
      </c>
      <c r="E807">
        <v>0</v>
      </c>
      <c r="F807" t="str" cm="1">
        <f t="array" ref="F807">_xlfn.SWITCH(Sheet5!C807,FALSE,"NO",TRUE,"YES")</f>
        <v>NO</v>
      </c>
      <c r="G807" t="str" cm="1">
        <f t="array" ref="G807">_xlfn.SWITCH(Sheet5!B807,0,"Sunday",1,"Monday",2,"Tuesday",3,"Wednesday",4,"Thursday",5,"Friday",6,"Saturday")</f>
        <v>Sunday</v>
      </c>
      <c r="H807" t="str" cm="1">
        <f t="array" ref="H807">_xlfn.SWITCH(Sheet5!D807, 1, "Clear Sky", 2, "Mist", 3, "Dark Cloud",4,"Heavy Rainfall")</f>
        <v>Clear Sky</v>
      </c>
      <c r="I807" s="26">
        <f>Sheet5!E807*41</f>
        <v>10.66</v>
      </c>
      <c r="J807" s="27">
        <v>0.7</v>
      </c>
      <c r="K807">
        <v>0.19400000000000001</v>
      </c>
      <c r="L807">
        <v>2</v>
      </c>
      <c r="M807">
        <v>37</v>
      </c>
      <c r="N807">
        <v>39</v>
      </c>
    </row>
    <row r="808" spans="1:14" x14ac:dyDescent="0.3">
      <c r="A808">
        <v>807</v>
      </c>
      <c r="B808" s="21">
        <v>40580</v>
      </c>
      <c r="C808" s="25" t="s">
        <v>16</v>
      </c>
      <c r="D808" s="25" t="str" cm="1">
        <f t="array" ref="D808">_xlfn.SWITCH(Sheet5!A808,1,"JANUARY",2,"FEBRUARY")</f>
        <v>FEBRUARY</v>
      </c>
      <c r="E808">
        <v>1</v>
      </c>
      <c r="F808" t="str" cm="1">
        <f t="array" ref="F808">_xlfn.SWITCH(Sheet5!C808,FALSE,"NO",TRUE,"YES")</f>
        <v>NO</v>
      </c>
      <c r="G808" t="str" cm="1">
        <f t="array" ref="G808">_xlfn.SWITCH(Sheet5!B808,0,"Sunday",1,"Monday",2,"Tuesday",3,"Wednesday",4,"Thursday",5,"Friday",6,"Saturday")</f>
        <v>Sunday</v>
      </c>
      <c r="H808" t="str" cm="1">
        <f t="array" ref="H808">_xlfn.SWITCH(Sheet5!D808, 1, "Clear Sky", 2, "Mist", 3, "Dark Cloud",4,"Heavy Rainfall")</f>
        <v>Clear Sky</v>
      </c>
      <c r="I808" s="26">
        <f>Sheet5!E808*41</f>
        <v>10.66</v>
      </c>
      <c r="J808" s="27">
        <v>0.65</v>
      </c>
      <c r="K808">
        <v>0.41789999999999999</v>
      </c>
      <c r="L808">
        <v>4</v>
      </c>
      <c r="M808">
        <v>40</v>
      </c>
      <c r="N808">
        <v>44</v>
      </c>
    </row>
    <row r="809" spans="1:14" x14ac:dyDescent="0.3">
      <c r="A809">
        <v>808</v>
      </c>
      <c r="B809" s="21">
        <v>40580</v>
      </c>
      <c r="C809" s="25" t="s">
        <v>16</v>
      </c>
      <c r="D809" s="25" t="str" cm="1">
        <f t="array" ref="D809">_xlfn.SWITCH(Sheet5!A809,1,"JANUARY",2,"FEBRUARY")</f>
        <v>FEBRUARY</v>
      </c>
      <c r="E809">
        <v>2</v>
      </c>
      <c r="F809" t="str" cm="1">
        <f t="array" ref="F809">_xlfn.SWITCH(Sheet5!C809,FALSE,"NO",TRUE,"YES")</f>
        <v>NO</v>
      </c>
      <c r="G809" t="str" cm="1">
        <f t="array" ref="G809">_xlfn.SWITCH(Sheet5!B809,0,"Sunday",1,"Monday",2,"Tuesday",3,"Wednesday",4,"Thursday",5,"Friday",6,"Saturday")</f>
        <v>Sunday</v>
      </c>
      <c r="H809" t="str" cm="1">
        <f t="array" ref="H809">_xlfn.SWITCH(Sheet5!D809, 1, "Clear Sky", 2, "Mist", 3, "Dark Cloud",4,"Heavy Rainfall")</f>
        <v>Clear Sky</v>
      </c>
      <c r="I809" s="26">
        <f>Sheet5!E809*41</f>
        <v>10.66</v>
      </c>
      <c r="J809" s="27">
        <v>0.6</v>
      </c>
      <c r="K809">
        <v>0.32840000000000003</v>
      </c>
      <c r="L809">
        <v>0</v>
      </c>
      <c r="M809">
        <v>20</v>
      </c>
      <c r="N809">
        <v>20</v>
      </c>
    </row>
    <row r="810" spans="1:14" x14ac:dyDescent="0.3">
      <c r="A810">
        <v>809</v>
      </c>
      <c r="B810" s="21">
        <v>40580</v>
      </c>
      <c r="C810" s="25" t="s">
        <v>16</v>
      </c>
      <c r="D810" s="25" t="str" cm="1">
        <f t="array" ref="D810">_xlfn.SWITCH(Sheet5!A810,1,"JANUARY",2,"FEBRUARY")</f>
        <v>FEBRUARY</v>
      </c>
      <c r="E810">
        <v>3</v>
      </c>
      <c r="F810" t="str" cm="1">
        <f t="array" ref="F810">_xlfn.SWITCH(Sheet5!C810,FALSE,"NO",TRUE,"YES")</f>
        <v>NO</v>
      </c>
      <c r="G810" t="str" cm="1">
        <f t="array" ref="G810">_xlfn.SWITCH(Sheet5!B810,0,"Sunday",1,"Monday",2,"Tuesday",3,"Wednesday",4,"Thursday",5,"Friday",6,"Saturday")</f>
        <v>Sunday</v>
      </c>
      <c r="H810" t="str" cm="1">
        <f t="array" ref="H810">_xlfn.SWITCH(Sheet5!D810, 1, "Clear Sky", 2, "Mist", 3, "Dark Cloud",4,"Heavy Rainfall")</f>
        <v>Clear Sky</v>
      </c>
      <c r="I810" s="26">
        <f>Sheet5!E810*41</f>
        <v>10.66</v>
      </c>
      <c r="J810" s="27">
        <v>0.6</v>
      </c>
      <c r="K810">
        <v>8.9599999999999999E-2</v>
      </c>
      <c r="L810">
        <v>3</v>
      </c>
      <c r="M810">
        <v>10</v>
      </c>
      <c r="N810">
        <v>13</v>
      </c>
    </row>
    <row r="811" spans="1:14" x14ac:dyDescent="0.3">
      <c r="A811">
        <v>810</v>
      </c>
      <c r="B811" s="21">
        <v>40580</v>
      </c>
      <c r="C811" s="25" t="s">
        <v>16</v>
      </c>
      <c r="D811" s="25" t="str" cm="1">
        <f t="array" ref="D811">_xlfn.SWITCH(Sheet5!A811,1,"JANUARY",2,"FEBRUARY")</f>
        <v>FEBRUARY</v>
      </c>
      <c r="E811">
        <v>4</v>
      </c>
      <c r="F811" t="str" cm="1">
        <f t="array" ref="F811">_xlfn.SWITCH(Sheet5!C811,FALSE,"NO",TRUE,"YES")</f>
        <v>NO</v>
      </c>
      <c r="G811" t="str" cm="1">
        <f t="array" ref="G811">_xlfn.SWITCH(Sheet5!B811,0,"Sunday",1,"Monday",2,"Tuesday",3,"Wednesday",4,"Thursday",5,"Friday",6,"Saturday")</f>
        <v>Sunday</v>
      </c>
      <c r="H811" t="str" cm="1">
        <f t="array" ref="H811">_xlfn.SWITCH(Sheet5!D811, 1, "Clear Sky", 2, "Mist", 3, "Dark Cloud",4,"Heavy Rainfall")</f>
        <v>Clear Sky</v>
      </c>
      <c r="I811" s="26">
        <f>Sheet5!E811*41</f>
        <v>10.66</v>
      </c>
      <c r="J811" s="27">
        <v>0.6</v>
      </c>
      <c r="K811">
        <v>0.35820000000000002</v>
      </c>
      <c r="L811">
        <v>0</v>
      </c>
      <c r="M811">
        <v>2</v>
      </c>
      <c r="N811">
        <v>2</v>
      </c>
    </row>
    <row r="812" spans="1:14" x14ac:dyDescent="0.3">
      <c r="A812">
        <v>811</v>
      </c>
      <c r="B812" s="21">
        <v>40580</v>
      </c>
      <c r="C812" s="25" t="s">
        <v>16</v>
      </c>
      <c r="D812" s="25" t="str" cm="1">
        <f t="array" ref="D812">_xlfn.SWITCH(Sheet5!A812,1,"JANUARY",2,"FEBRUARY")</f>
        <v>FEBRUARY</v>
      </c>
      <c r="E812">
        <v>5</v>
      </c>
      <c r="F812" t="str" cm="1">
        <f t="array" ref="F812">_xlfn.SWITCH(Sheet5!C812,FALSE,"NO",TRUE,"YES")</f>
        <v>NO</v>
      </c>
      <c r="G812" t="str" cm="1">
        <f t="array" ref="G812">_xlfn.SWITCH(Sheet5!B812,0,"Sunday",1,"Monday",2,"Tuesday",3,"Wednesday",4,"Thursday",5,"Friday",6,"Saturday")</f>
        <v>Sunday</v>
      </c>
      <c r="H812" t="str" cm="1">
        <f t="array" ref="H812">_xlfn.SWITCH(Sheet5!D812, 1, "Clear Sky", 2, "Mist", 3, "Dark Cloud",4,"Heavy Rainfall")</f>
        <v>Clear Sky</v>
      </c>
      <c r="I812" s="26">
        <f>Sheet5!E812*41</f>
        <v>10.66</v>
      </c>
      <c r="J812" s="27">
        <v>0.6</v>
      </c>
      <c r="K812">
        <v>0.22389999999999999</v>
      </c>
      <c r="L812">
        <v>0</v>
      </c>
      <c r="M812">
        <v>1</v>
      </c>
      <c r="N812">
        <v>1</v>
      </c>
    </row>
    <row r="813" spans="1:14" x14ac:dyDescent="0.3">
      <c r="A813">
        <v>812</v>
      </c>
      <c r="B813" s="21">
        <v>40580</v>
      </c>
      <c r="C813" s="25" t="s">
        <v>16</v>
      </c>
      <c r="D813" s="25" t="str" cm="1">
        <f t="array" ref="D813">_xlfn.SWITCH(Sheet5!A813,1,"JANUARY",2,"FEBRUARY")</f>
        <v>FEBRUARY</v>
      </c>
      <c r="E813">
        <v>6</v>
      </c>
      <c r="F813" t="str" cm="1">
        <f t="array" ref="F813">_xlfn.SWITCH(Sheet5!C813,FALSE,"NO",TRUE,"YES")</f>
        <v>NO</v>
      </c>
      <c r="G813" t="str" cm="1">
        <f t="array" ref="G813">_xlfn.SWITCH(Sheet5!B813,0,"Sunday",1,"Monday",2,"Tuesday",3,"Wednesday",4,"Thursday",5,"Friday",6,"Saturday")</f>
        <v>Sunday</v>
      </c>
      <c r="H813" t="str" cm="1">
        <f t="array" ref="H813">_xlfn.SWITCH(Sheet5!D813, 1, "Clear Sky", 2, "Mist", 3, "Dark Cloud",4,"Heavy Rainfall")</f>
        <v>Clear Sky</v>
      </c>
      <c r="I813" s="26">
        <f>Sheet5!E813*41</f>
        <v>10.66</v>
      </c>
      <c r="J813" s="27">
        <v>0.6</v>
      </c>
      <c r="K813">
        <v>0.22389999999999999</v>
      </c>
      <c r="L813">
        <v>0</v>
      </c>
      <c r="M813">
        <v>1</v>
      </c>
      <c r="N813">
        <v>1</v>
      </c>
    </row>
    <row r="814" spans="1:14" x14ac:dyDescent="0.3">
      <c r="A814">
        <v>813</v>
      </c>
      <c r="B814" s="21">
        <v>40580</v>
      </c>
      <c r="C814" s="25" t="s">
        <v>16</v>
      </c>
      <c r="D814" s="25" t="str" cm="1">
        <f t="array" ref="D814">_xlfn.SWITCH(Sheet5!A814,1,"JANUARY",2,"FEBRUARY")</f>
        <v>FEBRUARY</v>
      </c>
      <c r="E814">
        <v>7</v>
      </c>
      <c r="F814" t="str" cm="1">
        <f t="array" ref="F814">_xlfn.SWITCH(Sheet5!C814,FALSE,"NO",TRUE,"YES")</f>
        <v>NO</v>
      </c>
      <c r="G814" t="str" cm="1">
        <f t="array" ref="G814">_xlfn.SWITCH(Sheet5!B814,0,"Sunday",1,"Monday",2,"Tuesday",3,"Wednesday",4,"Thursday",5,"Friday",6,"Saturday")</f>
        <v>Sunday</v>
      </c>
      <c r="H814" t="str" cm="1">
        <f t="array" ref="H814">_xlfn.SWITCH(Sheet5!D814, 1, "Clear Sky", 2, "Mist", 3, "Dark Cloud",4,"Heavy Rainfall")</f>
        <v>Clear Sky</v>
      </c>
      <c r="I814" s="26">
        <f>Sheet5!E814*41</f>
        <v>9.84</v>
      </c>
      <c r="J814" s="27">
        <v>0.65</v>
      </c>
      <c r="K814">
        <v>0.16420000000000001</v>
      </c>
      <c r="L814">
        <v>0</v>
      </c>
      <c r="M814">
        <v>8</v>
      </c>
      <c r="N814">
        <v>8</v>
      </c>
    </row>
    <row r="815" spans="1:14" x14ac:dyDescent="0.3">
      <c r="A815">
        <v>814</v>
      </c>
      <c r="B815" s="21">
        <v>40580</v>
      </c>
      <c r="C815" s="25" t="s">
        <v>16</v>
      </c>
      <c r="D815" s="25" t="str" cm="1">
        <f t="array" ref="D815">_xlfn.SWITCH(Sheet5!A815,1,"JANUARY",2,"FEBRUARY")</f>
        <v>FEBRUARY</v>
      </c>
      <c r="E815">
        <v>8</v>
      </c>
      <c r="F815" t="str" cm="1">
        <f t="array" ref="F815">_xlfn.SWITCH(Sheet5!C815,FALSE,"NO",TRUE,"YES")</f>
        <v>NO</v>
      </c>
      <c r="G815" t="str" cm="1">
        <f t="array" ref="G815">_xlfn.SWITCH(Sheet5!B815,0,"Sunday",1,"Monday",2,"Tuesday",3,"Wednesday",4,"Thursday",5,"Friday",6,"Saturday")</f>
        <v>Sunday</v>
      </c>
      <c r="H815" t="str" cm="1">
        <f t="array" ref="H815">_xlfn.SWITCH(Sheet5!D815, 1, "Clear Sky", 2, "Mist", 3, "Dark Cloud",4,"Heavy Rainfall")</f>
        <v>Clear Sky</v>
      </c>
      <c r="I815" s="26">
        <f>Sheet5!E815*41</f>
        <v>9.84</v>
      </c>
      <c r="J815" s="27">
        <v>0.65</v>
      </c>
      <c r="K815">
        <v>0.1045</v>
      </c>
      <c r="L815">
        <v>2</v>
      </c>
      <c r="M815">
        <v>21</v>
      </c>
      <c r="N815">
        <v>23</v>
      </c>
    </row>
    <row r="816" spans="1:14" x14ac:dyDescent="0.3">
      <c r="A816">
        <v>815</v>
      </c>
      <c r="B816" s="21">
        <v>40580</v>
      </c>
      <c r="C816" s="25" t="s">
        <v>16</v>
      </c>
      <c r="D816" s="25" t="str" cm="1">
        <f t="array" ref="D816">_xlfn.SWITCH(Sheet5!A816,1,"JANUARY",2,"FEBRUARY")</f>
        <v>FEBRUARY</v>
      </c>
      <c r="E816">
        <v>9</v>
      </c>
      <c r="F816" t="str" cm="1">
        <f t="array" ref="F816">_xlfn.SWITCH(Sheet5!C816,FALSE,"NO",TRUE,"YES")</f>
        <v>NO</v>
      </c>
      <c r="G816" t="str" cm="1">
        <f t="array" ref="G816">_xlfn.SWITCH(Sheet5!B816,0,"Sunday",1,"Monday",2,"Tuesday",3,"Wednesday",4,"Thursday",5,"Friday",6,"Saturday")</f>
        <v>Sunday</v>
      </c>
      <c r="H816" t="str" cm="1">
        <f t="array" ref="H816">_xlfn.SWITCH(Sheet5!D816, 1, "Clear Sky", 2, "Mist", 3, "Dark Cloud",4,"Heavy Rainfall")</f>
        <v>Clear Sky</v>
      </c>
      <c r="I816" s="26">
        <f>Sheet5!E816*41</f>
        <v>11.48</v>
      </c>
      <c r="J816" s="27">
        <v>0.56000000000000005</v>
      </c>
      <c r="K816">
        <v>0.1045</v>
      </c>
      <c r="L816">
        <v>7</v>
      </c>
      <c r="M816">
        <v>38</v>
      </c>
      <c r="N816">
        <v>45</v>
      </c>
    </row>
    <row r="817" spans="1:14" x14ac:dyDescent="0.3">
      <c r="A817">
        <v>816</v>
      </c>
      <c r="B817" s="21">
        <v>40580</v>
      </c>
      <c r="C817" s="25" t="s">
        <v>16</v>
      </c>
      <c r="D817" s="25" t="str" cm="1">
        <f t="array" ref="D817">_xlfn.SWITCH(Sheet5!A817,1,"JANUARY",2,"FEBRUARY")</f>
        <v>FEBRUARY</v>
      </c>
      <c r="E817">
        <v>10</v>
      </c>
      <c r="F817" t="str" cm="1">
        <f t="array" ref="F817">_xlfn.SWITCH(Sheet5!C817,FALSE,"NO",TRUE,"YES")</f>
        <v>NO</v>
      </c>
      <c r="G817" t="str" cm="1">
        <f t="array" ref="G817">_xlfn.SWITCH(Sheet5!B817,0,"Sunday",1,"Monday",2,"Tuesday",3,"Wednesday",4,"Thursday",5,"Friday",6,"Saturday")</f>
        <v>Sunday</v>
      </c>
      <c r="H817" t="str" cm="1">
        <f t="array" ref="H817">_xlfn.SWITCH(Sheet5!D817, 1, "Clear Sky", 2, "Mist", 3, "Dark Cloud",4,"Heavy Rainfall")</f>
        <v>Clear Sky</v>
      </c>
      <c r="I817" s="26">
        <f>Sheet5!E817*41</f>
        <v>12.299999999999999</v>
      </c>
      <c r="J817" s="27">
        <v>0.52</v>
      </c>
      <c r="K817">
        <v>0.25369999999999998</v>
      </c>
      <c r="L817">
        <v>15</v>
      </c>
      <c r="M817">
        <v>74</v>
      </c>
      <c r="N817">
        <v>89</v>
      </c>
    </row>
    <row r="818" spans="1:14" x14ac:dyDescent="0.3">
      <c r="A818">
        <v>817</v>
      </c>
      <c r="B818" s="21">
        <v>40580</v>
      </c>
      <c r="C818" s="25" t="s">
        <v>16</v>
      </c>
      <c r="D818" s="25" t="str" cm="1">
        <f t="array" ref="D818">_xlfn.SWITCH(Sheet5!A818,1,"JANUARY",2,"FEBRUARY")</f>
        <v>FEBRUARY</v>
      </c>
      <c r="E818">
        <v>11</v>
      </c>
      <c r="F818" t="str" cm="1">
        <f t="array" ref="F818">_xlfn.SWITCH(Sheet5!C818,FALSE,"NO",TRUE,"YES")</f>
        <v>NO</v>
      </c>
      <c r="G818" t="str" cm="1">
        <f t="array" ref="G818">_xlfn.SWITCH(Sheet5!B818,0,"Sunday",1,"Monday",2,"Tuesday",3,"Wednesday",4,"Thursday",5,"Friday",6,"Saturday")</f>
        <v>Sunday</v>
      </c>
      <c r="H818" t="str" cm="1">
        <f t="array" ref="H818">_xlfn.SWITCH(Sheet5!D818, 1, "Clear Sky", 2, "Mist", 3, "Dark Cloud",4,"Heavy Rainfall")</f>
        <v>Clear Sky</v>
      </c>
      <c r="I818" s="26">
        <f>Sheet5!E818*41</f>
        <v>13.120000000000001</v>
      </c>
      <c r="J818" s="27">
        <v>0.49</v>
      </c>
      <c r="K818">
        <v>0.25369999999999998</v>
      </c>
      <c r="L818">
        <v>28</v>
      </c>
      <c r="M818">
        <v>89</v>
      </c>
      <c r="N818">
        <v>117</v>
      </c>
    </row>
    <row r="819" spans="1:14" x14ac:dyDescent="0.3">
      <c r="A819">
        <v>818</v>
      </c>
      <c r="B819" s="21">
        <v>40580</v>
      </c>
      <c r="C819" s="25" t="s">
        <v>16</v>
      </c>
      <c r="D819" s="25" t="str" cm="1">
        <f t="array" ref="D819">_xlfn.SWITCH(Sheet5!A819,1,"JANUARY",2,"FEBRUARY")</f>
        <v>FEBRUARY</v>
      </c>
      <c r="E819">
        <v>12</v>
      </c>
      <c r="F819" t="str" cm="1">
        <f t="array" ref="F819">_xlfn.SWITCH(Sheet5!C819,FALSE,"NO",TRUE,"YES")</f>
        <v>NO</v>
      </c>
      <c r="G819" t="str" cm="1">
        <f t="array" ref="G819">_xlfn.SWITCH(Sheet5!B819,0,"Sunday",1,"Monday",2,"Tuesday",3,"Wednesday",4,"Thursday",5,"Friday",6,"Saturday")</f>
        <v>Sunday</v>
      </c>
      <c r="H819" t="str" cm="1">
        <f t="array" ref="H819">_xlfn.SWITCH(Sheet5!D819, 1, "Clear Sky", 2, "Mist", 3, "Dark Cloud",4,"Heavy Rainfall")</f>
        <v>Clear Sky</v>
      </c>
      <c r="I819" s="26">
        <f>Sheet5!E819*41</f>
        <v>13.940000000000001</v>
      </c>
      <c r="J819" s="27">
        <v>0.46</v>
      </c>
      <c r="K819">
        <v>0</v>
      </c>
      <c r="L819">
        <v>48</v>
      </c>
      <c r="M819">
        <v>126</v>
      </c>
      <c r="N819">
        <v>174</v>
      </c>
    </row>
    <row r="820" spans="1:14" x14ac:dyDescent="0.3">
      <c r="A820">
        <v>819</v>
      </c>
      <c r="B820" s="21">
        <v>40580</v>
      </c>
      <c r="C820" s="25" t="s">
        <v>16</v>
      </c>
      <c r="D820" s="25" t="str" cm="1">
        <f t="array" ref="D820">_xlfn.SWITCH(Sheet5!A820,1,"JANUARY",2,"FEBRUARY")</f>
        <v>FEBRUARY</v>
      </c>
      <c r="E820">
        <v>13</v>
      </c>
      <c r="F820" t="str" cm="1">
        <f t="array" ref="F820">_xlfn.SWITCH(Sheet5!C820,FALSE,"NO",TRUE,"YES")</f>
        <v>NO</v>
      </c>
      <c r="G820" t="str" cm="1">
        <f t="array" ref="G820">_xlfn.SWITCH(Sheet5!B820,0,"Sunday",1,"Monday",2,"Tuesday",3,"Wednesday",4,"Thursday",5,"Friday",6,"Saturday")</f>
        <v>Sunday</v>
      </c>
      <c r="H820" t="str" cm="1">
        <f t="array" ref="H820">_xlfn.SWITCH(Sheet5!D820, 1, "Clear Sky", 2, "Mist", 3, "Dark Cloud",4,"Heavy Rainfall")</f>
        <v>Clear Sky</v>
      </c>
      <c r="I820" s="26">
        <f>Sheet5!E820*41</f>
        <v>13.940000000000001</v>
      </c>
      <c r="J820" s="27">
        <v>0.46</v>
      </c>
      <c r="K820">
        <v>0</v>
      </c>
      <c r="L820">
        <v>47</v>
      </c>
      <c r="M820">
        <v>135</v>
      </c>
      <c r="N820">
        <v>182</v>
      </c>
    </row>
    <row r="821" spans="1:14" x14ac:dyDescent="0.3">
      <c r="A821">
        <v>820</v>
      </c>
      <c r="B821" s="21">
        <v>40580</v>
      </c>
      <c r="C821" s="25" t="s">
        <v>16</v>
      </c>
      <c r="D821" s="25" t="str" cm="1">
        <f t="array" ref="D821">_xlfn.SWITCH(Sheet5!A821,1,"JANUARY",2,"FEBRUARY")</f>
        <v>FEBRUARY</v>
      </c>
      <c r="E821">
        <v>14</v>
      </c>
      <c r="F821" t="str" cm="1">
        <f t="array" ref="F821">_xlfn.SWITCH(Sheet5!C821,FALSE,"NO",TRUE,"YES")</f>
        <v>NO</v>
      </c>
      <c r="G821" t="str" cm="1">
        <f t="array" ref="G821">_xlfn.SWITCH(Sheet5!B821,0,"Sunday",1,"Monday",2,"Tuesday",3,"Wednesday",4,"Thursday",5,"Friday",6,"Saturday")</f>
        <v>Sunday</v>
      </c>
      <c r="H821" t="str" cm="1">
        <f t="array" ref="H821">_xlfn.SWITCH(Sheet5!D821, 1, "Clear Sky", 2, "Mist", 3, "Dark Cloud",4,"Heavy Rainfall")</f>
        <v>Clear Sky</v>
      </c>
      <c r="I821" s="26">
        <f>Sheet5!E821*41</f>
        <v>13.940000000000001</v>
      </c>
      <c r="J821" s="27">
        <v>0.46</v>
      </c>
      <c r="K821">
        <v>8.9599999999999999E-2</v>
      </c>
      <c r="L821">
        <v>47</v>
      </c>
      <c r="M821">
        <v>114</v>
      </c>
      <c r="N821">
        <v>161</v>
      </c>
    </row>
    <row r="822" spans="1:14" x14ac:dyDescent="0.3">
      <c r="A822">
        <v>821</v>
      </c>
      <c r="B822" s="21">
        <v>40580</v>
      </c>
      <c r="C822" s="25" t="s">
        <v>16</v>
      </c>
      <c r="D822" s="25" t="str" cm="1">
        <f t="array" ref="D822">_xlfn.SWITCH(Sheet5!A822,1,"JANUARY",2,"FEBRUARY")</f>
        <v>FEBRUARY</v>
      </c>
      <c r="E822">
        <v>15</v>
      </c>
      <c r="F822" t="str" cm="1">
        <f t="array" ref="F822">_xlfn.SWITCH(Sheet5!C822,FALSE,"NO",TRUE,"YES")</f>
        <v>NO</v>
      </c>
      <c r="G822" t="str" cm="1">
        <f t="array" ref="G822">_xlfn.SWITCH(Sheet5!B822,0,"Sunday",1,"Monday",2,"Tuesday",3,"Wednesday",4,"Thursday",5,"Friday",6,"Saturday")</f>
        <v>Sunday</v>
      </c>
      <c r="H822" t="str" cm="1">
        <f t="array" ref="H822">_xlfn.SWITCH(Sheet5!D822, 1, "Clear Sky", 2, "Mist", 3, "Dark Cloud",4,"Heavy Rainfall")</f>
        <v>Clear Sky</v>
      </c>
      <c r="I822" s="26">
        <f>Sheet5!E822*41</f>
        <v>13.940000000000001</v>
      </c>
      <c r="J822" s="27">
        <v>0.46</v>
      </c>
      <c r="K822">
        <v>8.9599999999999999E-2</v>
      </c>
      <c r="L822">
        <v>52</v>
      </c>
      <c r="M822">
        <v>130</v>
      </c>
      <c r="N822">
        <v>182</v>
      </c>
    </row>
    <row r="823" spans="1:14" x14ac:dyDescent="0.3">
      <c r="A823">
        <v>822</v>
      </c>
      <c r="B823" s="21">
        <v>40580</v>
      </c>
      <c r="C823" s="25" t="s">
        <v>16</v>
      </c>
      <c r="D823" s="25" t="str" cm="1">
        <f t="array" ref="D823">_xlfn.SWITCH(Sheet5!A823,1,"JANUARY",2,"FEBRUARY")</f>
        <v>FEBRUARY</v>
      </c>
      <c r="E823">
        <v>16</v>
      </c>
      <c r="F823" t="str" cm="1">
        <f t="array" ref="F823">_xlfn.SWITCH(Sheet5!C823,FALSE,"NO",TRUE,"YES")</f>
        <v>NO</v>
      </c>
      <c r="G823" t="str" cm="1">
        <f t="array" ref="G823">_xlfn.SWITCH(Sheet5!B823,0,"Sunday",1,"Monday",2,"Tuesday",3,"Wednesday",4,"Thursday",5,"Friday",6,"Saturday")</f>
        <v>Sunday</v>
      </c>
      <c r="H823" t="str" cm="1">
        <f t="array" ref="H823">_xlfn.SWITCH(Sheet5!D823, 1, "Clear Sky", 2, "Mist", 3, "Dark Cloud",4,"Heavy Rainfall")</f>
        <v>Clear Sky</v>
      </c>
      <c r="I823" s="26">
        <f>Sheet5!E823*41</f>
        <v>13.940000000000001</v>
      </c>
      <c r="J823" s="27">
        <v>0.49</v>
      </c>
      <c r="K823">
        <v>0.1045</v>
      </c>
      <c r="L823">
        <v>42</v>
      </c>
      <c r="M823">
        <v>115</v>
      </c>
      <c r="N823">
        <v>157</v>
      </c>
    </row>
    <row r="824" spans="1:14" x14ac:dyDescent="0.3">
      <c r="A824">
        <v>823</v>
      </c>
      <c r="B824" s="21">
        <v>40580</v>
      </c>
      <c r="C824" s="25" t="s">
        <v>16</v>
      </c>
      <c r="D824" s="25" t="str" cm="1">
        <f t="array" ref="D824">_xlfn.SWITCH(Sheet5!A824,1,"JANUARY",2,"FEBRUARY")</f>
        <v>FEBRUARY</v>
      </c>
      <c r="E824">
        <v>17</v>
      </c>
      <c r="F824" t="str" cm="1">
        <f t="array" ref="F824">_xlfn.SWITCH(Sheet5!C824,FALSE,"NO",TRUE,"YES")</f>
        <v>NO</v>
      </c>
      <c r="G824" t="str" cm="1">
        <f t="array" ref="G824">_xlfn.SWITCH(Sheet5!B824,0,"Sunday",1,"Monday",2,"Tuesday",3,"Wednesday",4,"Thursday",5,"Friday",6,"Saturday")</f>
        <v>Sunday</v>
      </c>
      <c r="H824" t="str" cm="1">
        <f t="array" ref="H824">_xlfn.SWITCH(Sheet5!D824, 1, "Clear Sky", 2, "Mist", 3, "Dark Cloud",4,"Heavy Rainfall")</f>
        <v>Clear Sky</v>
      </c>
      <c r="I824" s="26">
        <f>Sheet5!E824*41</f>
        <v>13.940000000000001</v>
      </c>
      <c r="J824" s="27">
        <v>0.46</v>
      </c>
      <c r="K824">
        <v>0</v>
      </c>
      <c r="L824">
        <v>24</v>
      </c>
      <c r="M824">
        <v>97</v>
      </c>
      <c r="N824">
        <v>121</v>
      </c>
    </row>
    <row r="825" spans="1:14" x14ac:dyDescent="0.3">
      <c r="A825">
        <v>824</v>
      </c>
      <c r="B825" s="21">
        <v>40580</v>
      </c>
      <c r="C825" s="25" t="s">
        <v>16</v>
      </c>
      <c r="D825" s="25" t="str" cm="1">
        <f t="array" ref="D825">_xlfn.SWITCH(Sheet5!A825,1,"JANUARY",2,"FEBRUARY")</f>
        <v>FEBRUARY</v>
      </c>
      <c r="E825">
        <v>18</v>
      </c>
      <c r="F825" t="str" cm="1">
        <f t="array" ref="F825">_xlfn.SWITCH(Sheet5!C825,FALSE,"NO",TRUE,"YES")</f>
        <v>NO</v>
      </c>
      <c r="G825" t="str" cm="1">
        <f t="array" ref="G825">_xlfn.SWITCH(Sheet5!B825,0,"Sunday",1,"Monday",2,"Tuesday",3,"Wednesday",4,"Thursday",5,"Friday",6,"Saturday")</f>
        <v>Sunday</v>
      </c>
      <c r="H825" t="str" cm="1">
        <f t="array" ref="H825">_xlfn.SWITCH(Sheet5!D825, 1, "Clear Sky", 2, "Mist", 3, "Dark Cloud",4,"Heavy Rainfall")</f>
        <v>Clear Sky</v>
      </c>
      <c r="I825" s="26">
        <f>Sheet5!E825*41</f>
        <v>12.299999999999999</v>
      </c>
      <c r="J825" s="27">
        <v>0.56000000000000005</v>
      </c>
      <c r="K825">
        <v>0.16420000000000001</v>
      </c>
      <c r="L825">
        <v>13</v>
      </c>
      <c r="M825">
        <v>65</v>
      </c>
      <c r="N825">
        <v>78</v>
      </c>
    </row>
    <row r="826" spans="1:14" x14ac:dyDescent="0.3">
      <c r="A826">
        <v>825</v>
      </c>
      <c r="B826" s="21">
        <v>40580</v>
      </c>
      <c r="C826" s="25" t="s">
        <v>16</v>
      </c>
      <c r="D826" s="25" t="str" cm="1">
        <f t="array" ref="D826">_xlfn.SWITCH(Sheet5!A826,1,"JANUARY",2,"FEBRUARY")</f>
        <v>FEBRUARY</v>
      </c>
      <c r="E826">
        <v>19</v>
      </c>
      <c r="F826" t="str" cm="1">
        <f t="array" ref="F826">_xlfn.SWITCH(Sheet5!C826,FALSE,"NO",TRUE,"YES")</f>
        <v>NO</v>
      </c>
      <c r="G826" t="str" cm="1">
        <f t="array" ref="G826">_xlfn.SWITCH(Sheet5!B826,0,"Sunday",1,"Monday",2,"Tuesday",3,"Wednesday",4,"Thursday",5,"Friday",6,"Saturday")</f>
        <v>Sunday</v>
      </c>
      <c r="H826" t="str" cm="1">
        <f t="array" ref="H826">_xlfn.SWITCH(Sheet5!D826, 1, "Clear Sky", 2, "Mist", 3, "Dark Cloud",4,"Heavy Rainfall")</f>
        <v>Clear Sky</v>
      </c>
      <c r="I826" s="26">
        <f>Sheet5!E826*41</f>
        <v>11.48</v>
      </c>
      <c r="J826" s="27">
        <v>0.61</v>
      </c>
      <c r="K826">
        <v>0.1343</v>
      </c>
      <c r="L826">
        <v>1</v>
      </c>
      <c r="M826">
        <v>20</v>
      </c>
      <c r="N826">
        <v>21</v>
      </c>
    </row>
    <row r="827" spans="1:14" x14ac:dyDescent="0.3">
      <c r="A827">
        <v>826</v>
      </c>
      <c r="B827" s="21">
        <v>40580</v>
      </c>
      <c r="C827" s="25" t="s">
        <v>16</v>
      </c>
      <c r="D827" s="25" t="str" cm="1">
        <f t="array" ref="D827">_xlfn.SWITCH(Sheet5!A827,1,"JANUARY",2,"FEBRUARY")</f>
        <v>FEBRUARY</v>
      </c>
      <c r="E827">
        <v>20</v>
      </c>
      <c r="F827" t="str" cm="1">
        <f t="array" ref="F827">_xlfn.SWITCH(Sheet5!C827,FALSE,"NO",TRUE,"YES")</f>
        <v>NO</v>
      </c>
      <c r="G827" t="str" cm="1">
        <f t="array" ref="G827">_xlfn.SWITCH(Sheet5!B827,0,"Sunday",1,"Monday",2,"Tuesday",3,"Wednesday",4,"Thursday",5,"Friday",6,"Saturday")</f>
        <v>Sunday</v>
      </c>
      <c r="H827" t="str" cm="1">
        <f t="array" ref="H827">_xlfn.SWITCH(Sheet5!D827, 1, "Clear Sky", 2, "Mist", 3, "Dark Cloud",4,"Heavy Rainfall")</f>
        <v>Clear Sky</v>
      </c>
      <c r="I827" s="26">
        <f>Sheet5!E827*41</f>
        <v>11.48</v>
      </c>
      <c r="J827" s="27">
        <v>0.61</v>
      </c>
      <c r="K827">
        <v>0.1045</v>
      </c>
      <c r="L827">
        <v>5</v>
      </c>
      <c r="M827">
        <v>21</v>
      </c>
      <c r="N827">
        <v>26</v>
      </c>
    </row>
    <row r="828" spans="1:14" x14ac:dyDescent="0.3">
      <c r="A828">
        <v>827</v>
      </c>
      <c r="B828" s="21">
        <v>40580</v>
      </c>
      <c r="C828" s="25" t="s">
        <v>16</v>
      </c>
      <c r="D828" s="25" t="str" cm="1">
        <f t="array" ref="D828">_xlfn.SWITCH(Sheet5!A828,1,"JANUARY",2,"FEBRUARY")</f>
        <v>FEBRUARY</v>
      </c>
      <c r="E828">
        <v>21</v>
      </c>
      <c r="F828" t="str" cm="1">
        <f t="array" ref="F828">_xlfn.SWITCH(Sheet5!C828,FALSE,"NO",TRUE,"YES")</f>
        <v>NO</v>
      </c>
      <c r="G828" t="str" cm="1">
        <f t="array" ref="G828">_xlfn.SWITCH(Sheet5!B828,0,"Sunday",1,"Monday",2,"Tuesday",3,"Wednesday",4,"Thursday",5,"Friday",6,"Saturday")</f>
        <v>Sunday</v>
      </c>
      <c r="H828" t="str" cm="1">
        <f t="array" ref="H828">_xlfn.SWITCH(Sheet5!D828, 1, "Clear Sky", 2, "Mist", 3, "Dark Cloud",4,"Heavy Rainfall")</f>
        <v>Clear Sky</v>
      </c>
      <c r="I828" s="26">
        <f>Sheet5!E828*41</f>
        <v>10.66</v>
      </c>
      <c r="J828" s="27">
        <v>0.6</v>
      </c>
      <c r="K828">
        <v>0</v>
      </c>
      <c r="L828">
        <v>5</v>
      </c>
      <c r="M828">
        <v>22</v>
      </c>
      <c r="N828">
        <v>27</v>
      </c>
    </row>
    <row r="829" spans="1:14" x14ac:dyDescent="0.3">
      <c r="A829">
        <v>828</v>
      </c>
      <c r="B829" s="21">
        <v>40580</v>
      </c>
      <c r="C829" s="25" t="s">
        <v>16</v>
      </c>
      <c r="D829" s="25" t="str" cm="1">
        <f t="array" ref="D829">_xlfn.SWITCH(Sheet5!A829,1,"JANUARY",2,"FEBRUARY")</f>
        <v>FEBRUARY</v>
      </c>
      <c r="E829">
        <v>22</v>
      </c>
      <c r="F829" t="str" cm="1">
        <f t="array" ref="F829">_xlfn.SWITCH(Sheet5!C829,FALSE,"NO",TRUE,"YES")</f>
        <v>NO</v>
      </c>
      <c r="G829" t="str" cm="1">
        <f t="array" ref="G829">_xlfn.SWITCH(Sheet5!B829,0,"Sunday",1,"Monday",2,"Tuesday",3,"Wednesday",4,"Thursday",5,"Friday",6,"Saturday")</f>
        <v>Sunday</v>
      </c>
      <c r="H829" t="str" cm="1">
        <f t="array" ref="H829">_xlfn.SWITCH(Sheet5!D829, 1, "Clear Sky", 2, "Mist", 3, "Dark Cloud",4,"Heavy Rainfall")</f>
        <v>Clear Sky</v>
      </c>
      <c r="I829" s="26">
        <f>Sheet5!E829*41</f>
        <v>10.66</v>
      </c>
      <c r="J829" s="27">
        <v>0.6</v>
      </c>
      <c r="K829">
        <v>0</v>
      </c>
      <c r="L829">
        <v>5</v>
      </c>
      <c r="M829">
        <v>57</v>
      </c>
      <c r="N829">
        <v>62</v>
      </c>
    </row>
    <row r="830" spans="1:14" x14ac:dyDescent="0.3">
      <c r="A830">
        <v>829</v>
      </c>
      <c r="B830" s="21">
        <v>40580</v>
      </c>
      <c r="C830" s="25" t="s">
        <v>16</v>
      </c>
      <c r="D830" s="25" t="str" cm="1">
        <f t="array" ref="D830">_xlfn.SWITCH(Sheet5!A830,1,"JANUARY",2,"FEBRUARY")</f>
        <v>FEBRUARY</v>
      </c>
      <c r="E830">
        <v>23</v>
      </c>
      <c r="F830" t="str" cm="1">
        <f t="array" ref="F830">_xlfn.SWITCH(Sheet5!C830,FALSE,"NO",TRUE,"YES")</f>
        <v>NO</v>
      </c>
      <c r="G830" t="str" cm="1">
        <f t="array" ref="G830">_xlfn.SWITCH(Sheet5!B830,0,"Sunday",1,"Monday",2,"Tuesday",3,"Wednesday",4,"Thursday",5,"Friday",6,"Saturday")</f>
        <v>Sunday</v>
      </c>
      <c r="H830" t="str" cm="1">
        <f t="array" ref="H830">_xlfn.SWITCH(Sheet5!D830, 1, "Clear Sky", 2, "Mist", 3, "Dark Cloud",4,"Heavy Rainfall")</f>
        <v>Clear Sky</v>
      </c>
      <c r="I830" s="26">
        <f>Sheet5!E830*41</f>
        <v>9.84</v>
      </c>
      <c r="J830" s="27">
        <v>0.65</v>
      </c>
      <c r="K830">
        <v>0</v>
      </c>
      <c r="L830">
        <v>4</v>
      </c>
      <c r="M830">
        <v>26</v>
      </c>
      <c r="N830">
        <v>30</v>
      </c>
    </row>
    <row r="831" spans="1:14" x14ac:dyDescent="0.3">
      <c r="A831">
        <v>830</v>
      </c>
      <c r="B831" s="21">
        <v>40581</v>
      </c>
      <c r="C831" s="25" t="s">
        <v>16</v>
      </c>
      <c r="D831" s="25" t="str" cm="1">
        <f t="array" ref="D831">_xlfn.SWITCH(Sheet5!A831,1,"JANUARY",2,"FEBRUARY")</f>
        <v>FEBRUARY</v>
      </c>
      <c r="E831">
        <v>0</v>
      </c>
      <c r="F831" t="str" cm="1">
        <f t="array" ref="F831">_xlfn.SWITCH(Sheet5!C831,FALSE,"NO",TRUE,"YES")</f>
        <v>NO</v>
      </c>
      <c r="G831" t="str" cm="1">
        <f t="array" ref="G831">_xlfn.SWITCH(Sheet5!B831,0,"Sunday",1,"Monday",2,"Tuesday",3,"Wednesday",4,"Thursday",5,"Friday",6,"Saturday")</f>
        <v>Monday</v>
      </c>
      <c r="H831" t="str" cm="1">
        <f t="array" ref="H831">_xlfn.SWITCH(Sheet5!D831, 1, "Clear Sky", 2, "Mist", 3, "Dark Cloud",4,"Heavy Rainfall")</f>
        <v>Clear Sky</v>
      </c>
      <c r="I831" s="26">
        <f>Sheet5!E831*41</f>
        <v>9.84</v>
      </c>
      <c r="J831" s="27">
        <v>0.65</v>
      </c>
      <c r="K831">
        <v>0</v>
      </c>
      <c r="L831">
        <v>1</v>
      </c>
      <c r="M831">
        <v>14</v>
      </c>
      <c r="N831">
        <v>15</v>
      </c>
    </row>
    <row r="832" spans="1:14" x14ac:dyDescent="0.3">
      <c r="A832">
        <v>831</v>
      </c>
      <c r="B832" s="21">
        <v>40581</v>
      </c>
      <c r="C832" s="25" t="s">
        <v>16</v>
      </c>
      <c r="D832" s="25" t="str" cm="1">
        <f t="array" ref="D832">_xlfn.SWITCH(Sheet5!A832,1,"JANUARY",2,"FEBRUARY")</f>
        <v>FEBRUARY</v>
      </c>
      <c r="E832">
        <v>1</v>
      </c>
      <c r="F832" t="str" cm="1">
        <f t="array" ref="F832">_xlfn.SWITCH(Sheet5!C832,FALSE,"NO",TRUE,"YES")</f>
        <v>NO</v>
      </c>
      <c r="G832" t="str" cm="1">
        <f t="array" ref="G832">_xlfn.SWITCH(Sheet5!B832,0,"Sunday",1,"Monday",2,"Tuesday",3,"Wednesday",4,"Thursday",5,"Friday",6,"Saturday")</f>
        <v>Monday</v>
      </c>
      <c r="H832" t="str" cm="1">
        <f t="array" ref="H832">_xlfn.SWITCH(Sheet5!D832, 1, "Clear Sky", 2, "Mist", 3, "Dark Cloud",4,"Heavy Rainfall")</f>
        <v>Clear Sky</v>
      </c>
      <c r="I832" s="26">
        <f>Sheet5!E832*41</f>
        <v>9.02</v>
      </c>
      <c r="J832" s="27">
        <v>0.75</v>
      </c>
      <c r="K832">
        <v>0</v>
      </c>
      <c r="L832">
        <v>1</v>
      </c>
      <c r="M832">
        <v>4</v>
      </c>
      <c r="N832">
        <v>5</v>
      </c>
    </row>
    <row r="833" spans="1:14" x14ac:dyDescent="0.3">
      <c r="A833">
        <v>832</v>
      </c>
      <c r="B833" s="21">
        <v>40581</v>
      </c>
      <c r="C833" s="25" t="s">
        <v>16</v>
      </c>
      <c r="D833" s="25" t="str" cm="1">
        <f t="array" ref="D833">_xlfn.SWITCH(Sheet5!A833,1,"JANUARY",2,"FEBRUARY")</f>
        <v>FEBRUARY</v>
      </c>
      <c r="E833">
        <v>2</v>
      </c>
      <c r="F833" t="str" cm="1">
        <f t="array" ref="F833">_xlfn.SWITCH(Sheet5!C833,FALSE,"NO",TRUE,"YES")</f>
        <v>NO</v>
      </c>
      <c r="G833" t="str" cm="1">
        <f t="array" ref="G833">_xlfn.SWITCH(Sheet5!B833,0,"Sunday",1,"Monday",2,"Tuesday",3,"Wednesday",4,"Thursday",5,"Friday",6,"Saturday")</f>
        <v>Monday</v>
      </c>
      <c r="H833" t="str" cm="1">
        <f t="array" ref="H833">_xlfn.SWITCH(Sheet5!D833, 1, "Clear Sky", 2, "Mist", 3, "Dark Cloud",4,"Heavy Rainfall")</f>
        <v>Clear Sky</v>
      </c>
      <c r="I833" s="26">
        <f>Sheet5!E833*41</f>
        <v>8.2000000000000011</v>
      </c>
      <c r="J833" s="27">
        <v>0.8</v>
      </c>
      <c r="K833">
        <v>0</v>
      </c>
      <c r="L833">
        <v>0</v>
      </c>
      <c r="M833">
        <v>3</v>
      </c>
      <c r="N833">
        <v>3</v>
      </c>
    </row>
    <row r="834" spans="1:14" x14ac:dyDescent="0.3">
      <c r="A834">
        <v>833</v>
      </c>
      <c r="B834" s="21">
        <v>40581</v>
      </c>
      <c r="C834" s="25" t="s">
        <v>16</v>
      </c>
      <c r="D834" s="25" t="str" cm="1">
        <f t="array" ref="D834">_xlfn.SWITCH(Sheet5!A834,1,"JANUARY",2,"FEBRUARY")</f>
        <v>FEBRUARY</v>
      </c>
      <c r="E834">
        <v>3</v>
      </c>
      <c r="F834" t="str" cm="1">
        <f t="array" ref="F834">_xlfn.SWITCH(Sheet5!C834,FALSE,"NO",TRUE,"YES")</f>
        <v>NO</v>
      </c>
      <c r="G834" t="str" cm="1">
        <f t="array" ref="G834">_xlfn.SWITCH(Sheet5!B834,0,"Sunday",1,"Monday",2,"Tuesday",3,"Wednesday",4,"Thursday",5,"Friday",6,"Saturday")</f>
        <v>Monday</v>
      </c>
      <c r="H834" t="str" cm="1">
        <f t="array" ref="H834">_xlfn.SWITCH(Sheet5!D834, 1, "Clear Sky", 2, "Mist", 3, "Dark Cloud",4,"Heavy Rainfall")</f>
        <v>Clear Sky</v>
      </c>
      <c r="I834" s="26">
        <f>Sheet5!E834*41</f>
        <v>8.2000000000000011</v>
      </c>
      <c r="J834" s="27">
        <v>0.86</v>
      </c>
      <c r="K834">
        <v>0</v>
      </c>
      <c r="L834">
        <v>0</v>
      </c>
      <c r="M834">
        <v>1</v>
      </c>
      <c r="N834">
        <v>1</v>
      </c>
    </row>
    <row r="835" spans="1:14" x14ac:dyDescent="0.3">
      <c r="A835">
        <v>834</v>
      </c>
      <c r="B835" s="21">
        <v>40581</v>
      </c>
      <c r="C835" s="25" t="s">
        <v>16</v>
      </c>
      <c r="D835" s="25" t="str" cm="1">
        <f t="array" ref="D835">_xlfn.SWITCH(Sheet5!A835,1,"JANUARY",2,"FEBRUARY")</f>
        <v>FEBRUARY</v>
      </c>
      <c r="E835">
        <v>4</v>
      </c>
      <c r="F835" t="str" cm="1">
        <f t="array" ref="F835">_xlfn.SWITCH(Sheet5!C835,FALSE,"NO",TRUE,"YES")</f>
        <v>NO</v>
      </c>
      <c r="G835" t="str" cm="1">
        <f t="array" ref="G835">_xlfn.SWITCH(Sheet5!B835,0,"Sunday",1,"Monday",2,"Tuesday",3,"Wednesday",4,"Thursday",5,"Friday",6,"Saturday")</f>
        <v>Monday</v>
      </c>
      <c r="H835" t="str" cm="1">
        <f t="array" ref="H835">_xlfn.SWITCH(Sheet5!D835, 1, "Clear Sky", 2, "Mist", 3, "Dark Cloud",4,"Heavy Rainfall")</f>
        <v>Clear Sky</v>
      </c>
      <c r="I835" s="26">
        <f>Sheet5!E835*41</f>
        <v>8.2000000000000011</v>
      </c>
      <c r="J835" s="27">
        <v>0.86</v>
      </c>
      <c r="K835">
        <v>0</v>
      </c>
      <c r="L835">
        <v>1</v>
      </c>
      <c r="M835">
        <v>1</v>
      </c>
      <c r="N835">
        <v>2</v>
      </c>
    </row>
    <row r="836" spans="1:14" x14ac:dyDescent="0.3">
      <c r="A836">
        <v>835</v>
      </c>
      <c r="B836" s="21">
        <v>40581</v>
      </c>
      <c r="C836" s="25" t="s">
        <v>16</v>
      </c>
      <c r="D836" s="25" t="str" cm="1">
        <f t="array" ref="D836">_xlfn.SWITCH(Sheet5!A836,1,"JANUARY",2,"FEBRUARY")</f>
        <v>FEBRUARY</v>
      </c>
      <c r="E836">
        <v>5</v>
      </c>
      <c r="F836" t="str" cm="1">
        <f t="array" ref="F836">_xlfn.SWITCH(Sheet5!C836,FALSE,"NO",TRUE,"YES")</f>
        <v>NO</v>
      </c>
      <c r="G836" t="str" cm="1">
        <f t="array" ref="G836">_xlfn.SWITCH(Sheet5!B836,0,"Sunday",1,"Monday",2,"Tuesday",3,"Wednesday",4,"Thursday",5,"Friday",6,"Saturday")</f>
        <v>Monday</v>
      </c>
      <c r="H836" t="str" cm="1">
        <f t="array" ref="H836">_xlfn.SWITCH(Sheet5!D836, 1, "Clear Sky", 2, "Mist", 3, "Dark Cloud",4,"Heavy Rainfall")</f>
        <v>Clear Sky</v>
      </c>
      <c r="I836" s="26">
        <f>Sheet5!E836*41</f>
        <v>8.2000000000000011</v>
      </c>
      <c r="J836" s="27">
        <v>0.86</v>
      </c>
      <c r="K836">
        <v>0</v>
      </c>
      <c r="L836">
        <v>1</v>
      </c>
      <c r="M836">
        <v>9</v>
      </c>
      <c r="N836">
        <v>10</v>
      </c>
    </row>
    <row r="837" spans="1:14" x14ac:dyDescent="0.3">
      <c r="A837">
        <v>836</v>
      </c>
      <c r="B837" s="21">
        <v>40581</v>
      </c>
      <c r="C837" s="25" t="s">
        <v>16</v>
      </c>
      <c r="D837" s="25" t="str" cm="1">
        <f t="array" ref="D837">_xlfn.SWITCH(Sheet5!A837,1,"JANUARY",2,"FEBRUARY")</f>
        <v>FEBRUARY</v>
      </c>
      <c r="E837">
        <v>6</v>
      </c>
      <c r="F837" t="str" cm="1">
        <f t="array" ref="F837">_xlfn.SWITCH(Sheet5!C837,FALSE,"NO",TRUE,"YES")</f>
        <v>NO</v>
      </c>
      <c r="G837" t="str" cm="1">
        <f t="array" ref="G837">_xlfn.SWITCH(Sheet5!B837,0,"Sunday",1,"Monday",2,"Tuesday",3,"Wednesday",4,"Thursday",5,"Friday",6,"Saturday")</f>
        <v>Monday</v>
      </c>
      <c r="H837" t="str" cm="1">
        <f t="array" ref="H837">_xlfn.SWITCH(Sheet5!D837, 1, "Clear Sky", 2, "Mist", 3, "Dark Cloud",4,"Heavy Rainfall")</f>
        <v>Clear Sky</v>
      </c>
      <c r="I837" s="26">
        <f>Sheet5!E837*41</f>
        <v>7.38</v>
      </c>
      <c r="J837" s="27">
        <v>0.93</v>
      </c>
      <c r="K837">
        <v>0</v>
      </c>
      <c r="L837">
        <v>1</v>
      </c>
      <c r="M837">
        <v>29</v>
      </c>
      <c r="N837">
        <v>30</v>
      </c>
    </row>
    <row r="838" spans="1:14" x14ac:dyDescent="0.3">
      <c r="A838">
        <v>837</v>
      </c>
      <c r="B838" s="21">
        <v>40581</v>
      </c>
      <c r="C838" s="25" t="s">
        <v>16</v>
      </c>
      <c r="D838" s="25" t="str" cm="1">
        <f t="array" ref="D838">_xlfn.SWITCH(Sheet5!A838,1,"JANUARY",2,"FEBRUARY")</f>
        <v>FEBRUARY</v>
      </c>
      <c r="E838">
        <v>7</v>
      </c>
      <c r="F838" t="str" cm="1">
        <f t="array" ref="F838">_xlfn.SWITCH(Sheet5!C838,FALSE,"NO",TRUE,"YES")</f>
        <v>NO</v>
      </c>
      <c r="G838" t="str" cm="1">
        <f t="array" ref="G838">_xlfn.SWITCH(Sheet5!B838,0,"Sunday",1,"Monday",2,"Tuesday",3,"Wednesday",4,"Thursday",5,"Friday",6,"Saturday")</f>
        <v>Monday</v>
      </c>
      <c r="H838" t="str" cm="1">
        <f t="array" ref="H838">_xlfn.SWITCH(Sheet5!D838, 1, "Clear Sky", 2, "Mist", 3, "Dark Cloud",4,"Heavy Rainfall")</f>
        <v>Clear Sky</v>
      </c>
      <c r="I838" s="26">
        <f>Sheet5!E838*41</f>
        <v>7.38</v>
      </c>
      <c r="J838" s="27">
        <v>0.86</v>
      </c>
      <c r="K838">
        <v>0</v>
      </c>
      <c r="L838">
        <v>6</v>
      </c>
      <c r="M838">
        <v>89</v>
      </c>
      <c r="N838">
        <v>95</v>
      </c>
    </row>
    <row r="839" spans="1:14" x14ac:dyDescent="0.3">
      <c r="A839">
        <v>838</v>
      </c>
      <c r="B839" s="21">
        <v>40581</v>
      </c>
      <c r="C839" s="25" t="s">
        <v>16</v>
      </c>
      <c r="D839" s="25" t="str" cm="1">
        <f t="array" ref="D839">_xlfn.SWITCH(Sheet5!A839,1,"JANUARY",2,"FEBRUARY")</f>
        <v>FEBRUARY</v>
      </c>
      <c r="E839">
        <v>8</v>
      </c>
      <c r="F839" t="str" cm="1">
        <f t="array" ref="F839">_xlfn.SWITCH(Sheet5!C839,FALSE,"NO",TRUE,"YES")</f>
        <v>NO</v>
      </c>
      <c r="G839" t="str" cm="1">
        <f t="array" ref="G839">_xlfn.SWITCH(Sheet5!B839,0,"Sunday",1,"Monday",2,"Tuesday",3,"Wednesday",4,"Thursday",5,"Friday",6,"Saturday")</f>
        <v>Monday</v>
      </c>
      <c r="H839" t="str" cm="1">
        <f t="array" ref="H839">_xlfn.SWITCH(Sheet5!D839, 1, "Clear Sky", 2, "Mist", 3, "Dark Cloud",4,"Heavy Rainfall")</f>
        <v>Mist</v>
      </c>
      <c r="I839" s="26">
        <f>Sheet5!E839*41</f>
        <v>6.5600000000000005</v>
      </c>
      <c r="J839" s="27">
        <v>1</v>
      </c>
      <c r="K839">
        <v>0</v>
      </c>
      <c r="L839">
        <v>7</v>
      </c>
      <c r="M839">
        <v>223</v>
      </c>
      <c r="N839">
        <v>230</v>
      </c>
    </row>
    <row r="840" spans="1:14" x14ac:dyDescent="0.3">
      <c r="A840">
        <v>839</v>
      </c>
      <c r="B840" s="21">
        <v>40581</v>
      </c>
      <c r="C840" s="25" t="s">
        <v>16</v>
      </c>
      <c r="D840" s="25" t="str" cm="1">
        <f t="array" ref="D840">_xlfn.SWITCH(Sheet5!A840,1,"JANUARY",2,"FEBRUARY")</f>
        <v>FEBRUARY</v>
      </c>
      <c r="E840">
        <v>9</v>
      </c>
      <c r="F840" t="str" cm="1">
        <f t="array" ref="F840">_xlfn.SWITCH(Sheet5!C840,FALSE,"NO",TRUE,"YES")</f>
        <v>NO</v>
      </c>
      <c r="G840" t="str" cm="1">
        <f t="array" ref="G840">_xlfn.SWITCH(Sheet5!B840,0,"Sunday",1,"Monday",2,"Tuesday",3,"Wednesday",4,"Thursday",5,"Friday",6,"Saturday")</f>
        <v>Monday</v>
      </c>
      <c r="H840" t="str" cm="1">
        <f t="array" ref="H840">_xlfn.SWITCH(Sheet5!D840, 1, "Clear Sky", 2, "Mist", 3, "Dark Cloud",4,"Heavy Rainfall")</f>
        <v>Clear Sky</v>
      </c>
      <c r="I840" s="26">
        <f>Sheet5!E840*41</f>
        <v>9.02</v>
      </c>
      <c r="J840" s="27">
        <v>0.8</v>
      </c>
      <c r="K840">
        <v>0</v>
      </c>
      <c r="L840">
        <v>3</v>
      </c>
      <c r="M840">
        <v>115</v>
      </c>
      <c r="N840">
        <v>118</v>
      </c>
    </row>
    <row r="841" spans="1:14" x14ac:dyDescent="0.3">
      <c r="A841">
        <v>840</v>
      </c>
      <c r="B841" s="21">
        <v>40581</v>
      </c>
      <c r="C841" s="25" t="s">
        <v>16</v>
      </c>
      <c r="D841" s="25" t="str" cm="1">
        <f t="array" ref="D841">_xlfn.SWITCH(Sheet5!A841,1,"JANUARY",2,"FEBRUARY")</f>
        <v>FEBRUARY</v>
      </c>
      <c r="E841">
        <v>10</v>
      </c>
      <c r="F841" t="str" cm="1">
        <f t="array" ref="F841">_xlfn.SWITCH(Sheet5!C841,FALSE,"NO",TRUE,"YES")</f>
        <v>NO</v>
      </c>
      <c r="G841" t="str" cm="1">
        <f t="array" ref="G841">_xlfn.SWITCH(Sheet5!B841,0,"Sunday",1,"Monday",2,"Tuesday",3,"Wednesday",4,"Thursday",5,"Friday",6,"Saturday")</f>
        <v>Monday</v>
      </c>
      <c r="H841" t="str" cm="1">
        <f t="array" ref="H841">_xlfn.SWITCH(Sheet5!D841, 1, "Clear Sky", 2, "Mist", 3, "Dark Cloud",4,"Heavy Rainfall")</f>
        <v>Clear Sky</v>
      </c>
      <c r="I841" s="26">
        <f>Sheet5!E841*41</f>
        <v>9.84</v>
      </c>
      <c r="J841" s="27">
        <v>0.75</v>
      </c>
      <c r="K841">
        <v>0.1045</v>
      </c>
      <c r="L841">
        <v>6</v>
      </c>
      <c r="M841">
        <v>49</v>
      </c>
      <c r="N841">
        <v>55</v>
      </c>
    </row>
    <row r="842" spans="1:14" x14ac:dyDescent="0.3">
      <c r="A842">
        <v>841</v>
      </c>
      <c r="B842" s="21">
        <v>40581</v>
      </c>
      <c r="C842" s="25" t="s">
        <v>16</v>
      </c>
      <c r="D842" s="25" t="str" cm="1">
        <f t="array" ref="D842">_xlfn.SWITCH(Sheet5!A842,1,"JANUARY",2,"FEBRUARY")</f>
        <v>FEBRUARY</v>
      </c>
      <c r="E842">
        <v>11</v>
      </c>
      <c r="F842" t="str" cm="1">
        <f t="array" ref="F842">_xlfn.SWITCH(Sheet5!C842,FALSE,"NO",TRUE,"YES")</f>
        <v>NO</v>
      </c>
      <c r="G842" t="str" cm="1">
        <f t="array" ref="G842">_xlfn.SWITCH(Sheet5!B842,0,"Sunday",1,"Monday",2,"Tuesday",3,"Wednesday",4,"Thursday",5,"Friday",6,"Saturday")</f>
        <v>Monday</v>
      </c>
      <c r="H842" t="str" cm="1">
        <f t="array" ref="H842">_xlfn.SWITCH(Sheet5!D842, 1, "Clear Sky", 2, "Mist", 3, "Dark Cloud",4,"Heavy Rainfall")</f>
        <v>Clear Sky</v>
      </c>
      <c r="I842" s="26">
        <f>Sheet5!E842*41</f>
        <v>12.299999999999999</v>
      </c>
      <c r="J842" s="27">
        <v>0.65</v>
      </c>
      <c r="K842">
        <v>8.9599999999999999E-2</v>
      </c>
      <c r="L842">
        <v>11</v>
      </c>
      <c r="M842">
        <v>36</v>
      </c>
      <c r="N842">
        <v>47</v>
      </c>
    </row>
    <row r="843" spans="1:14" x14ac:dyDescent="0.3">
      <c r="A843">
        <v>842</v>
      </c>
      <c r="B843" s="21">
        <v>40581</v>
      </c>
      <c r="C843" s="25" t="s">
        <v>16</v>
      </c>
      <c r="D843" s="25" t="str" cm="1">
        <f t="array" ref="D843">_xlfn.SWITCH(Sheet5!A843,1,"JANUARY",2,"FEBRUARY")</f>
        <v>FEBRUARY</v>
      </c>
      <c r="E843">
        <v>12</v>
      </c>
      <c r="F843" t="str" cm="1">
        <f t="array" ref="F843">_xlfn.SWITCH(Sheet5!C843,FALSE,"NO",TRUE,"YES")</f>
        <v>NO</v>
      </c>
      <c r="G843" t="str" cm="1">
        <f t="array" ref="G843">_xlfn.SWITCH(Sheet5!B843,0,"Sunday",1,"Monday",2,"Tuesday",3,"Wednesday",4,"Thursday",5,"Friday",6,"Saturday")</f>
        <v>Monday</v>
      </c>
      <c r="H843" t="str" cm="1">
        <f t="array" ref="H843">_xlfn.SWITCH(Sheet5!D843, 1, "Clear Sky", 2, "Mist", 3, "Dark Cloud",4,"Heavy Rainfall")</f>
        <v>Mist</v>
      </c>
      <c r="I843" s="26">
        <f>Sheet5!E843*41</f>
        <v>13.120000000000001</v>
      </c>
      <c r="J843" s="27">
        <v>0.62</v>
      </c>
      <c r="K843">
        <v>0</v>
      </c>
      <c r="L843">
        <v>7</v>
      </c>
      <c r="M843">
        <v>59</v>
      </c>
      <c r="N843">
        <v>66</v>
      </c>
    </row>
    <row r="844" spans="1:14" x14ac:dyDescent="0.3">
      <c r="A844">
        <v>843</v>
      </c>
      <c r="B844" s="21">
        <v>40581</v>
      </c>
      <c r="C844" s="25" t="s">
        <v>16</v>
      </c>
      <c r="D844" s="25" t="str" cm="1">
        <f t="array" ref="D844">_xlfn.SWITCH(Sheet5!A844,1,"JANUARY",2,"FEBRUARY")</f>
        <v>FEBRUARY</v>
      </c>
      <c r="E844">
        <v>13</v>
      </c>
      <c r="F844" t="str" cm="1">
        <f t="array" ref="F844">_xlfn.SWITCH(Sheet5!C844,FALSE,"NO",TRUE,"YES")</f>
        <v>NO</v>
      </c>
      <c r="G844" t="str" cm="1">
        <f t="array" ref="G844">_xlfn.SWITCH(Sheet5!B844,0,"Sunday",1,"Monday",2,"Tuesday",3,"Wednesday",4,"Thursday",5,"Friday",6,"Saturday")</f>
        <v>Monday</v>
      </c>
      <c r="H844" t="str" cm="1">
        <f t="array" ref="H844">_xlfn.SWITCH(Sheet5!D844, 1, "Clear Sky", 2, "Mist", 3, "Dark Cloud",4,"Heavy Rainfall")</f>
        <v>Mist</v>
      </c>
      <c r="I844" s="26">
        <f>Sheet5!E844*41</f>
        <v>14.76</v>
      </c>
      <c r="J844" s="27">
        <v>0.56999999999999995</v>
      </c>
      <c r="K844">
        <v>8.9599999999999999E-2</v>
      </c>
      <c r="L844">
        <v>10</v>
      </c>
      <c r="M844">
        <v>54</v>
      </c>
      <c r="N844">
        <v>64</v>
      </c>
    </row>
    <row r="845" spans="1:14" x14ac:dyDescent="0.3">
      <c r="A845">
        <v>844</v>
      </c>
      <c r="B845" s="21">
        <v>40581</v>
      </c>
      <c r="C845" s="25" t="s">
        <v>16</v>
      </c>
      <c r="D845" s="25" t="str" cm="1">
        <f t="array" ref="D845">_xlfn.SWITCH(Sheet5!A845,1,"JANUARY",2,"FEBRUARY")</f>
        <v>FEBRUARY</v>
      </c>
      <c r="E845">
        <v>14</v>
      </c>
      <c r="F845" t="str" cm="1">
        <f t="array" ref="F845">_xlfn.SWITCH(Sheet5!C845,FALSE,"NO",TRUE,"YES")</f>
        <v>NO</v>
      </c>
      <c r="G845" t="str" cm="1">
        <f t="array" ref="G845">_xlfn.SWITCH(Sheet5!B845,0,"Sunday",1,"Monday",2,"Tuesday",3,"Wednesday",4,"Thursday",5,"Friday",6,"Saturday")</f>
        <v>Monday</v>
      </c>
      <c r="H845" t="str" cm="1">
        <f t="array" ref="H845">_xlfn.SWITCH(Sheet5!D845, 1, "Clear Sky", 2, "Mist", 3, "Dark Cloud",4,"Heavy Rainfall")</f>
        <v>Mist</v>
      </c>
      <c r="I845" s="26">
        <f>Sheet5!E845*41</f>
        <v>14.76</v>
      </c>
      <c r="J845" s="27">
        <v>0.56999999999999995</v>
      </c>
      <c r="K845">
        <v>8.9599999999999999E-2</v>
      </c>
      <c r="L845">
        <v>8</v>
      </c>
      <c r="M845">
        <v>52</v>
      </c>
      <c r="N845">
        <v>60</v>
      </c>
    </row>
    <row r="846" spans="1:14" x14ac:dyDescent="0.3">
      <c r="A846">
        <v>845</v>
      </c>
      <c r="B846" s="21">
        <v>40581</v>
      </c>
      <c r="C846" s="25" t="s">
        <v>16</v>
      </c>
      <c r="D846" s="25" t="str" cm="1">
        <f t="array" ref="D846">_xlfn.SWITCH(Sheet5!A846,1,"JANUARY",2,"FEBRUARY")</f>
        <v>FEBRUARY</v>
      </c>
      <c r="E846">
        <v>15</v>
      </c>
      <c r="F846" t="str" cm="1">
        <f t="array" ref="F846">_xlfn.SWITCH(Sheet5!C846,FALSE,"NO",TRUE,"YES")</f>
        <v>NO</v>
      </c>
      <c r="G846" t="str" cm="1">
        <f t="array" ref="G846">_xlfn.SWITCH(Sheet5!B846,0,"Sunday",1,"Monday",2,"Tuesday",3,"Wednesday",4,"Thursday",5,"Friday",6,"Saturday")</f>
        <v>Monday</v>
      </c>
      <c r="H846" t="str" cm="1">
        <f t="array" ref="H846">_xlfn.SWITCH(Sheet5!D846, 1, "Clear Sky", 2, "Mist", 3, "Dark Cloud",4,"Heavy Rainfall")</f>
        <v>Mist</v>
      </c>
      <c r="I846" s="26">
        <f>Sheet5!E846*41</f>
        <v>15.58</v>
      </c>
      <c r="J846" s="27">
        <v>0.54</v>
      </c>
      <c r="K846">
        <v>8.9599999999999999E-2</v>
      </c>
      <c r="L846">
        <v>4</v>
      </c>
      <c r="M846">
        <v>46</v>
      </c>
      <c r="N846">
        <v>50</v>
      </c>
    </row>
    <row r="847" spans="1:14" x14ac:dyDescent="0.3">
      <c r="A847">
        <v>846</v>
      </c>
      <c r="B847" s="21">
        <v>40581</v>
      </c>
      <c r="C847" s="25" t="s">
        <v>16</v>
      </c>
      <c r="D847" s="25" t="str" cm="1">
        <f t="array" ref="D847">_xlfn.SWITCH(Sheet5!A847,1,"JANUARY",2,"FEBRUARY")</f>
        <v>FEBRUARY</v>
      </c>
      <c r="E847">
        <v>16</v>
      </c>
      <c r="F847" t="str" cm="1">
        <f t="array" ref="F847">_xlfn.SWITCH(Sheet5!C847,FALSE,"NO",TRUE,"YES")</f>
        <v>NO</v>
      </c>
      <c r="G847" t="str" cm="1">
        <f t="array" ref="G847">_xlfn.SWITCH(Sheet5!B847,0,"Sunday",1,"Monday",2,"Tuesday",3,"Wednesday",4,"Thursday",5,"Friday",6,"Saturday")</f>
        <v>Monday</v>
      </c>
      <c r="H847" t="str" cm="1">
        <f t="array" ref="H847">_xlfn.SWITCH(Sheet5!D847, 1, "Clear Sky", 2, "Mist", 3, "Dark Cloud",4,"Heavy Rainfall")</f>
        <v>Mist</v>
      </c>
      <c r="I847" s="26">
        <f>Sheet5!E847*41</f>
        <v>14.76</v>
      </c>
      <c r="J847" s="27">
        <v>0.56999999999999995</v>
      </c>
      <c r="K847">
        <v>0.1343</v>
      </c>
      <c r="L847">
        <v>16</v>
      </c>
      <c r="M847">
        <v>98</v>
      </c>
      <c r="N847">
        <v>114</v>
      </c>
    </row>
    <row r="848" spans="1:14" x14ac:dyDescent="0.3">
      <c r="A848">
        <v>847</v>
      </c>
      <c r="B848" s="21">
        <v>40581</v>
      </c>
      <c r="C848" s="25" t="s">
        <v>16</v>
      </c>
      <c r="D848" s="25" t="str" cm="1">
        <f t="array" ref="D848">_xlfn.SWITCH(Sheet5!A848,1,"JANUARY",2,"FEBRUARY")</f>
        <v>FEBRUARY</v>
      </c>
      <c r="E848">
        <v>17</v>
      </c>
      <c r="F848" t="str" cm="1">
        <f t="array" ref="F848">_xlfn.SWITCH(Sheet5!C848,FALSE,"NO",TRUE,"YES")</f>
        <v>NO</v>
      </c>
      <c r="G848" t="str" cm="1">
        <f t="array" ref="G848">_xlfn.SWITCH(Sheet5!B848,0,"Sunday",1,"Monday",2,"Tuesday",3,"Wednesday",4,"Thursday",5,"Friday",6,"Saturday")</f>
        <v>Monday</v>
      </c>
      <c r="H848" t="str" cm="1">
        <f t="array" ref="H848">_xlfn.SWITCH(Sheet5!D848, 1, "Clear Sky", 2, "Mist", 3, "Dark Cloud",4,"Heavy Rainfall")</f>
        <v>Mist</v>
      </c>
      <c r="I848" s="26">
        <f>Sheet5!E848*41</f>
        <v>13.120000000000001</v>
      </c>
      <c r="J848" s="27">
        <v>0.7</v>
      </c>
      <c r="K848">
        <v>0.16420000000000001</v>
      </c>
      <c r="L848">
        <v>9</v>
      </c>
      <c r="M848">
        <v>207</v>
      </c>
      <c r="N848">
        <v>216</v>
      </c>
    </row>
    <row r="849" spans="1:14" x14ac:dyDescent="0.3">
      <c r="A849">
        <v>848</v>
      </c>
      <c r="B849" s="21">
        <v>40581</v>
      </c>
      <c r="C849" s="25" t="s">
        <v>16</v>
      </c>
      <c r="D849" s="25" t="str" cm="1">
        <f t="array" ref="D849">_xlfn.SWITCH(Sheet5!A849,1,"JANUARY",2,"FEBRUARY")</f>
        <v>FEBRUARY</v>
      </c>
      <c r="E849">
        <v>18</v>
      </c>
      <c r="F849" t="str" cm="1">
        <f t="array" ref="F849">_xlfn.SWITCH(Sheet5!C849,FALSE,"NO",TRUE,"YES")</f>
        <v>NO</v>
      </c>
      <c r="G849" t="str" cm="1">
        <f t="array" ref="G849">_xlfn.SWITCH(Sheet5!B849,0,"Sunday",1,"Monday",2,"Tuesday",3,"Wednesday",4,"Thursday",5,"Friday",6,"Saturday")</f>
        <v>Monday</v>
      </c>
      <c r="H849" t="str" cm="1">
        <f t="array" ref="H849">_xlfn.SWITCH(Sheet5!D849, 1, "Clear Sky", 2, "Mist", 3, "Dark Cloud",4,"Heavy Rainfall")</f>
        <v>Mist</v>
      </c>
      <c r="I849" s="26">
        <f>Sheet5!E849*41</f>
        <v>13.940000000000001</v>
      </c>
      <c r="J849" s="27">
        <v>0.66</v>
      </c>
      <c r="K849">
        <v>0.1343</v>
      </c>
      <c r="L849">
        <v>5</v>
      </c>
      <c r="M849">
        <v>170</v>
      </c>
      <c r="N849">
        <v>175</v>
      </c>
    </row>
    <row r="850" spans="1:14" x14ac:dyDescent="0.3">
      <c r="A850">
        <v>849</v>
      </c>
      <c r="B850" s="21">
        <v>40581</v>
      </c>
      <c r="C850" s="25" t="s">
        <v>16</v>
      </c>
      <c r="D850" s="25" t="str" cm="1">
        <f t="array" ref="D850">_xlfn.SWITCH(Sheet5!A850,1,"JANUARY",2,"FEBRUARY")</f>
        <v>FEBRUARY</v>
      </c>
      <c r="E850">
        <v>19</v>
      </c>
      <c r="F850" t="str" cm="1">
        <f t="array" ref="F850">_xlfn.SWITCH(Sheet5!C850,FALSE,"NO",TRUE,"YES")</f>
        <v>NO</v>
      </c>
      <c r="G850" t="str" cm="1">
        <f t="array" ref="G850">_xlfn.SWITCH(Sheet5!B850,0,"Sunday",1,"Monday",2,"Tuesday",3,"Wednesday",4,"Thursday",5,"Friday",6,"Saturday")</f>
        <v>Monday</v>
      </c>
      <c r="H850" t="str" cm="1">
        <f t="array" ref="H850">_xlfn.SWITCH(Sheet5!D850, 1, "Clear Sky", 2, "Mist", 3, "Dark Cloud",4,"Heavy Rainfall")</f>
        <v>Mist</v>
      </c>
      <c r="I850" s="26">
        <f>Sheet5!E850*41</f>
        <v>13.120000000000001</v>
      </c>
      <c r="J850" s="27">
        <v>0.7</v>
      </c>
      <c r="K850">
        <v>0</v>
      </c>
      <c r="L850">
        <v>5</v>
      </c>
      <c r="M850">
        <v>123</v>
      </c>
      <c r="N850">
        <v>128</v>
      </c>
    </row>
    <row r="851" spans="1:14" x14ac:dyDescent="0.3">
      <c r="A851">
        <v>850</v>
      </c>
      <c r="B851" s="21">
        <v>40581</v>
      </c>
      <c r="C851" s="25" t="s">
        <v>16</v>
      </c>
      <c r="D851" s="25" t="str" cm="1">
        <f t="array" ref="D851">_xlfn.SWITCH(Sheet5!A851,1,"JANUARY",2,"FEBRUARY")</f>
        <v>FEBRUARY</v>
      </c>
      <c r="E851">
        <v>20</v>
      </c>
      <c r="F851" t="str" cm="1">
        <f t="array" ref="F851">_xlfn.SWITCH(Sheet5!C851,FALSE,"NO",TRUE,"YES")</f>
        <v>NO</v>
      </c>
      <c r="G851" t="str" cm="1">
        <f t="array" ref="G851">_xlfn.SWITCH(Sheet5!B851,0,"Sunday",1,"Monday",2,"Tuesday",3,"Wednesday",4,"Thursday",5,"Friday",6,"Saturday")</f>
        <v>Monday</v>
      </c>
      <c r="H851" t="str" cm="1">
        <f t="array" ref="H851">_xlfn.SWITCH(Sheet5!D851, 1, "Clear Sky", 2, "Mist", 3, "Dark Cloud",4,"Heavy Rainfall")</f>
        <v>Mist</v>
      </c>
      <c r="I851" s="26">
        <f>Sheet5!E851*41</f>
        <v>13.120000000000001</v>
      </c>
      <c r="J851" s="27">
        <v>0.7</v>
      </c>
      <c r="K851">
        <v>0.1045</v>
      </c>
      <c r="L851">
        <v>6</v>
      </c>
      <c r="M851">
        <v>82</v>
      </c>
      <c r="N851">
        <v>88</v>
      </c>
    </row>
    <row r="852" spans="1:14" x14ac:dyDescent="0.3">
      <c r="A852">
        <v>851</v>
      </c>
      <c r="B852" s="21">
        <v>40581</v>
      </c>
      <c r="C852" s="25" t="s">
        <v>16</v>
      </c>
      <c r="D852" s="25" t="str" cm="1">
        <f t="array" ref="D852">_xlfn.SWITCH(Sheet5!A852,1,"JANUARY",2,"FEBRUARY")</f>
        <v>FEBRUARY</v>
      </c>
      <c r="E852">
        <v>21</v>
      </c>
      <c r="F852" t="str" cm="1">
        <f t="array" ref="F852">_xlfn.SWITCH(Sheet5!C852,FALSE,"NO",TRUE,"YES")</f>
        <v>NO</v>
      </c>
      <c r="G852" t="str" cm="1">
        <f t="array" ref="G852">_xlfn.SWITCH(Sheet5!B852,0,"Sunday",1,"Monday",2,"Tuesday",3,"Wednesday",4,"Thursday",5,"Friday",6,"Saturday")</f>
        <v>Monday</v>
      </c>
      <c r="H852" t="str" cm="1">
        <f t="array" ref="H852">_xlfn.SWITCH(Sheet5!D852, 1, "Clear Sky", 2, "Mist", 3, "Dark Cloud",4,"Heavy Rainfall")</f>
        <v>Clear Sky</v>
      </c>
      <c r="I852" s="26">
        <f>Sheet5!E852*41</f>
        <v>13.120000000000001</v>
      </c>
      <c r="J852" s="27">
        <v>0.7</v>
      </c>
      <c r="K852">
        <v>0</v>
      </c>
      <c r="L852">
        <v>3</v>
      </c>
      <c r="M852">
        <v>75</v>
      </c>
      <c r="N852">
        <v>78</v>
      </c>
    </row>
    <row r="853" spans="1:14" x14ac:dyDescent="0.3">
      <c r="A853">
        <v>852</v>
      </c>
      <c r="B853" s="21">
        <v>40581</v>
      </c>
      <c r="C853" s="25" t="s">
        <v>16</v>
      </c>
      <c r="D853" s="25" t="str" cm="1">
        <f t="array" ref="D853">_xlfn.SWITCH(Sheet5!A853,1,"JANUARY",2,"FEBRUARY")</f>
        <v>FEBRUARY</v>
      </c>
      <c r="E853">
        <v>22</v>
      </c>
      <c r="F853" t="str" cm="1">
        <f t="array" ref="F853">_xlfn.SWITCH(Sheet5!C853,FALSE,"NO",TRUE,"YES")</f>
        <v>NO</v>
      </c>
      <c r="G853" t="str" cm="1">
        <f t="array" ref="G853">_xlfn.SWITCH(Sheet5!B853,0,"Sunday",1,"Monday",2,"Tuesday",3,"Wednesday",4,"Thursday",5,"Friday",6,"Saturday")</f>
        <v>Monday</v>
      </c>
      <c r="H853" t="str" cm="1">
        <f t="array" ref="H853">_xlfn.SWITCH(Sheet5!D853, 1, "Clear Sky", 2, "Mist", 3, "Dark Cloud",4,"Heavy Rainfall")</f>
        <v>Clear Sky</v>
      </c>
      <c r="I853" s="26">
        <f>Sheet5!E853*41</f>
        <v>11.48</v>
      </c>
      <c r="J853" s="27">
        <v>0.81</v>
      </c>
      <c r="K853">
        <v>8.9599999999999999E-2</v>
      </c>
      <c r="L853">
        <v>3</v>
      </c>
      <c r="M853">
        <v>34</v>
      </c>
      <c r="N853">
        <v>37</v>
      </c>
    </row>
    <row r="854" spans="1:14" x14ac:dyDescent="0.3">
      <c r="A854">
        <v>853</v>
      </c>
      <c r="B854" s="21">
        <v>40581</v>
      </c>
      <c r="C854" s="25" t="s">
        <v>16</v>
      </c>
      <c r="D854" s="25" t="str" cm="1">
        <f t="array" ref="D854">_xlfn.SWITCH(Sheet5!A854,1,"JANUARY",2,"FEBRUARY")</f>
        <v>FEBRUARY</v>
      </c>
      <c r="E854">
        <v>23</v>
      </c>
      <c r="F854" t="str" cm="1">
        <f t="array" ref="F854">_xlfn.SWITCH(Sheet5!C854,FALSE,"NO",TRUE,"YES")</f>
        <v>NO</v>
      </c>
      <c r="G854" t="str" cm="1">
        <f t="array" ref="G854">_xlfn.SWITCH(Sheet5!B854,0,"Sunday",1,"Monday",2,"Tuesday",3,"Wednesday",4,"Thursday",5,"Friday",6,"Saturday")</f>
        <v>Monday</v>
      </c>
      <c r="H854" t="str" cm="1">
        <f t="array" ref="H854">_xlfn.SWITCH(Sheet5!D854, 1, "Clear Sky", 2, "Mist", 3, "Dark Cloud",4,"Heavy Rainfall")</f>
        <v>Mist</v>
      </c>
      <c r="I854" s="26">
        <f>Sheet5!E854*41</f>
        <v>12.299999999999999</v>
      </c>
      <c r="J854" s="27">
        <v>0.81</v>
      </c>
      <c r="K854">
        <v>0</v>
      </c>
      <c r="L854">
        <v>6</v>
      </c>
      <c r="M854">
        <v>19</v>
      </c>
      <c r="N854">
        <v>25</v>
      </c>
    </row>
    <row r="855" spans="1:14" x14ac:dyDescent="0.3">
      <c r="A855">
        <v>854</v>
      </c>
      <c r="B855" s="21">
        <v>40582</v>
      </c>
      <c r="C855" s="25" t="s">
        <v>16</v>
      </c>
      <c r="D855" s="25" t="str" cm="1">
        <f t="array" ref="D855">_xlfn.SWITCH(Sheet5!A855,1,"JANUARY",2,"FEBRUARY")</f>
        <v>FEBRUARY</v>
      </c>
      <c r="E855">
        <v>0</v>
      </c>
      <c r="F855" t="str" cm="1">
        <f t="array" ref="F855">_xlfn.SWITCH(Sheet5!C855,FALSE,"NO",TRUE,"YES")</f>
        <v>NO</v>
      </c>
      <c r="G855" t="str" cm="1">
        <f t="array" ref="G855">_xlfn.SWITCH(Sheet5!B855,0,"Sunday",1,"Monday",2,"Tuesday",3,"Wednesday",4,"Thursday",5,"Friday",6,"Saturday")</f>
        <v>Tuesday</v>
      </c>
      <c r="H855" t="str" cm="1">
        <f t="array" ref="H855">_xlfn.SWITCH(Sheet5!D855, 1, "Clear Sky", 2, "Mist", 3, "Dark Cloud",4,"Heavy Rainfall")</f>
        <v>Mist</v>
      </c>
      <c r="I855" s="26">
        <f>Sheet5!E855*41</f>
        <v>11.48</v>
      </c>
      <c r="J855" s="27">
        <v>0.87</v>
      </c>
      <c r="K855">
        <v>0</v>
      </c>
      <c r="L855">
        <v>4</v>
      </c>
      <c r="M855">
        <v>6</v>
      </c>
      <c r="N855">
        <v>10</v>
      </c>
    </row>
    <row r="856" spans="1:14" x14ac:dyDescent="0.3">
      <c r="A856">
        <v>855</v>
      </c>
      <c r="B856" s="21">
        <v>40582</v>
      </c>
      <c r="C856" s="25" t="s">
        <v>16</v>
      </c>
      <c r="D856" s="25" t="str" cm="1">
        <f t="array" ref="D856">_xlfn.SWITCH(Sheet5!A856,1,"JANUARY",2,"FEBRUARY")</f>
        <v>FEBRUARY</v>
      </c>
      <c r="E856">
        <v>1</v>
      </c>
      <c r="F856" t="str" cm="1">
        <f t="array" ref="F856">_xlfn.SWITCH(Sheet5!C856,FALSE,"NO",TRUE,"YES")</f>
        <v>NO</v>
      </c>
      <c r="G856" t="str" cm="1">
        <f t="array" ref="G856">_xlfn.SWITCH(Sheet5!B856,0,"Sunday",1,"Monday",2,"Tuesday",3,"Wednesday",4,"Thursday",5,"Friday",6,"Saturday")</f>
        <v>Tuesday</v>
      </c>
      <c r="H856" t="str" cm="1">
        <f t="array" ref="H856">_xlfn.SWITCH(Sheet5!D856, 1, "Clear Sky", 2, "Mist", 3, "Dark Cloud",4,"Heavy Rainfall")</f>
        <v>Mist</v>
      </c>
      <c r="I856" s="26">
        <f>Sheet5!E856*41</f>
        <v>11.48</v>
      </c>
      <c r="J856" s="27">
        <v>0.87</v>
      </c>
      <c r="K856">
        <v>0</v>
      </c>
      <c r="L856">
        <v>0</v>
      </c>
      <c r="M856">
        <v>4</v>
      </c>
      <c r="N856">
        <v>4</v>
      </c>
    </row>
    <row r="857" spans="1:14" x14ac:dyDescent="0.3">
      <c r="A857">
        <v>856</v>
      </c>
      <c r="B857" s="21">
        <v>40582</v>
      </c>
      <c r="C857" s="25" t="s">
        <v>16</v>
      </c>
      <c r="D857" s="25" t="str" cm="1">
        <f t="array" ref="D857">_xlfn.SWITCH(Sheet5!A857,1,"JANUARY",2,"FEBRUARY")</f>
        <v>FEBRUARY</v>
      </c>
      <c r="E857">
        <v>2</v>
      </c>
      <c r="F857" t="str" cm="1">
        <f t="array" ref="F857">_xlfn.SWITCH(Sheet5!C857,FALSE,"NO",TRUE,"YES")</f>
        <v>NO</v>
      </c>
      <c r="G857" t="str" cm="1">
        <f t="array" ref="G857">_xlfn.SWITCH(Sheet5!B857,0,"Sunday",1,"Monday",2,"Tuesday",3,"Wednesday",4,"Thursday",5,"Friday",6,"Saturday")</f>
        <v>Tuesday</v>
      </c>
      <c r="H857" t="str" cm="1">
        <f t="array" ref="H857">_xlfn.SWITCH(Sheet5!D857, 1, "Clear Sky", 2, "Mist", 3, "Dark Cloud",4,"Heavy Rainfall")</f>
        <v>Mist</v>
      </c>
      <c r="I857" s="26">
        <f>Sheet5!E857*41</f>
        <v>10.66</v>
      </c>
      <c r="J857" s="27">
        <v>0.93</v>
      </c>
      <c r="K857">
        <v>0.1045</v>
      </c>
      <c r="L857">
        <v>1</v>
      </c>
      <c r="M857">
        <v>1</v>
      </c>
      <c r="N857">
        <v>2</v>
      </c>
    </row>
    <row r="858" spans="1:14" x14ac:dyDescent="0.3">
      <c r="A858">
        <v>857</v>
      </c>
      <c r="B858" s="21">
        <v>40582</v>
      </c>
      <c r="C858" s="25" t="s">
        <v>16</v>
      </c>
      <c r="D858" s="25" t="str" cm="1">
        <f t="array" ref="D858">_xlfn.SWITCH(Sheet5!A858,1,"JANUARY",2,"FEBRUARY")</f>
        <v>FEBRUARY</v>
      </c>
      <c r="E858">
        <v>3</v>
      </c>
      <c r="F858" t="str" cm="1">
        <f t="array" ref="F858">_xlfn.SWITCH(Sheet5!C858,FALSE,"NO",TRUE,"YES")</f>
        <v>NO</v>
      </c>
      <c r="G858" t="str" cm="1">
        <f t="array" ref="G858">_xlfn.SWITCH(Sheet5!B858,0,"Sunday",1,"Monday",2,"Tuesday",3,"Wednesday",4,"Thursday",5,"Friday",6,"Saturday")</f>
        <v>Tuesday</v>
      </c>
      <c r="H858" t="str" cm="1">
        <f t="array" ref="H858">_xlfn.SWITCH(Sheet5!D858, 1, "Clear Sky", 2, "Mist", 3, "Dark Cloud",4,"Heavy Rainfall")</f>
        <v>Dark Cloud</v>
      </c>
      <c r="I858" s="26">
        <f>Sheet5!E858*41</f>
        <v>11.48</v>
      </c>
      <c r="J858" s="27">
        <v>0.93</v>
      </c>
      <c r="K858">
        <v>0.16420000000000001</v>
      </c>
      <c r="L858">
        <v>0</v>
      </c>
      <c r="M858">
        <v>1</v>
      </c>
      <c r="N858">
        <v>1</v>
      </c>
    </row>
    <row r="859" spans="1:14" x14ac:dyDescent="0.3">
      <c r="A859">
        <v>858</v>
      </c>
      <c r="B859" s="21">
        <v>40582</v>
      </c>
      <c r="C859" s="25" t="s">
        <v>16</v>
      </c>
      <c r="D859" s="25" t="str" cm="1">
        <f t="array" ref="D859">_xlfn.SWITCH(Sheet5!A859,1,"JANUARY",2,"FEBRUARY")</f>
        <v>FEBRUARY</v>
      </c>
      <c r="E859">
        <v>4</v>
      </c>
      <c r="F859" t="str" cm="1">
        <f t="array" ref="F859">_xlfn.SWITCH(Sheet5!C859,FALSE,"NO",TRUE,"YES")</f>
        <v>NO</v>
      </c>
      <c r="G859" t="str" cm="1">
        <f t="array" ref="G859">_xlfn.SWITCH(Sheet5!B859,0,"Sunday",1,"Monday",2,"Tuesday",3,"Wednesday",4,"Thursday",5,"Friday",6,"Saturday")</f>
        <v>Tuesday</v>
      </c>
      <c r="H859" t="str" cm="1">
        <f t="array" ref="H859">_xlfn.SWITCH(Sheet5!D859, 1, "Clear Sky", 2, "Mist", 3, "Dark Cloud",4,"Heavy Rainfall")</f>
        <v>Clear Sky</v>
      </c>
      <c r="I859" s="26">
        <f>Sheet5!E859*41</f>
        <v>10.66</v>
      </c>
      <c r="J859" s="27">
        <v>0.93</v>
      </c>
      <c r="K859">
        <v>0.16420000000000001</v>
      </c>
      <c r="L859">
        <v>0</v>
      </c>
      <c r="M859">
        <v>3</v>
      </c>
      <c r="N859">
        <v>3</v>
      </c>
    </row>
    <row r="860" spans="1:14" x14ac:dyDescent="0.3">
      <c r="A860">
        <v>859</v>
      </c>
      <c r="B860" s="21">
        <v>40582</v>
      </c>
      <c r="C860" s="25" t="s">
        <v>16</v>
      </c>
      <c r="D860" s="25" t="str" cm="1">
        <f t="array" ref="D860">_xlfn.SWITCH(Sheet5!A860,1,"JANUARY",2,"FEBRUARY")</f>
        <v>FEBRUARY</v>
      </c>
      <c r="E860">
        <v>5</v>
      </c>
      <c r="F860" t="str" cm="1">
        <f t="array" ref="F860">_xlfn.SWITCH(Sheet5!C860,FALSE,"NO",TRUE,"YES")</f>
        <v>NO</v>
      </c>
      <c r="G860" t="str" cm="1">
        <f t="array" ref="G860">_xlfn.SWITCH(Sheet5!B860,0,"Sunday",1,"Monday",2,"Tuesday",3,"Wednesday",4,"Thursday",5,"Friday",6,"Saturday")</f>
        <v>Tuesday</v>
      </c>
      <c r="H860" t="str" cm="1">
        <f t="array" ref="H860">_xlfn.SWITCH(Sheet5!D860, 1, "Clear Sky", 2, "Mist", 3, "Dark Cloud",4,"Heavy Rainfall")</f>
        <v>Clear Sky</v>
      </c>
      <c r="I860" s="26">
        <f>Sheet5!E860*41</f>
        <v>10.66</v>
      </c>
      <c r="J860" s="27">
        <v>0.81</v>
      </c>
      <c r="K860">
        <v>0.32840000000000003</v>
      </c>
      <c r="L860">
        <v>0</v>
      </c>
      <c r="M860">
        <v>2</v>
      </c>
      <c r="N860">
        <v>2</v>
      </c>
    </row>
    <row r="861" spans="1:14" x14ac:dyDescent="0.3">
      <c r="A861">
        <v>860</v>
      </c>
      <c r="B861" s="21">
        <v>40582</v>
      </c>
      <c r="C861" s="25" t="s">
        <v>16</v>
      </c>
      <c r="D861" s="25" t="str" cm="1">
        <f t="array" ref="D861">_xlfn.SWITCH(Sheet5!A861,1,"JANUARY",2,"FEBRUARY")</f>
        <v>FEBRUARY</v>
      </c>
      <c r="E861">
        <v>6</v>
      </c>
      <c r="F861" t="str" cm="1">
        <f t="array" ref="F861">_xlfn.SWITCH(Sheet5!C861,FALSE,"NO",TRUE,"YES")</f>
        <v>NO</v>
      </c>
      <c r="G861" t="str" cm="1">
        <f t="array" ref="G861">_xlfn.SWITCH(Sheet5!B861,0,"Sunday",1,"Monday",2,"Tuesday",3,"Wednesday",4,"Thursday",5,"Friday",6,"Saturday")</f>
        <v>Tuesday</v>
      </c>
      <c r="H861" t="str" cm="1">
        <f t="array" ref="H861">_xlfn.SWITCH(Sheet5!D861, 1, "Clear Sky", 2, "Mist", 3, "Dark Cloud",4,"Heavy Rainfall")</f>
        <v>Clear Sky</v>
      </c>
      <c r="I861" s="26">
        <f>Sheet5!E861*41</f>
        <v>10.66</v>
      </c>
      <c r="J861" s="27">
        <v>0.7</v>
      </c>
      <c r="K861">
        <v>0.32840000000000003</v>
      </c>
      <c r="L861">
        <v>0</v>
      </c>
      <c r="M861">
        <v>39</v>
      </c>
      <c r="N861">
        <v>39</v>
      </c>
    </row>
    <row r="862" spans="1:14" x14ac:dyDescent="0.3">
      <c r="A862">
        <v>861</v>
      </c>
      <c r="B862" s="21">
        <v>40582</v>
      </c>
      <c r="C862" s="25" t="s">
        <v>16</v>
      </c>
      <c r="D862" s="25" t="str" cm="1">
        <f t="array" ref="D862">_xlfn.SWITCH(Sheet5!A862,1,"JANUARY",2,"FEBRUARY")</f>
        <v>FEBRUARY</v>
      </c>
      <c r="E862">
        <v>7</v>
      </c>
      <c r="F862" t="str" cm="1">
        <f t="array" ref="F862">_xlfn.SWITCH(Sheet5!C862,FALSE,"NO",TRUE,"YES")</f>
        <v>NO</v>
      </c>
      <c r="G862" t="str" cm="1">
        <f t="array" ref="G862">_xlfn.SWITCH(Sheet5!B862,0,"Sunday",1,"Monday",2,"Tuesday",3,"Wednesday",4,"Thursday",5,"Friday",6,"Saturday")</f>
        <v>Tuesday</v>
      </c>
      <c r="H862" t="str" cm="1">
        <f t="array" ref="H862">_xlfn.SWITCH(Sheet5!D862, 1, "Clear Sky", 2, "Mist", 3, "Dark Cloud",4,"Heavy Rainfall")</f>
        <v>Clear Sky</v>
      </c>
      <c r="I862" s="26">
        <f>Sheet5!E862*41</f>
        <v>9.84</v>
      </c>
      <c r="J862" s="27">
        <v>0.65</v>
      </c>
      <c r="K862">
        <v>0.41789999999999999</v>
      </c>
      <c r="L862">
        <v>3</v>
      </c>
      <c r="M862">
        <v>97</v>
      </c>
      <c r="N862">
        <v>100</v>
      </c>
    </row>
    <row r="863" spans="1:14" x14ac:dyDescent="0.3">
      <c r="A863">
        <v>862</v>
      </c>
      <c r="B863" s="21">
        <v>40582</v>
      </c>
      <c r="C863" s="25" t="s">
        <v>16</v>
      </c>
      <c r="D863" s="25" t="str" cm="1">
        <f t="array" ref="D863">_xlfn.SWITCH(Sheet5!A863,1,"JANUARY",2,"FEBRUARY")</f>
        <v>FEBRUARY</v>
      </c>
      <c r="E863">
        <v>8</v>
      </c>
      <c r="F863" t="str" cm="1">
        <f t="array" ref="F863">_xlfn.SWITCH(Sheet5!C863,FALSE,"NO",TRUE,"YES")</f>
        <v>NO</v>
      </c>
      <c r="G863" t="str" cm="1">
        <f t="array" ref="G863">_xlfn.SWITCH(Sheet5!B863,0,"Sunday",1,"Monday",2,"Tuesday",3,"Wednesday",4,"Thursday",5,"Friday",6,"Saturday")</f>
        <v>Tuesday</v>
      </c>
      <c r="H863" t="str" cm="1">
        <f t="array" ref="H863">_xlfn.SWITCH(Sheet5!D863, 1, "Clear Sky", 2, "Mist", 3, "Dark Cloud",4,"Heavy Rainfall")</f>
        <v>Clear Sky</v>
      </c>
      <c r="I863" s="26">
        <f>Sheet5!E863*41</f>
        <v>9.84</v>
      </c>
      <c r="J863" s="27">
        <v>0.56000000000000005</v>
      </c>
      <c r="K863">
        <v>0.49249999999999999</v>
      </c>
      <c r="L863">
        <v>7</v>
      </c>
      <c r="M863">
        <v>236</v>
      </c>
      <c r="N863">
        <v>243</v>
      </c>
    </row>
    <row r="864" spans="1:14" x14ac:dyDescent="0.3">
      <c r="A864">
        <v>863</v>
      </c>
      <c r="B864" s="21">
        <v>40582</v>
      </c>
      <c r="C864" s="25" t="s">
        <v>16</v>
      </c>
      <c r="D864" s="25" t="str" cm="1">
        <f t="array" ref="D864">_xlfn.SWITCH(Sheet5!A864,1,"JANUARY",2,"FEBRUARY")</f>
        <v>FEBRUARY</v>
      </c>
      <c r="E864">
        <v>9</v>
      </c>
      <c r="F864" t="str" cm="1">
        <f t="array" ref="F864">_xlfn.SWITCH(Sheet5!C864,FALSE,"NO",TRUE,"YES")</f>
        <v>NO</v>
      </c>
      <c r="G864" t="str" cm="1">
        <f t="array" ref="G864">_xlfn.SWITCH(Sheet5!B864,0,"Sunday",1,"Monday",2,"Tuesday",3,"Wednesday",4,"Thursday",5,"Friday",6,"Saturday")</f>
        <v>Tuesday</v>
      </c>
      <c r="H864" t="str" cm="1">
        <f t="array" ref="H864">_xlfn.SWITCH(Sheet5!D864, 1, "Clear Sky", 2, "Mist", 3, "Dark Cloud",4,"Heavy Rainfall")</f>
        <v>Clear Sky</v>
      </c>
      <c r="I864" s="26">
        <f>Sheet5!E864*41</f>
        <v>9.84</v>
      </c>
      <c r="J864" s="27">
        <v>0.52</v>
      </c>
      <c r="K864">
        <v>0.49249999999999999</v>
      </c>
      <c r="L864">
        <v>7</v>
      </c>
      <c r="M864">
        <v>128</v>
      </c>
      <c r="N864">
        <v>135</v>
      </c>
    </row>
    <row r="865" spans="1:14" x14ac:dyDescent="0.3">
      <c r="A865">
        <v>864</v>
      </c>
      <c r="B865" s="21">
        <v>40582</v>
      </c>
      <c r="C865" s="25" t="s">
        <v>16</v>
      </c>
      <c r="D865" s="25" t="str" cm="1">
        <f t="array" ref="D865">_xlfn.SWITCH(Sheet5!A865,1,"JANUARY",2,"FEBRUARY")</f>
        <v>FEBRUARY</v>
      </c>
      <c r="E865">
        <v>10</v>
      </c>
      <c r="F865" t="str" cm="1">
        <f t="array" ref="F865">_xlfn.SWITCH(Sheet5!C865,FALSE,"NO",TRUE,"YES")</f>
        <v>NO</v>
      </c>
      <c r="G865" t="str" cm="1">
        <f t="array" ref="G865">_xlfn.SWITCH(Sheet5!B865,0,"Sunday",1,"Monday",2,"Tuesday",3,"Wednesday",4,"Thursday",5,"Friday",6,"Saturday")</f>
        <v>Tuesday</v>
      </c>
      <c r="H865" t="str" cm="1">
        <f t="array" ref="H865">_xlfn.SWITCH(Sheet5!D865, 1, "Clear Sky", 2, "Mist", 3, "Dark Cloud",4,"Heavy Rainfall")</f>
        <v>Clear Sky</v>
      </c>
      <c r="I865" s="26">
        <f>Sheet5!E865*41</f>
        <v>9.02</v>
      </c>
      <c r="J865" s="27">
        <v>0.47</v>
      </c>
      <c r="K865">
        <v>0.55220000000000002</v>
      </c>
      <c r="L865">
        <v>4</v>
      </c>
      <c r="M865">
        <v>44</v>
      </c>
      <c r="N865">
        <v>48</v>
      </c>
    </row>
    <row r="866" spans="1:14" x14ac:dyDescent="0.3">
      <c r="A866">
        <v>865</v>
      </c>
      <c r="B866" s="21">
        <v>40582</v>
      </c>
      <c r="C866" s="25" t="s">
        <v>16</v>
      </c>
      <c r="D866" s="25" t="str" cm="1">
        <f t="array" ref="D866">_xlfn.SWITCH(Sheet5!A866,1,"JANUARY",2,"FEBRUARY")</f>
        <v>FEBRUARY</v>
      </c>
      <c r="E866">
        <v>11</v>
      </c>
      <c r="F866" t="str" cm="1">
        <f t="array" ref="F866">_xlfn.SWITCH(Sheet5!C866,FALSE,"NO",TRUE,"YES")</f>
        <v>NO</v>
      </c>
      <c r="G866" t="str" cm="1">
        <f t="array" ref="G866">_xlfn.SWITCH(Sheet5!B866,0,"Sunday",1,"Monday",2,"Tuesday",3,"Wednesday",4,"Thursday",5,"Friday",6,"Saturday")</f>
        <v>Tuesday</v>
      </c>
      <c r="H866" t="str" cm="1">
        <f t="array" ref="H866">_xlfn.SWITCH(Sheet5!D866, 1, "Clear Sky", 2, "Mist", 3, "Dark Cloud",4,"Heavy Rainfall")</f>
        <v>Clear Sky</v>
      </c>
      <c r="I866" s="26">
        <f>Sheet5!E866*41</f>
        <v>9.02</v>
      </c>
      <c r="J866" s="27">
        <v>0.47</v>
      </c>
      <c r="K866">
        <v>0.4627</v>
      </c>
      <c r="L866">
        <v>1</v>
      </c>
      <c r="M866">
        <v>49</v>
      </c>
      <c r="N866">
        <v>50</v>
      </c>
    </row>
    <row r="867" spans="1:14" x14ac:dyDescent="0.3">
      <c r="A867">
        <v>866</v>
      </c>
      <c r="B867" s="21">
        <v>40582</v>
      </c>
      <c r="C867" s="25" t="s">
        <v>16</v>
      </c>
      <c r="D867" s="25" t="str" cm="1">
        <f t="array" ref="D867">_xlfn.SWITCH(Sheet5!A867,1,"JANUARY",2,"FEBRUARY")</f>
        <v>FEBRUARY</v>
      </c>
      <c r="E867">
        <v>12</v>
      </c>
      <c r="F867" t="str" cm="1">
        <f t="array" ref="F867">_xlfn.SWITCH(Sheet5!C867,FALSE,"NO",TRUE,"YES")</f>
        <v>NO</v>
      </c>
      <c r="G867" t="str" cm="1">
        <f t="array" ref="G867">_xlfn.SWITCH(Sheet5!B867,0,"Sunday",1,"Monday",2,"Tuesday",3,"Wednesday",4,"Thursday",5,"Friday",6,"Saturday")</f>
        <v>Tuesday</v>
      </c>
      <c r="H867" t="str" cm="1">
        <f t="array" ref="H867">_xlfn.SWITCH(Sheet5!D867, 1, "Clear Sky", 2, "Mist", 3, "Dark Cloud",4,"Heavy Rainfall")</f>
        <v>Clear Sky</v>
      </c>
      <c r="I867" s="26">
        <f>Sheet5!E867*41</f>
        <v>9.84</v>
      </c>
      <c r="J867" s="27">
        <v>0.38</v>
      </c>
      <c r="K867">
        <v>0.49249999999999999</v>
      </c>
      <c r="L867">
        <v>2</v>
      </c>
      <c r="M867">
        <v>63</v>
      </c>
      <c r="N867">
        <v>65</v>
      </c>
    </row>
    <row r="868" spans="1:14" x14ac:dyDescent="0.3">
      <c r="A868">
        <v>867</v>
      </c>
      <c r="B868" s="21">
        <v>40582</v>
      </c>
      <c r="C868" s="25" t="s">
        <v>16</v>
      </c>
      <c r="D868" s="25" t="str" cm="1">
        <f t="array" ref="D868">_xlfn.SWITCH(Sheet5!A868,1,"JANUARY",2,"FEBRUARY")</f>
        <v>FEBRUARY</v>
      </c>
      <c r="E868">
        <v>13</v>
      </c>
      <c r="F868" t="str" cm="1">
        <f t="array" ref="F868">_xlfn.SWITCH(Sheet5!C868,FALSE,"NO",TRUE,"YES")</f>
        <v>NO</v>
      </c>
      <c r="G868" t="str" cm="1">
        <f t="array" ref="G868">_xlfn.SWITCH(Sheet5!B868,0,"Sunday",1,"Monday",2,"Tuesday",3,"Wednesday",4,"Thursday",5,"Friday",6,"Saturday")</f>
        <v>Tuesday</v>
      </c>
      <c r="H868" t="str" cm="1">
        <f t="array" ref="H868">_xlfn.SWITCH(Sheet5!D868, 1, "Clear Sky", 2, "Mist", 3, "Dark Cloud",4,"Heavy Rainfall")</f>
        <v>Mist</v>
      </c>
      <c r="I868" s="26">
        <f>Sheet5!E868*41</f>
        <v>9.84</v>
      </c>
      <c r="J868" s="27">
        <v>0.32</v>
      </c>
      <c r="K868">
        <v>0.44779999999999998</v>
      </c>
      <c r="L868">
        <v>2</v>
      </c>
      <c r="M868">
        <v>48</v>
      </c>
      <c r="N868">
        <v>50</v>
      </c>
    </row>
    <row r="869" spans="1:14" x14ac:dyDescent="0.3">
      <c r="A869">
        <v>868</v>
      </c>
      <c r="B869" s="21">
        <v>40582</v>
      </c>
      <c r="C869" s="25" t="s">
        <v>16</v>
      </c>
      <c r="D869" s="25" t="str" cm="1">
        <f t="array" ref="D869">_xlfn.SWITCH(Sheet5!A869,1,"JANUARY",2,"FEBRUARY")</f>
        <v>FEBRUARY</v>
      </c>
      <c r="E869">
        <v>14</v>
      </c>
      <c r="F869" t="str" cm="1">
        <f t="array" ref="F869">_xlfn.SWITCH(Sheet5!C869,FALSE,"NO",TRUE,"YES")</f>
        <v>NO</v>
      </c>
      <c r="G869" t="str" cm="1">
        <f t="array" ref="G869">_xlfn.SWITCH(Sheet5!B869,0,"Sunday",1,"Monday",2,"Tuesday",3,"Wednesday",4,"Thursday",5,"Friday",6,"Saturday")</f>
        <v>Tuesday</v>
      </c>
      <c r="H869" t="str" cm="1">
        <f t="array" ref="H869">_xlfn.SWITCH(Sheet5!D869, 1, "Clear Sky", 2, "Mist", 3, "Dark Cloud",4,"Heavy Rainfall")</f>
        <v>Clear Sky</v>
      </c>
      <c r="I869" s="26">
        <f>Sheet5!E869*41</f>
        <v>9.02</v>
      </c>
      <c r="J869" s="27">
        <v>0.37</v>
      </c>
      <c r="K869">
        <v>0.41789999999999999</v>
      </c>
      <c r="L869">
        <v>3</v>
      </c>
      <c r="M869">
        <v>61</v>
      </c>
      <c r="N869">
        <v>64</v>
      </c>
    </row>
    <row r="870" spans="1:14" x14ac:dyDescent="0.3">
      <c r="A870">
        <v>869</v>
      </c>
      <c r="B870" s="21">
        <v>40582</v>
      </c>
      <c r="C870" s="25" t="s">
        <v>16</v>
      </c>
      <c r="D870" s="25" t="str" cm="1">
        <f t="array" ref="D870">_xlfn.SWITCH(Sheet5!A870,1,"JANUARY",2,"FEBRUARY")</f>
        <v>FEBRUARY</v>
      </c>
      <c r="E870">
        <v>15</v>
      </c>
      <c r="F870" t="str" cm="1">
        <f t="array" ref="F870">_xlfn.SWITCH(Sheet5!C870,FALSE,"NO",TRUE,"YES")</f>
        <v>NO</v>
      </c>
      <c r="G870" t="str" cm="1">
        <f t="array" ref="G870">_xlfn.SWITCH(Sheet5!B870,0,"Sunday",1,"Monday",2,"Tuesday",3,"Wednesday",4,"Thursday",5,"Friday",6,"Saturday")</f>
        <v>Tuesday</v>
      </c>
      <c r="H870" t="str" cm="1">
        <f t="array" ref="H870">_xlfn.SWITCH(Sheet5!D870, 1, "Clear Sky", 2, "Mist", 3, "Dark Cloud",4,"Heavy Rainfall")</f>
        <v>Clear Sky</v>
      </c>
      <c r="I870" s="26">
        <f>Sheet5!E870*41</f>
        <v>9.02</v>
      </c>
      <c r="J870" s="27">
        <v>0.35</v>
      </c>
      <c r="K870">
        <v>0.3881</v>
      </c>
      <c r="L870">
        <v>6</v>
      </c>
      <c r="M870">
        <v>45</v>
      </c>
      <c r="N870">
        <v>51</v>
      </c>
    </row>
    <row r="871" spans="1:14" x14ac:dyDescent="0.3">
      <c r="A871">
        <v>870</v>
      </c>
      <c r="B871" s="21">
        <v>40582</v>
      </c>
      <c r="C871" s="25" t="s">
        <v>16</v>
      </c>
      <c r="D871" s="25" t="str" cm="1">
        <f t="array" ref="D871">_xlfn.SWITCH(Sheet5!A871,1,"JANUARY",2,"FEBRUARY")</f>
        <v>FEBRUARY</v>
      </c>
      <c r="E871">
        <v>16</v>
      </c>
      <c r="F871" t="str" cm="1">
        <f t="array" ref="F871">_xlfn.SWITCH(Sheet5!C871,FALSE,"NO",TRUE,"YES")</f>
        <v>NO</v>
      </c>
      <c r="G871" t="str" cm="1">
        <f t="array" ref="G871">_xlfn.SWITCH(Sheet5!B871,0,"Sunday",1,"Monday",2,"Tuesday",3,"Wednesday",4,"Thursday",5,"Friday",6,"Saturday")</f>
        <v>Tuesday</v>
      </c>
      <c r="H871" t="str" cm="1">
        <f t="array" ref="H871">_xlfn.SWITCH(Sheet5!D871, 1, "Clear Sky", 2, "Mist", 3, "Dark Cloud",4,"Heavy Rainfall")</f>
        <v>Clear Sky</v>
      </c>
      <c r="I871" s="26">
        <f>Sheet5!E871*41</f>
        <v>9.02</v>
      </c>
      <c r="J871" s="27">
        <v>0.35</v>
      </c>
      <c r="K871">
        <v>0.52239999999999998</v>
      </c>
      <c r="L871">
        <v>4</v>
      </c>
      <c r="M871">
        <v>79</v>
      </c>
      <c r="N871">
        <v>83</v>
      </c>
    </row>
    <row r="872" spans="1:14" x14ac:dyDescent="0.3">
      <c r="A872">
        <v>871</v>
      </c>
      <c r="B872" s="21">
        <v>40582</v>
      </c>
      <c r="C872" s="25" t="s">
        <v>16</v>
      </c>
      <c r="D872" s="25" t="str" cm="1">
        <f t="array" ref="D872">_xlfn.SWITCH(Sheet5!A872,1,"JANUARY",2,"FEBRUARY")</f>
        <v>FEBRUARY</v>
      </c>
      <c r="E872">
        <v>17</v>
      </c>
      <c r="F872" t="str" cm="1">
        <f t="array" ref="F872">_xlfn.SWITCH(Sheet5!C872,FALSE,"NO",TRUE,"YES")</f>
        <v>NO</v>
      </c>
      <c r="G872" t="str" cm="1">
        <f t="array" ref="G872">_xlfn.SWITCH(Sheet5!B872,0,"Sunday",1,"Monday",2,"Tuesday",3,"Wednesday",4,"Thursday",5,"Friday",6,"Saturday")</f>
        <v>Tuesday</v>
      </c>
      <c r="H872" t="str" cm="1">
        <f t="array" ref="H872">_xlfn.SWITCH(Sheet5!D872, 1, "Clear Sky", 2, "Mist", 3, "Dark Cloud",4,"Heavy Rainfall")</f>
        <v>Clear Sky</v>
      </c>
      <c r="I872" s="26">
        <f>Sheet5!E872*41</f>
        <v>9.02</v>
      </c>
      <c r="J872" s="27">
        <v>0.32</v>
      </c>
      <c r="K872">
        <v>0.58209999999999995</v>
      </c>
      <c r="L872">
        <v>4</v>
      </c>
      <c r="M872">
        <v>172</v>
      </c>
      <c r="N872">
        <v>176</v>
      </c>
    </row>
    <row r="873" spans="1:14" x14ac:dyDescent="0.3">
      <c r="A873">
        <v>872</v>
      </c>
      <c r="B873" s="21">
        <v>40582</v>
      </c>
      <c r="C873" s="25" t="s">
        <v>16</v>
      </c>
      <c r="D873" s="25" t="str" cm="1">
        <f t="array" ref="D873">_xlfn.SWITCH(Sheet5!A873,1,"JANUARY",2,"FEBRUARY")</f>
        <v>FEBRUARY</v>
      </c>
      <c r="E873">
        <v>18</v>
      </c>
      <c r="F873" t="str" cm="1">
        <f t="array" ref="F873">_xlfn.SWITCH(Sheet5!C873,FALSE,"NO",TRUE,"YES")</f>
        <v>NO</v>
      </c>
      <c r="G873" t="str" cm="1">
        <f t="array" ref="G873">_xlfn.SWITCH(Sheet5!B873,0,"Sunday",1,"Monday",2,"Tuesday",3,"Wednesday",4,"Thursday",5,"Friday",6,"Saturday")</f>
        <v>Tuesday</v>
      </c>
      <c r="H873" t="str" cm="1">
        <f t="array" ref="H873">_xlfn.SWITCH(Sheet5!D873, 1, "Clear Sky", 2, "Mist", 3, "Dark Cloud",4,"Heavy Rainfall")</f>
        <v>Clear Sky</v>
      </c>
      <c r="I873" s="26">
        <f>Sheet5!E873*41</f>
        <v>8.2000000000000011</v>
      </c>
      <c r="J873" s="27">
        <v>0.32</v>
      </c>
      <c r="K873">
        <v>0.3881</v>
      </c>
      <c r="L873">
        <v>1</v>
      </c>
      <c r="M873">
        <v>151</v>
      </c>
      <c r="N873">
        <v>152</v>
      </c>
    </row>
    <row r="874" spans="1:14" x14ac:dyDescent="0.3">
      <c r="A874">
        <v>873</v>
      </c>
      <c r="B874" s="21">
        <v>40582</v>
      </c>
      <c r="C874" s="25" t="s">
        <v>16</v>
      </c>
      <c r="D874" s="25" t="str" cm="1">
        <f t="array" ref="D874">_xlfn.SWITCH(Sheet5!A874,1,"JANUARY",2,"FEBRUARY")</f>
        <v>FEBRUARY</v>
      </c>
      <c r="E874">
        <v>19</v>
      </c>
      <c r="F874" t="str" cm="1">
        <f t="array" ref="F874">_xlfn.SWITCH(Sheet5!C874,FALSE,"NO",TRUE,"YES")</f>
        <v>NO</v>
      </c>
      <c r="G874" t="str" cm="1">
        <f t="array" ref="G874">_xlfn.SWITCH(Sheet5!B874,0,"Sunday",1,"Monday",2,"Tuesday",3,"Wednesday",4,"Thursday",5,"Friday",6,"Saturday")</f>
        <v>Tuesday</v>
      </c>
      <c r="H874" t="str" cm="1">
        <f t="array" ref="H874">_xlfn.SWITCH(Sheet5!D874, 1, "Clear Sky", 2, "Mist", 3, "Dark Cloud",4,"Heavy Rainfall")</f>
        <v>Clear Sky</v>
      </c>
      <c r="I874" s="26">
        <f>Sheet5!E874*41</f>
        <v>6.5600000000000005</v>
      </c>
      <c r="J874" s="27">
        <v>0.4</v>
      </c>
      <c r="K874">
        <v>0.4627</v>
      </c>
      <c r="L874">
        <v>1</v>
      </c>
      <c r="M874">
        <v>100</v>
      </c>
      <c r="N874">
        <v>101</v>
      </c>
    </row>
    <row r="875" spans="1:14" x14ac:dyDescent="0.3">
      <c r="A875">
        <v>874</v>
      </c>
      <c r="B875" s="21">
        <v>40582</v>
      </c>
      <c r="C875" s="25" t="s">
        <v>16</v>
      </c>
      <c r="D875" s="25" t="str" cm="1">
        <f t="array" ref="D875">_xlfn.SWITCH(Sheet5!A875,1,"JANUARY",2,"FEBRUARY")</f>
        <v>FEBRUARY</v>
      </c>
      <c r="E875">
        <v>20</v>
      </c>
      <c r="F875" t="str" cm="1">
        <f t="array" ref="F875">_xlfn.SWITCH(Sheet5!C875,FALSE,"NO",TRUE,"YES")</f>
        <v>NO</v>
      </c>
      <c r="G875" t="str" cm="1">
        <f t="array" ref="G875">_xlfn.SWITCH(Sheet5!B875,0,"Sunday",1,"Monday",2,"Tuesday",3,"Wednesday",4,"Thursday",5,"Friday",6,"Saturday")</f>
        <v>Tuesday</v>
      </c>
      <c r="H875" t="str" cm="1">
        <f t="array" ref="H875">_xlfn.SWITCH(Sheet5!D875, 1, "Clear Sky", 2, "Mist", 3, "Dark Cloud",4,"Heavy Rainfall")</f>
        <v>Clear Sky</v>
      </c>
      <c r="I875" s="26">
        <f>Sheet5!E875*41</f>
        <v>6.5600000000000005</v>
      </c>
      <c r="J875" s="27">
        <v>0.4</v>
      </c>
      <c r="K875">
        <v>0.32840000000000003</v>
      </c>
      <c r="L875">
        <v>3</v>
      </c>
      <c r="M875">
        <v>53</v>
      </c>
      <c r="N875">
        <v>56</v>
      </c>
    </row>
    <row r="876" spans="1:14" x14ac:dyDescent="0.3">
      <c r="A876">
        <v>875</v>
      </c>
      <c r="B876" s="21">
        <v>40582</v>
      </c>
      <c r="C876" s="25" t="s">
        <v>16</v>
      </c>
      <c r="D876" s="25" t="str" cm="1">
        <f t="array" ref="D876">_xlfn.SWITCH(Sheet5!A876,1,"JANUARY",2,"FEBRUARY")</f>
        <v>FEBRUARY</v>
      </c>
      <c r="E876">
        <v>21</v>
      </c>
      <c r="F876" t="str" cm="1">
        <f t="array" ref="F876">_xlfn.SWITCH(Sheet5!C876,FALSE,"NO",TRUE,"YES")</f>
        <v>NO</v>
      </c>
      <c r="G876" t="str" cm="1">
        <f t="array" ref="G876">_xlfn.SWITCH(Sheet5!B876,0,"Sunday",1,"Monday",2,"Tuesday",3,"Wednesday",4,"Thursday",5,"Friday",6,"Saturday")</f>
        <v>Tuesday</v>
      </c>
      <c r="H876" t="str" cm="1">
        <f t="array" ref="H876">_xlfn.SWITCH(Sheet5!D876, 1, "Clear Sky", 2, "Mist", 3, "Dark Cloud",4,"Heavy Rainfall")</f>
        <v>Clear Sky</v>
      </c>
      <c r="I876" s="26">
        <f>Sheet5!E876*41</f>
        <v>5.74</v>
      </c>
      <c r="J876" s="27">
        <v>0.33</v>
      </c>
      <c r="K876">
        <v>0.4627</v>
      </c>
      <c r="L876">
        <v>8</v>
      </c>
      <c r="M876">
        <v>46</v>
      </c>
      <c r="N876">
        <v>54</v>
      </c>
    </row>
    <row r="877" spans="1:14" x14ac:dyDescent="0.3">
      <c r="A877">
        <v>876</v>
      </c>
      <c r="B877" s="21">
        <v>40582</v>
      </c>
      <c r="C877" s="25" t="s">
        <v>16</v>
      </c>
      <c r="D877" s="25" t="str" cm="1">
        <f t="array" ref="D877">_xlfn.SWITCH(Sheet5!A877,1,"JANUARY",2,"FEBRUARY")</f>
        <v>FEBRUARY</v>
      </c>
      <c r="E877">
        <v>22</v>
      </c>
      <c r="F877" t="str" cm="1">
        <f t="array" ref="F877">_xlfn.SWITCH(Sheet5!C877,FALSE,"NO",TRUE,"YES")</f>
        <v>NO</v>
      </c>
      <c r="G877" t="str" cm="1">
        <f t="array" ref="G877">_xlfn.SWITCH(Sheet5!B877,0,"Sunday",1,"Monday",2,"Tuesday",3,"Wednesday",4,"Thursday",5,"Friday",6,"Saturday")</f>
        <v>Tuesday</v>
      </c>
      <c r="H877" t="str" cm="1">
        <f t="array" ref="H877">_xlfn.SWITCH(Sheet5!D877, 1, "Clear Sky", 2, "Mist", 3, "Dark Cloud",4,"Heavy Rainfall")</f>
        <v>Clear Sky</v>
      </c>
      <c r="I877" s="26">
        <f>Sheet5!E877*41</f>
        <v>4.92</v>
      </c>
      <c r="J877" s="27">
        <v>0.33</v>
      </c>
      <c r="K877">
        <v>0.35820000000000002</v>
      </c>
      <c r="L877">
        <v>0</v>
      </c>
      <c r="M877">
        <v>29</v>
      </c>
      <c r="N877">
        <v>29</v>
      </c>
    </row>
    <row r="878" spans="1:14" x14ac:dyDescent="0.3">
      <c r="A878">
        <v>877</v>
      </c>
      <c r="B878" s="21">
        <v>40582</v>
      </c>
      <c r="C878" s="25" t="s">
        <v>16</v>
      </c>
      <c r="D878" s="25" t="str" cm="1">
        <f t="array" ref="D878">_xlfn.SWITCH(Sheet5!A878,1,"JANUARY",2,"FEBRUARY")</f>
        <v>FEBRUARY</v>
      </c>
      <c r="E878">
        <v>23</v>
      </c>
      <c r="F878" t="str" cm="1">
        <f t="array" ref="F878">_xlfn.SWITCH(Sheet5!C878,FALSE,"NO",TRUE,"YES")</f>
        <v>NO</v>
      </c>
      <c r="G878" t="str" cm="1">
        <f t="array" ref="G878">_xlfn.SWITCH(Sheet5!B878,0,"Sunday",1,"Monday",2,"Tuesday",3,"Wednesday",4,"Thursday",5,"Friday",6,"Saturday")</f>
        <v>Tuesday</v>
      </c>
      <c r="H878" t="str" cm="1">
        <f t="array" ref="H878">_xlfn.SWITCH(Sheet5!D878, 1, "Clear Sky", 2, "Mist", 3, "Dark Cloud",4,"Heavy Rainfall")</f>
        <v>Clear Sky</v>
      </c>
      <c r="I878" s="26">
        <f>Sheet5!E878*41</f>
        <v>4.92</v>
      </c>
      <c r="J878" s="27">
        <v>0.33</v>
      </c>
      <c r="K878">
        <v>0.32840000000000003</v>
      </c>
      <c r="L878">
        <v>3</v>
      </c>
      <c r="M878">
        <v>9</v>
      </c>
      <c r="N878">
        <v>12</v>
      </c>
    </row>
    <row r="879" spans="1:14" x14ac:dyDescent="0.3">
      <c r="A879">
        <v>878</v>
      </c>
      <c r="B879" s="21">
        <v>40583</v>
      </c>
      <c r="C879" s="25" t="s">
        <v>16</v>
      </c>
      <c r="D879" s="25" t="str" cm="1">
        <f t="array" ref="D879">_xlfn.SWITCH(Sheet5!A879,1,"JANUARY",2,"FEBRUARY")</f>
        <v>FEBRUARY</v>
      </c>
      <c r="E879">
        <v>0</v>
      </c>
      <c r="F879" t="str" cm="1">
        <f t="array" ref="F879">_xlfn.SWITCH(Sheet5!C879,FALSE,"NO",TRUE,"YES")</f>
        <v>NO</v>
      </c>
      <c r="G879" t="str" cm="1">
        <f t="array" ref="G879">_xlfn.SWITCH(Sheet5!B879,0,"Sunday",1,"Monday",2,"Tuesday",3,"Wednesday",4,"Thursday",5,"Friday",6,"Saturday")</f>
        <v>Wednesday</v>
      </c>
      <c r="H879" t="str" cm="1">
        <f t="array" ref="H879">_xlfn.SWITCH(Sheet5!D879, 1, "Clear Sky", 2, "Mist", 3, "Dark Cloud",4,"Heavy Rainfall")</f>
        <v>Clear Sky</v>
      </c>
      <c r="I879" s="26">
        <f>Sheet5!E879*41</f>
        <v>4.1000000000000005</v>
      </c>
      <c r="J879" s="27">
        <v>0.36</v>
      </c>
      <c r="K879">
        <v>0.35820000000000002</v>
      </c>
      <c r="L879">
        <v>0</v>
      </c>
      <c r="M879">
        <v>17</v>
      </c>
      <c r="N879">
        <v>17</v>
      </c>
    </row>
    <row r="880" spans="1:14" x14ac:dyDescent="0.3">
      <c r="A880">
        <v>879</v>
      </c>
      <c r="B880" s="21">
        <v>40583</v>
      </c>
      <c r="C880" s="25" t="s">
        <v>16</v>
      </c>
      <c r="D880" s="25" t="str" cm="1">
        <f t="array" ref="D880">_xlfn.SWITCH(Sheet5!A880,1,"JANUARY",2,"FEBRUARY")</f>
        <v>FEBRUARY</v>
      </c>
      <c r="E880">
        <v>1</v>
      </c>
      <c r="F880" t="str" cm="1">
        <f t="array" ref="F880">_xlfn.SWITCH(Sheet5!C880,FALSE,"NO",TRUE,"YES")</f>
        <v>NO</v>
      </c>
      <c r="G880" t="str" cm="1">
        <f t="array" ref="G880">_xlfn.SWITCH(Sheet5!B880,0,"Sunday",1,"Monday",2,"Tuesday",3,"Wednesday",4,"Thursday",5,"Friday",6,"Saturday")</f>
        <v>Wednesday</v>
      </c>
      <c r="H880" t="str" cm="1">
        <f t="array" ref="H880">_xlfn.SWITCH(Sheet5!D880, 1, "Clear Sky", 2, "Mist", 3, "Dark Cloud",4,"Heavy Rainfall")</f>
        <v>Clear Sky</v>
      </c>
      <c r="I880" s="26">
        <f>Sheet5!E880*41</f>
        <v>4.1000000000000005</v>
      </c>
      <c r="J880" s="27">
        <v>0.36</v>
      </c>
      <c r="K880">
        <v>0.22389999999999999</v>
      </c>
      <c r="L880">
        <v>0</v>
      </c>
      <c r="M880">
        <v>7</v>
      </c>
      <c r="N880">
        <v>7</v>
      </c>
    </row>
    <row r="881" spans="1:14" x14ac:dyDescent="0.3">
      <c r="A881">
        <v>880</v>
      </c>
      <c r="B881" s="21">
        <v>40583</v>
      </c>
      <c r="C881" s="25" t="s">
        <v>16</v>
      </c>
      <c r="D881" s="25" t="str" cm="1">
        <f t="array" ref="D881">_xlfn.SWITCH(Sheet5!A881,1,"JANUARY",2,"FEBRUARY")</f>
        <v>FEBRUARY</v>
      </c>
      <c r="E881">
        <v>2</v>
      </c>
      <c r="F881" t="str" cm="1">
        <f t="array" ref="F881">_xlfn.SWITCH(Sheet5!C881,FALSE,"NO",TRUE,"YES")</f>
        <v>NO</v>
      </c>
      <c r="G881" t="str" cm="1">
        <f t="array" ref="G881">_xlfn.SWITCH(Sheet5!B881,0,"Sunday",1,"Monday",2,"Tuesday",3,"Wednesday",4,"Thursday",5,"Friday",6,"Saturday")</f>
        <v>Wednesday</v>
      </c>
      <c r="H881" t="str" cm="1">
        <f t="array" ref="H881">_xlfn.SWITCH(Sheet5!D881, 1, "Clear Sky", 2, "Mist", 3, "Dark Cloud",4,"Heavy Rainfall")</f>
        <v>Clear Sky</v>
      </c>
      <c r="I881" s="26">
        <f>Sheet5!E881*41</f>
        <v>3.2800000000000002</v>
      </c>
      <c r="J881" s="27">
        <v>0.38</v>
      </c>
      <c r="K881">
        <v>0.28360000000000002</v>
      </c>
      <c r="L881">
        <v>1</v>
      </c>
      <c r="M881">
        <v>2</v>
      </c>
      <c r="N881">
        <v>3</v>
      </c>
    </row>
    <row r="882" spans="1:14" x14ac:dyDescent="0.3">
      <c r="A882">
        <v>881</v>
      </c>
      <c r="B882" s="21">
        <v>40583</v>
      </c>
      <c r="C882" s="25" t="s">
        <v>16</v>
      </c>
      <c r="D882" s="25" t="str" cm="1">
        <f t="array" ref="D882">_xlfn.SWITCH(Sheet5!A882,1,"JANUARY",2,"FEBRUARY")</f>
        <v>FEBRUARY</v>
      </c>
      <c r="E882">
        <v>3</v>
      </c>
      <c r="F882" t="str" cm="1">
        <f t="array" ref="F882">_xlfn.SWITCH(Sheet5!C882,FALSE,"NO",TRUE,"YES")</f>
        <v>NO</v>
      </c>
      <c r="G882" t="str" cm="1">
        <f t="array" ref="G882">_xlfn.SWITCH(Sheet5!B882,0,"Sunday",1,"Monday",2,"Tuesday",3,"Wednesday",4,"Thursday",5,"Friday",6,"Saturday")</f>
        <v>Wednesday</v>
      </c>
      <c r="H882" t="str" cm="1">
        <f t="array" ref="H882">_xlfn.SWITCH(Sheet5!D882, 1, "Clear Sky", 2, "Mist", 3, "Dark Cloud",4,"Heavy Rainfall")</f>
        <v>Clear Sky</v>
      </c>
      <c r="I882" s="26">
        <f>Sheet5!E882*41</f>
        <v>2.46</v>
      </c>
      <c r="J882" s="27">
        <v>0.45</v>
      </c>
      <c r="K882">
        <v>0.1343</v>
      </c>
      <c r="L882">
        <v>0</v>
      </c>
      <c r="M882">
        <v>2</v>
      </c>
      <c r="N882">
        <v>2</v>
      </c>
    </row>
    <row r="883" spans="1:14" x14ac:dyDescent="0.3">
      <c r="A883">
        <v>882</v>
      </c>
      <c r="B883" s="21">
        <v>40583</v>
      </c>
      <c r="C883" s="25" t="s">
        <v>16</v>
      </c>
      <c r="D883" s="25" t="str" cm="1">
        <f t="array" ref="D883">_xlfn.SWITCH(Sheet5!A883,1,"JANUARY",2,"FEBRUARY")</f>
        <v>FEBRUARY</v>
      </c>
      <c r="E883">
        <v>5</v>
      </c>
      <c r="F883" t="str" cm="1">
        <f t="array" ref="F883">_xlfn.SWITCH(Sheet5!C883,FALSE,"NO",TRUE,"YES")</f>
        <v>NO</v>
      </c>
      <c r="G883" t="str" cm="1">
        <f t="array" ref="G883">_xlfn.SWITCH(Sheet5!B883,0,"Sunday",1,"Monday",2,"Tuesday",3,"Wednesday",4,"Thursday",5,"Friday",6,"Saturday")</f>
        <v>Wednesday</v>
      </c>
      <c r="H883" t="str" cm="1">
        <f t="array" ref="H883">_xlfn.SWITCH(Sheet5!D883, 1, "Clear Sky", 2, "Mist", 3, "Dark Cloud",4,"Heavy Rainfall")</f>
        <v>Clear Sky</v>
      </c>
      <c r="I883" s="26">
        <f>Sheet5!E883*41</f>
        <v>2.46</v>
      </c>
      <c r="J883" s="27">
        <v>0.45</v>
      </c>
      <c r="K883">
        <v>0.1045</v>
      </c>
      <c r="L883">
        <v>0</v>
      </c>
      <c r="M883">
        <v>7</v>
      </c>
      <c r="N883">
        <v>7</v>
      </c>
    </row>
    <row r="884" spans="1:14" x14ac:dyDescent="0.3">
      <c r="A884">
        <v>883</v>
      </c>
      <c r="B884" s="21">
        <v>40583</v>
      </c>
      <c r="C884" s="25" t="s">
        <v>16</v>
      </c>
      <c r="D884" s="25" t="str" cm="1">
        <f t="array" ref="D884">_xlfn.SWITCH(Sheet5!A884,1,"JANUARY",2,"FEBRUARY")</f>
        <v>FEBRUARY</v>
      </c>
      <c r="E884">
        <v>6</v>
      </c>
      <c r="F884" t="str" cm="1">
        <f t="array" ref="F884">_xlfn.SWITCH(Sheet5!C884,FALSE,"NO",TRUE,"YES")</f>
        <v>NO</v>
      </c>
      <c r="G884" t="str" cm="1">
        <f t="array" ref="G884">_xlfn.SWITCH(Sheet5!B884,0,"Sunday",1,"Monday",2,"Tuesday",3,"Wednesday",4,"Thursday",5,"Friday",6,"Saturday")</f>
        <v>Wednesday</v>
      </c>
      <c r="H884" t="str" cm="1">
        <f t="array" ref="H884">_xlfn.SWITCH(Sheet5!D884, 1, "Clear Sky", 2, "Mist", 3, "Dark Cloud",4,"Heavy Rainfall")</f>
        <v>Clear Sky</v>
      </c>
      <c r="I884" s="26">
        <f>Sheet5!E884*41</f>
        <v>2.46</v>
      </c>
      <c r="J884" s="27">
        <v>0.45</v>
      </c>
      <c r="K884">
        <v>0</v>
      </c>
      <c r="L884">
        <v>0</v>
      </c>
      <c r="M884">
        <v>43</v>
      </c>
      <c r="N884">
        <v>43</v>
      </c>
    </row>
    <row r="885" spans="1:14" x14ac:dyDescent="0.3">
      <c r="A885">
        <v>884</v>
      </c>
      <c r="B885" s="21">
        <v>40583</v>
      </c>
      <c r="C885" s="25" t="s">
        <v>16</v>
      </c>
      <c r="D885" s="25" t="str" cm="1">
        <f t="array" ref="D885">_xlfn.SWITCH(Sheet5!A885,1,"JANUARY",2,"FEBRUARY")</f>
        <v>FEBRUARY</v>
      </c>
      <c r="E885">
        <v>7</v>
      </c>
      <c r="F885" t="str" cm="1">
        <f t="array" ref="F885">_xlfn.SWITCH(Sheet5!C885,FALSE,"NO",TRUE,"YES")</f>
        <v>NO</v>
      </c>
      <c r="G885" t="str" cm="1">
        <f t="array" ref="G885">_xlfn.SWITCH(Sheet5!B885,0,"Sunday",1,"Monday",2,"Tuesday",3,"Wednesday",4,"Thursday",5,"Friday",6,"Saturday")</f>
        <v>Wednesday</v>
      </c>
      <c r="H885" t="str" cm="1">
        <f t="array" ref="H885">_xlfn.SWITCH(Sheet5!D885, 1, "Clear Sky", 2, "Mist", 3, "Dark Cloud",4,"Heavy Rainfall")</f>
        <v>Clear Sky</v>
      </c>
      <c r="I885" s="26">
        <f>Sheet5!E885*41</f>
        <v>2.46</v>
      </c>
      <c r="J885" s="27">
        <v>0.49</v>
      </c>
      <c r="K885">
        <v>0.1045</v>
      </c>
      <c r="L885">
        <v>4</v>
      </c>
      <c r="M885">
        <v>95</v>
      </c>
      <c r="N885">
        <v>99</v>
      </c>
    </row>
    <row r="886" spans="1:14" x14ac:dyDescent="0.3">
      <c r="A886">
        <v>885</v>
      </c>
      <c r="B886" s="21">
        <v>40583</v>
      </c>
      <c r="C886" s="25" t="s">
        <v>16</v>
      </c>
      <c r="D886" s="25" t="str" cm="1">
        <f t="array" ref="D886">_xlfn.SWITCH(Sheet5!A886,1,"JANUARY",2,"FEBRUARY")</f>
        <v>FEBRUARY</v>
      </c>
      <c r="E886">
        <v>8</v>
      </c>
      <c r="F886" t="str" cm="1">
        <f t="array" ref="F886">_xlfn.SWITCH(Sheet5!C886,FALSE,"NO",TRUE,"YES")</f>
        <v>NO</v>
      </c>
      <c r="G886" t="str" cm="1">
        <f t="array" ref="G886">_xlfn.SWITCH(Sheet5!B886,0,"Sunday",1,"Monday",2,"Tuesday",3,"Wednesday",4,"Thursday",5,"Friday",6,"Saturday")</f>
        <v>Wednesday</v>
      </c>
      <c r="H886" t="str" cm="1">
        <f t="array" ref="H886">_xlfn.SWITCH(Sheet5!D886, 1, "Clear Sky", 2, "Mist", 3, "Dark Cloud",4,"Heavy Rainfall")</f>
        <v>Clear Sky</v>
      </c>
      <c r="I886" s="26">
        <f>Sheet5!E886*41</f>
        <v>4.1000000000000005</v>
      </c>
      <c r="J886" s="27">
        <v>0.42</v>
      </c>
      <c r="K886">
        <v>0</v>
      </c>
      <c r="L886">
        <v>1</v>
      </c>
      <c r="M886">
        <v>198</v>
      </c>
      <c r="N886">
        <v>199</v>
      </c>
    </row>
    <row r="887" spans="1:14" x14ac:dyDescent="0.3">
      <c r="A887">
        <v>886</v>
      </c>
      <c r="B887" s="21">
        <v>40583</v>
      </c>
      <c r="C887" s="25" t="s">
        <v>16</v>
      </c>
      <c r="D887" s="25" t="str" cm="1">
        <f t="array" ref="D887">_xlfn.SWITCH(Sheet5!A887,1,"JANUARY",2,"FEBRUARY")</f>
        <v>FEBRUARY</v>
      </c>
      <c r="E887">
        <v>9</v>
      </c>
      <c r="F887" t="str" cm="1">
        <f t="array" ref="F887">_xlfn.SWITCH(Sheet5!C887,FALSE,"NO",TRUE,"YES")</f>
        <v>NO</v>
      </c>
      <c r="G887" t="str" cm="1">
        <f t="array" ref="G887">_xlfn.SWITCH(Sheet5!B887,0,"Sunday",1,"Monday",2,"Tuesday",3,"Wednesday",4,"Thursday",5,"Friday",6,"Saturday")</f>
        <v>Wednesday</v>
      </c>
      <c r="H887" t="str" cm="1">
        <f t="array" ref="H887">_xlfn.SWITCH(Sheet5!D887, 1, "Clear Sky", 2, "Mist", 3, "Dark Cloud",4,"Heavy Rainfall")</f>
        <v>Clear Sky</v>
      </c>
      <c r="I887" s="26">
        <f>Sheet5!E887*41</f>
        <v>4.92</v>
      </c>
      <c r="J887" s="27">
        <v>0.39</v>
      </c>
      <c r="K887">
        <v>0.16420000000000001</v>
      </c>
      <c r="L887">
        <v>4</v>
      </c>
      <c r="M887">
        <v>119</v>
      </c>
      <c r="N887">
        <v>123</v>
      </c>
    </row>
    <row r="888" spans="1:14" x14ac:dyDescent="0.3">
      <c r="A888">
        <v>887</v>
      </c>
      <c r="B888" s="21">
        <v>40583</v>
      </c>
      <c r="C888" s="25" t="s">
        <v>16</v>
      </c>
      <c r="D888" s="25" t="str" cm="1">
        <f t="array" ref="D888">_xlfn.SWITCH(Sheet5!A888,1,"JANUARY",2,"FEBRUARY")</f>
        <v>FEBRUARY</v>
      </c>
      <c r="E888">
        <v>10</v>
      </c>
      <c r="F888" t="str" cm="1">
        <f t="array" ref="F888">_xlfn.SWITCH(Sheet5!C888,FALSE,"NO",TRUE,"YES")</f>
        <v>NO</v>
      </c>
      <c r="G888" t="str" cm="1">
        <f t="array" ref="G888">_xlfn.SWITCH(Sheet5!B888,0,"Sunday",1,"Monday",2,"Tuesday",3,"Wednesday",4,"Thursday",5,"Friday",6,"Saturday")</f>
        <v>Wednesday</v>
      </c>
      <c r="H888" t="str" cm="1">
        <f t="array" ref="H888">_xlfn.SWITCH(Sheet5!D888, 1, "Clear Sky", 2, "Mist", 3, "Dark Cloud",4,"Heavy Rainfall")</f>
        <v>Clear Sky</v>
      </c>
      <c r="I888" s="26">
        <f>Sheet5!E888*41</f>
        <v>5.74</v>
      </c>
      <c r="J888" s="27">
        <v>0.36</v>
      </c>
      <c r="K888">
        <v>0</v>
      </c>
      <c r="L888">
        <v>8</v>
      </c>
      <c r="M888">
        <v>51</v>
      </c>
      <c r="N888">
        <v>59</v>
      </c>
    </row>
    <row r="889" spans="1:14" x14ac:dyDescent="0.3">
      <c r="A889">
        <v>888</v>
      </c>
      <c r="B889" s="21">
        <v>40583</v>
      </c>
      <c r="C889" s="25" t="s">
        <v>16</v>
      </c>
      <c r="D889" s="25" t="str" cm="1">
        <f t="array" ref="D889">_xlfn.SWITCH(Sheet5!A889,1,"JANUARY",2,"FEBRUARY")</f>
        <v>FEBRUARY</v>
      </c>
      <c r="E889">
        <v>11</v>
      </c>
      <c r="F889" t="str" cm="1">
        <f t="array" ref="F889">_xlfn.SWITCH(Sheet5!C889,FALSE,"NO",TRUE,"YES")</f>
        <v>NO</v>
      </c>
      <c r="G889" t="str" cm="1">
        <f t="array" ref="G889">_xlfn.SWITCH(Sheet5!B889,0,"Sunday",1,"Monday",2,"Tuesday",3,"Wednesday",4,"Thursday",5,"Friday",6,"Saturday")</f>
        <v>Wednesday</v>
      </c>
      <c r="H889" t="str" cm="1">
        <f t="array" ref="H889">_xlfn.SWITCH(Sheet5!D889, 1, "Clear Sky", 2, "Mist", 3, "Dark Cloud",4,"Heavy Rainfall")</f>
        <v>Mist</v>
      </c>
      <c r="I889" s="26">
        <f>Sheet5!E889*41</f>
        <v>5.74</v>
      </c>
      <c r="J889" s="27">
        <v>0.43</v>
      </c>
      <c r="K889">
        <v>0.16420000000000001</v>
      </c>
      <c r="L889">
        <v>1</v>
      </c>
      <c r="M889">
        <v>40</v>
      </c>
      <c r="N889">
        <v>41</v>
      </c>
    </row>
    <row r="890" spans="1:14" x14ac:dyDescent="0.3">
      <c r="A890">
        <v>889</v>
      </c>
      <c r="B890" s="21">
        <v>40583</v>
      </c>
      <c r="C890" s="25" t="s">
        <v>16</v>
      </c>
      <c r="D890" s="25" t="str" cm="1">
        <f t="array" ref="D890">_xlfn.SWITCH(Sheet5!A890,1,"JANUARY",2,"FEBRUARY")</f>
        <v>FEBRUARY</v>
      </c>
      <c r="E890">
        <v>12</v>
      </c>
      <c r="F890" t="str" cm="1">
        <f t="array" ref="F890">_xlfn.SWITCH(Sheet5!C890,FALSE,"NO",TRUE,"YES")</f>
        <v>NO</v>
      </c>
      <c r="G890" t="str" cm="1">
        <f t="array" ref="G890">_xlfn.SWITCH(Sheet5!B890,0,"Sunday",1,"Monday",2,"Tuesday",3,"Wednesday",4,"Thursday",5,"Friday",6,"Saturday")</f>
        <v>Wednesday</v>
      </c>
      <c r="H890" t="str" cm="1">
        <f t="array" ref="H890">_xlfn.SWITCH(Sheet5!D890, 1, "Clear Sky", 2, "Mist", 3, "Dark Cloud",4,"Heavy Rainfall")</f>
        <v>Mist</v>
      </c>
      <c r="I890" s="26">
        <f>Sheet5!E890*41</f>
        <v>7.38</v>
      </c>
      <c r="J890" s="27">
        <v>0.4</v>
      </c>
      <c r="K890">
        <v>0.22389999999999999</v>
      </c>
      <c r="L890">
        <v>4</v>
      </c>
      <c r="M890">
        <v>57</v>
      </c>
      <c r="N890">
        <v>61</v>
      </c>
    </row>
    <row r="891" spans="1:14" x14ac:dyDescent="0.3">
      <c r="A891">
        <v>890</v>
      </c>
      <c r="B891" s="21">
        <v>40583</v>
      </c>
      <c r="C891" s="25" t="s">
        <v>16</v>
      </c>
      <c r="D891" s="25" t="str" cm="1">
        <f t="array" ref="D891">_xlfn.SWITCH(Sheet5!A891,1,"JANUARY",2,"FEBRUARY")</f>
        <v>FEBRUARY</v>
      </c>
      <c r="E891">
        <v>13</v>
      </c>
      <c r="F891" t="str" cm="1">
        <f t="array" ref="F891">_xlfn.SWITCH(Sheet5!C891,FALSE,"NO",TRUE,"YES")</f>
        <v>NO</v>
      </c>
      <c r="G891" t="str" cm="1">
        <f t="array" ref="G891">_xlfn.SWITCH(Sheet5!B891,0,"Sunday",1,"Monday",2,"Tuesday",3,"Wednesday",4,"Thursday",5,"Friday",6,"Saturday")</f>
        <v>Wednesday</v>
      </c>
      <c r="H891" t="str" cm="1">
        <f t="array" ref="H891">_xlfn.SWITCH(Sheet5!D891, 1, "Clear Sky", 2, "Mist", 3, "Dark Cloud",4,"Heavy Rainfall")</f>
        <v>Clear Sky</v>
      </c>
      <c r="I891" s="26">
        <f>Sheet5!E891*41</f>
        <v>7.38</v>
      </c>
      <c r="J891" s="27">
        <v>0.4</v>
      </c>
      <c r="K891">
        <v>0.25369999999999998</v>
      </c>
      <c r="L891">
        <v>2</v>
      </c>
      <c r="M891">
        <v>67</v>
      </c>
      <c r="N891">
        <v>69</v>
      </c>
    </row>
    <row r="892" spans="1:14" x14ac:dyDescent="0.3">
      <c r="A892">
        <v>891</v>
      </c>
      <c r="B892" s="21">
        <v>40583</v>
      </c>
      <c r="C892" s="25" t="s">
        <v>16</v>
      </c>
      <c r="D892" s="25" t="str" cm="1">
        <f t="array" ref="D892">_xlfn.SWITCH(Sheet5!A892,1,"JANUARY",2,"FEBRUARY")</f>
        <v>FEBRUARY</v>
      </c>
      <c r="E892">
        <v>14</v>
      </c>
      <c r="F892" t="str" cm="1">
        <f t="array" ref="F892">_xlfn.SWITCH(Sheet5!C892,FALSE,"NO",TRUE,"YES")</f>
        <v>NO</v>
      </c>
      <c r="G892" t="str" cm="1">
        <f t="array" ref="G892">_xlfn.SWITCH(Sheet5!B892,0,"Sunday",1,"Monday",2,"Tuesday",3,"Wednesday",4,"Thursday",5,"Friday",6,"Saturday")</f>
        <v>Wednesday</v>
      </c>
      <c r="H892" t="str" cm="1">
        <f t="array" ref="H892">_xlfn.SWITCH(Sheet5!D892, 1, "Clear Sky", 2, "Mist", 3, "Dark Cloud",4,"Heavy Rainfall")</f>
        <v>Clear Sky</v>
      </c>
      <c r="I892" s="26">
        <f>Sheet5!E892*41</f>
        <v>8.2000000000000011</v>
      </c>
      <c r="J892" s="27">
        <v>0.34</v>
      </c>
      <c r="K892">
        <v>0.29849999999999999</v>
      </c>
      <c r="L892">
        <v>2</v>
      </c>
      <c r="M892">
        <v>56</v>
      </c>
      <c r="N892">
        <v>58</v>
      </c>
    </row>
    <row r="893" spans="1:14" x14ac:dyDescent="0.3">
      <c r="A893">
        <v>892</v>
      </c>
      <c r="B893" s="21">
        <v>40583</v>
      </c>
      <c r="C893" s="25" t="s">
        <v>16</v>
      </c>
      <c r="D893" s="25" t="str" cm="1">
        <f t="array" ref="D893">_xlfn.SWITCH(Sheet5!A893,1,"JANUARY",2,"FEBRUARY")</f>
        <v>FEBRUARY</v>
      </c>
      <c r="E893">
        <v>15</v>
      </c>
      <c r="F893" t="str" cm="1">
        <f t="array" ref="F893">_xlfn.SWITCH(Sheet5!C893,FALSE,"NO",TRUE,"YES")</f>
        <v>NO</v>
      </c>
      <c r="G893" t="str" cm="1">
        <f t="array" ref="G893">_xlfn.SWITCH(Sheet5!B893,0,"Sunday",1,"Monday",2,"Tuesday",3,"Wednesday",4,"Thursday",5,"Friday",6,"Saturday")</f>
        <v>Wednesday</v>
      </c>
      <c r="H893" t="str" cm="1">
        <f t="array" ref="H893">_xlfn.SWITCH(Sheet5!D893, 1, "Clear Sky", 2, "Mist", 3, "Dark Cloud",4,"Heavy Rainfall")</f>
        <v>Mist</v>
      </c>
      <c r="I893" s="26">
        <f>Sheet5!E893*41</f>
        <v>8.2000000000000011</v>
      </c>
      <c r="J893" s="27">
        <v>0.34</v>
      </c>
      <c r="K893">
        <v>0.28360000000000002</v>
      </c>
      <c r="L893">
        <v>3</v>
      </c>
      <c r="M893">
        <v>61</v>
      </c>
      <c r="N893">
        <v>64</v>
      </c>
    </row>
    <row r="894" spans="1:14" x14ac:dyDescent="0.3">
      <c r="A894">
        <v>893</v>
      </c>
      <c r="B894" s="21">
        <v>40583</v>
      </c>
      <c r="C894" s="25" t="s">
        <v>16</v>
      </c>
      <c r="D894" s="25" t="str" cm="1">
        <f t="array" ref="D894">_xlfn.SWITCH(Sheet5!A894,1,"JANUARY",2,"FEBRUARY")</f>
        <v>FEBRUARY</v>
      </c>
      <c r="E894">
        <v>16</v>
      </c>
      <c r="F894" t="str" cm="1">
        <f t="array" ref="F894">_xlfn.SWITCH(Sheet5!C894,FALSE,"NO",TRUE,"YES")</f>
        <v>NO</v>
      </c>
      <c r="G894" t="str" cm="1">
        <f t="array" ref="G894">_xlfn.SWITCH(Sheet5!B894,0,"Sunday",1,"Monday",2,"Tuesday",3,"Wednesday",4,"Thursday",5,"Friday",6,"Saturday")</f>
        <v>Wednesday</v>
      </c>
      <c r="H894" t="str" cm="1">
        <f t="array" ref="H894">_xlfn.SWITCH(Sheet5!D894, 1, "Clear Sky", 2, "Mist", 3, "Dark Cloud",4,"Heavy Rainfall")</f>
        <v>Mist</v>
      </c>
      <c r="I894" s="26">
        <f>Sheet5!E894*41</f>
        <v>8.2000000000000011</v>
      </c>
      <c r="J894" s="27">
        <v>0.37</v>
      </c>
      <c r="K894">
        <v>0.25369999999999998</v>
      </c>
      <c r="L894">
        <v>7</v>
      </c>
      <c r="M894">
        <v>72</v>
      </c>
      <c r="N894">
        <v>79</v>
      </c>
    </row>
    <row r="895" spans="1:14" x14ac:dyDescent="0.3">
      <c r="A895">
        <v>894</v>
      </c>
      <c r="B895" s="21">
        <v>40583</v>
      </c>
      <c r="C895" s="25" t="s">
        <v>16</v>
      </c>
      <c r="D895" s="25" t="str" cm="1">
        <f t="array" ref="D895">_xlfn.SWITCH(Sheet5!A895,1,"JANUARY",2,"FEBRUARY")</f>
        <v>FEBRUARY</v>
      </c>
      <c r="E895">
        <v>17</v>
      </c>
      <c r="F895" t="str" cm="1">
        <f t="array" ref="F895">_xlfn.SWITCH(Sheet5!C895,FALSE,"NO",TRUE,"YES")</f>
        <v>NO</v>
      </c>
      <c r="G895" t="str" cm="1">
        <f t="array" ref="G895">_xlfn.SWITCH(Sheet5!B895,0,"Sunday",1,"Monday",2,"Tuesday",3,"Wednesday",4,"Thursday",5,"Friday",6,"Saturday")</f>
        <v>Wednesday</v>
      </c>
      <c r="H895" t="str" cm="1">
        <f t="array" ref="H895">_xlfn.SWITCH(Sheet5!D895, 1, "Clear Sky", 2, "Mist", 3, "Dark Cloud",4,"Heavy Rainfall")</f>
        <v>Mist</v>
      </c>
      <c r="I895" s="26">
        <f>Sheet5!E895*41</f>
        <v>8.2000000000000011</v>
      </c>
      <c r="J895" s="27">
        <v>0.34</v>
      </c>
      <c r="K895">
        <v>0.25369999999999998</v>
      </c>
      <c r="L895">
        <v>9</v>
      </c>
      <c r="M895">
        <v>157</v>
      </c>
      <c r="N895">
        <v>166</v>
      </c>
    </row>
    <row r="896" spans="1:14" x14ac:dyDescent="0.3">
      <c r="A896">
        <v>895</v>
      </c>
      <c r="B896" s="21">
        <v>40583</v>
      </c>
      <c r="C896" s="25" t="s">
        <v>16</v>
      </c>
      <c r="D896" s="25" t="str" cm="1">
        <f t="array" ref="D896">_xlfn.SWITCH(Sheet5!A896,1,"JANUARY",2,"FEBRUARY")</f>
        <v>FEBRUARY</v>
      </c>
      <c r="E896">
        <v>18</v>
      </c>
      <c r="F896" t="str" cm="1">
        <f t="array" ref="F896">_xlfn.SWITCH(Sheet5!C896,FALSE,"NO",TRUE,"YES")</f>
        <v>NO</v>
      </c>
      <c r="G896" t="str" cm="1">
        <f t="array" ref="G896">_xlfn.SWITCH(Sheet5!B896,0,"Sunday",1,"Monday",2,"Tuesday",3,"Wednesday",4,"Thursday",5,"Friday",6,"Saturday")</f>
        <v>Wednesday</v>
      </c>
      <c r="H896" t="str" cm="1">
        <f t="array" ref="H896">_xlfn.SWITCH(Sheet5!D896, 1, "Clear Sky", 2, "Mist", 3, "Dark Cloud",4,"Heavy Rainfall")</f>
        <v>Mist</v>
      </c>
      <c r="I896" s="26">
        <f>Sheet5!E896*41</f>
        <v>7.38</v>
      </c>
      <c r="J896" s="27">
        <v>0.47</v>
      </c>
      <c r="K896">
        <v>0.29849999999999999</v>
      </c>
      <c r="L896">
        <v>2</v>
      </c>
      <c r="M896">
        <v>168</v>
      </c>
      <c r="N896">
        <v>170</v>
      </c>
    </row>
    <row r="897" spans="1:14" x14ac:dyDescent="0.3">
      <c r="A897">
        <v>896</v>
      </c>
      <c r="B897" s="21">
        <v>40583</v>
      </c>
      <c r="C897" s="25" t="s">
        <v>16</v>
      </c>
      <c r="D897" s="25" t="str" cm="1">
        <f t="array" ref="D897">_xlfn.SWITCH(Sheet5!A897,1,"JANUARY",2,"FEBRUARY")</f>
        <v>FEBRUARY</v>
      </c>
      <c r="E897">
        <v>19</v>
      </c>
      <c r="F897" t="str" cm="1">
        <f t="array" ref="F897">_xlfn.SWITCH(Sheet5!C897,FALSE,"NO",TRUE,"YES")</f>
        <v>NO</v>
      </c>
      <c r="G897" t="str" cm="1">
        <f t="array" ref="G897">_xlfn.SWITCH(Sheet5!B897,0,"Sunday",1,"Monday",2,"Tuesday",3,"Wednesday",4,"Thursday",5,"Friday",6,"Saturday")</f>
        <v>Wednesday</v>
      </c>
      <c r="H897" t="str" cm="1">
        <f t="array" ref="H897">_xlfn.SWITCH(Sheet5!D897, 1, "Clear Sky", 2, "Mist", 3, "Dark Cloud",4,"Heavy Rainfall")</f>
        <v>Dark Cloud</v>
      </c>
      <c r="I897" s="26">
        <f>Sheet5!E897*41</f>
        <v>5.74</v>
      </c>
      <c r="J897" s="27">
        <v>0.86</v>
      </c>
      <c r="K897">
        <v>0.25369999999999998</v>
      </c>
      <c r="L897">
        <v>1</v>
      </c>
      <c r="M897">
        <v>87</v>
      </c>
      <c r="N897">
        <v>88</v>
      </c>
    </row>
    <row r="898" spans="1:14" x14ac:dyDescent="0.3">
      <c r="A898">
        <v>897</v>
      </c>
      <c r="B898" s="21">
        <v>40583</v>
      </c>
      <c r="C898" s="25" t="s">
        <v>16</v>
      </c>
      <c r="D898" s="25" t="str" cm="1">
        <f t="array" ref="D898">_xlfn.SWITCH(Sheet5!A898,1,"JANUARY",2,"FEBRUARY")</f>
        <v>FEBRUARY</v>
      </c>
      <c r="E898">
        <v>20</v>
      </c>
      <c r="F898" t="str" cm="1">
        <f t="array" ref="F898">_xlfn.SWITCH(Sheet5!C898,FALSE,"NO",TRUE,"YES")</f>
        <v>NO</v>
      </c>
      <c r="G898" t="str" cm="1">
        <f t="array" ref="G898">_xlfn.SWITCH(Sheet5!B898,0,"Sunday",1,"Monday",2,"Tuesday",3,"Wednesday",4,"Thursday",5,"Friday",6,"Saturday")</f>
        <v>Wednesday</v>
      </c>
      <c r="H898" t="str" cm="1">
        <f t="array" ref="H898">_xlfn.SWITCH(Sheet5!D898, 1, "Clear Sky", 2, "Mist", 3, "Dark Cloud",4,"Heavy Rainfall")</f>
        <v>Dark Cloud</v>
      </c>
      <c r="I898" s="26">
        <f>Sheet5!E898*41</f>
        <v>5.74</v>
      </c>
      <c r="J898" s="27">
        <v>0.86</v>
      </c>
      <c r="K898">
        <v>0.16420000000000001</v>
      </c>
      <c r="L898">
        <v>0</v>
      </c>
      <c r="M898">
        <v>84</v>
      </c>
      <c r="N898">
        <v>84</v>
      </c>
    </row>
    <row r="899" spans="1:14" x14ac:dyDescent="0.3">
      <c r="A899">
        <v>898</v>
      </c>
      <c r="B899" s="21">
        <v>40583</v>
      </c>
      <c r="C899" s="25" t="s">
        <v>16</v>
      </c>
      <c r="D899" s="25" t="str" cm="1">
        <f t="array" ref="D899">_xlfn.SWITCH(Sheet5!A899,1,"JANUARY",2,"FEBRUARY")</f>
        <v>FEBRUARY</v>
      </c>
      <c r="E899">
        <v>21</v>
      </c>
      <c r="F899" t="str" cm="1">
        <f t="array" ref="F899">_xlfn.SWITCH(Sheet5!C899,FALSE,"NO",TRUE,"YES")</f>
        <v>NO</v>
      </c>
      <c r="G899" t="str" cm="1">
        <f t="array" ref="G899">_xlfn.SWITCH(Sheet5!B899,0,"Sunday",1,"Monday",2,"Tuesday",3,"Wednesday",4,"Thursday",5,"Friday",6,"Saturday")</f>
        <v>Wednesday</v>
      </c>
      <c r="H899" t="str" cm="1">
        <f t="array" ref="H899">_xlfn.SWITCH(Sheet5!D899, 1, "Clear Sky", 2, "Mist", 3, "Dark Cloud",4,"Heavy Rainfall")</f>
        <v>Mist</v>
      </c>
      <c r="I899" s="26">
        <f>Sheet5!E899*41</f>
        <v>5.74</v>
      </c>
      <c r="J899" s="27">
        <v>0.86</v>
      </c>
      <c r="K899">
        <v>0.16420000000000001</v>
      </c>
      <c r="L899">
        <v>0</v>
      </c>
      <c r="M899">
        <v>83</v>
      </c>
      <c r="N899">
        <v>83</v>
      </c>
    </row>
    <row r="900" spans="1:14" x14ac:dyDescent="0.3">
      <c r="A900">
        <v>899</v>
      </c>
      <c r="B900" s="21">
        <v>40583</v>
      </c>
      <c r="C900" s="25" t="s">
        <v>16</v>
      </c>
      <c r="D900" s="25" t="str" cm="1">
        <f t="array" ref="D900">_xlfn.SWITCH(Sheet5!A900,1,"JANUARY",2,"FEBRUARY")</f>
        <v>FEBRUARY</v>
      </c>
      <c r="E900">
        <v>22</v>
      </c>
      <c r="F900" t="str" cm="1">
        <f t="array" ref="F900">_xlfn.SWITCH(Sheet5!C900,FALSE,"NO",TRUE,"YES")</f>
        <v>NO</v>
      </c>
      <c r="G900" t="str" cm="1">
        <f t="array" ref="G900">_xlfn.SWITCH(Sheet5!B900,0,"Sunday",1,"Monday",2,"Tuesday",3,"Wednesday",4,"Thursday",5,"Friday",6,"Saturday")</f>
        <v>Wednesday</v>
      </c>
      <c r="H900" t="str" cm="1">
        <f t="array" ref="H900">_xlfn.SWITCH(Sheet5!D900, 1, "Clear Sky", 2, "Mist", 3, "Dark Cloud",4,"Heavy Rainfall")</f>
        <v>Dark Cloud</v>
      </c>
      <c r="I900" s="26">
        <f>Sheet5!E900*41</f>
        <v>6.5600000000000005</v>
      </c>
      <c r="J900" s="27">
        <v>0.8</v>
      </c>
      <c r="K900">
        <v>0.16420000000000001</v>
      </c>
      <c r="L900">
        <v>4</v>
      </c>
      <c r="M900">
        <v>42</v>
      </c>
      <c r="N900">
        <v>46</v>
      </c>
    </row>
    <row r="901" spans="1:14" x14ac:dyDescent="0.3">
      <c r="A901">
        <v>900</v>
      </c>
      <c r="B901" s="21">
        <v>40583</v>
      </c>
      <c r="C901" s="25" t="s">
        <v>16</v>
      </c>
      <c r="D901" s="25" t="str" cm="1">
        <f t="array" ref="D901">_xlfn.SWITCH(Sheet5!A901,1,"JANUARY",2,"FEBRUARY")</f>
        <v>FEBRUARY</v>
      </c>
      <c r="E901">
        <v>23</v>
      </c>
      <c r="F901" t="str" cm="1">
        <f t="array" ref="F901">_xlfn.SWITCH(Sheet5!C901,FALSE,"NO",TRUE,"YES")</f>
        <v>NO</v>
      </c>
      <c r="G901" t="str" cm="1">
        <f t="array" ref="G901">_xlfn.SWITCH(Sheet5!B901,0,"Sunday",1,"Monday",2,"Tuesday",3,"Wednesday",4,"Thursday",5,"Friday",6,"Saturday")</f>
        <v>Wednesday</v>
      </c>
      <c r="H901" t="str" cm="1">
        <f t="array" ref="H901">_xlfn.SWITCH(Sheet5!D901, 1, "Clear Sky", 2, "Mist", 3, "Dark Cloud",4,"Heavy Rainfall")</f>
        <v>Dark Cloud</v>
      </c>
      <c r="I901" s="26">
        <f>Sheet5!E901*41</f>
        <v>6.5600000000000005</v>
      </c>
      <c r="J901" s="27">
        <v>0.8</v>
      </c>
      <c r="K901">
        <v>0.19400000000000001</v>
      </c>
      <c r="L901">
        <v>0</v>
      </c>
      <c r="M901">
        <v>37</v>
      </c>
      <c r="N901">
        <v>37</v>
      </c>
    </row>
    <row r="902" spans="1:14" x14ac:dyDescent="0.3">
      <c r="A902">
        <v>901</v>
      </c>
      <c r="B902" s="21">
        <v>40584</v>
      </c>
      <c r="C902" s="25" t="s">
        <v>16</v>
      </c>
      <c r="D902" s="25" t="str" cm="1">
        <f t="array" ref="D902">_xlfn.SWITCH(Sheet5!A902,1,"JANUARY",2,"FEBRUARY")</f>
        <v>FEBRUARY</v>
      </c>
      <c r="E902">
        <v>0</v>
      </c>
      <c r="F902" t="str" cm="1">
        <f t="array" ref="F902">_xlfn.SWITCH(Sheet5!C902,FALSE,"NO",TRUE,"YES")</f>
        <v>NO</v>
      </c>
      <c r="G902" t="str" cm="1">
        <f t="array" ref="G902">_xlfn.SWITCH(Sheet5!B902,0,"Sunday",1,"Monday",2,"Tuesday",3,"Wednesday",4,"Thursday",5,"Friday",6,"Saturday")</f>
        <v>Thursday</v>
      </c>
      <c r="H902" t="str" cm="1">
        <f t="array" ref="H902">_xlfn.SWITCH(Sheet5!D902, 1, "Clear Sky", 2, "Mist", 3, "Dark Cloud",4,"Heavy Rainfall")</f>
        <v>Dark Cloud</v>
      </c>
      <c r="I902" s="26">
        <f>Sheet5!E902*41</f>
        <v>5.74</v>
      </c>
      <c r="J902" s="27">
        <v>0.86</v>
      </c>
      <c r="K902">
        <v>0.19400000000000001</v>
      </c>
      <c r="L902">
        <v>0</v>
      </c>
      <c r="M902">
        <v>16</v>
      </c>
      <c r="N902">
        <v>16</v>
      </c>
    </row>
    <row r="903" spans="1:14" x14ac:dyDescent="0.3">
      <c r="A903">
        <v>902</v>
      </c>
      <c r="B903" s="21">
        <v>40584</v>
      </c>
      <c r="C903" s="25" t="s">
        <v>16</v>
      </c>
      <c r="D903" s="25" t="str" cm="1">
        <f t="array" ref="D903">_xlfn.SWITCH(Sheet5!A903,1,"JANUARY",2,"FEBRUARY")</f>
        <v>FEBRUARY</v>
      </c>
      <c r="E903">
        <v>1</v>
      </c>
      <c r="F903" t="str" cm="1">
        <f t="array" ref="F903">_xlfn.SWITCH(Sheet5!C903,FALSE,"NO",TRUE,"YES")</f>
        <v>NO</v>
      </c>
      <c r="G903" t="str" cm="1">
        <f t="array" ref="G903">_xlfn.SWITCH(Sheet5!B903,0,"Sunday",1,"Monday",2,"Tuesday",3,"Wednesday",4,"Thursday",5,"Friday",6,"Saturday")</f>
        <v>Thursday</v>
      </c>
      <c r="H903" t="str" cm="1">
        <f t="array" ref="H903">_xlfn.SWITCH(Sheet5!D903, 1, "Clear Sky", 2, "Mist", 3, "Dark Cloud",4,"Heavy Rainfall")</f>
        <v>Dark Cloud</v>
      </c>
      <c r="I903" s="26">
        <f>Sheet5!E903*41</f>
        <v>5.74</v>
      </c>
      <c r="J903" s="27">
        <v>0.8</v>
      </c>
      <c r="K903">
        <v>0.1343</v>
      </c>
      <c r="L903">
        <v>0</v>
      </c>
      <c r="M903">
        <v>7</v>
      </c>
      <c r="N903">
        <v>7</v>
      </c>
    </row>
    <row r="904" spans="1:14" x14ac:dyDescent="0.3">
      <c r="A904">
        <v>903</v>
      </c>
      <c r="B904" s="21">
        <v>40584</v>
      </c>
      <c r="C904" s="25" t="s">
        <v>16</v>
      </c>
      <c r="D904" s="25" t="str" cm="1">
        <f t="array" ref="D904">_xlfn.SWITCH(Sheet5!A904,1,"JANUARY",2,"FEBRUARY")</f>
        <v>FEBRUARY</v>
      </c>
      <c r="E904">
        <v>2</v>
      </c>
      <c r="F904" t="str" cm="1">
        <f t="array" ref="F904">_xlfn.SWITCH(Sheet5!C904,FALSE,"NO",TRUE,"YES")</f>
        <v>NO</v>
      </c>
      <c r="G904" t="str" cm="1">
        <f t="array" ref="G904">_xlfn.SWITCH(Sheet5!B904,0,"Sunday",1,"Monday",2,"Tuesday",3,"Wednesday",4,"Thursday",5,"Friday",6,"Saturday")</f>
        <v>Thursday</v>
      </c>
      <c r="H904" t="str" cm="1">
        <f t="array" ref="H904">_xlfn.SWITCH(Sheet5!D904, 1, "Clear Sky", 2, "Mist", 3, "Dark Cloud",4,"Heavy Rainfall")</f>
        <v>Dark Cloud</v>
      </c>
      <c r="I904" s="26">
        <f>Sheet5!E904*41</f>
        <v>5.74</v>
      </c>
      <c r="J904" s="27">
        <v>0.8</v>
      </c>
      <c r="K904">
        <v>0.1343</v>
      </c>
      <c r="L904">
        <v>0</v>
      </c>
      <c r="M904">
        <v>3</v>
      </c>
      <c r="N904">
        <v>3</v>
      </c>
    </row>
    <row r="905" spans="1:14" x14ac:dyDescent="0.3">
      <c r="A905">
        <v>904</v>
      </c>
      <c r="B905" s="21">
        <v>40584</v>
      </c>
      <c r="C905" s="25" t="s">
        <v>16</v>
      </c>
      <c r="D905" s="25" t="str" cm="1">
        <f t="array" ref="D905">_xlfn.SWITCH(Sheet5!A905,1,"JANUARY",2,"FEBRUARY")</f>
        <v>FEBRUARY</v>
      </c>
      <c r="E905">
        <v>4</v>
      </c>
      <c r="F905" t="str" cm="1">
        <f t="array" ref="F905">_xlfn.SWITCH(Sheet5!C905,FALSE,"NO",TRUE,"YES")</f>
        <v>NO</v>
      </c>
      <c r="G905" t="str" cm="1">
        <f t="array" ref="G905">_xlfn.SWITCH(Sheet5!B905,0,"Sunday",1,"Monday",2,"Tuesday",3,"Wednesday",4,"Thursday",5,"Friday",6,"Saturday")</f>
        <v>Thursday</v>
      </c>
      <c r="H905" t="str" cm="1">
        <f t="array" ref="H905">_xlfn.SWITCH(Sheet5!D905, 1, "Clear Sky", 2, "Mist", 3, "Dark Cloud",4,"Heavy Rainfall")</f>
        <v>Mist</v>
      </c>
      <c r="I905" s="26">
        <f>Sheet5!E905*41</f>
        <v>5.74</v>
      </c>
      <c r="J905" s="27">
        <v>0.59</v>
      </c>
      <c r="K905">
        <v>0.22389999999999999</v>
      </c>
      <c r="L905">
        <v>0</v>
      </c>
      <c r="M905">
        <v>1</v>
      </c>
      <c r="N905">
        <v>1</v>
      </c>
    </row>
    <row r="906" spans="1:14" x14ac:dyDescent="0.3">
      <c r="A906">
        <v>905</v>
      </c>
      <c r="B906" s="21">
        <v>40584</v>
      </c>
      <c r="C906" s="25" t="s">
        <v>16</v>
      </c>
      <c r="D906" s="25" t="str" cm="1">
        <f t="array" ref="D906">_xlfn.SWITCH(Sheet5!A906,1,"JANUARY",2,"FEBRUARY")</f>
        <v>FEBRUARY</v>
      </c>
      <c r="E906">
        <v>5</v>
      </c>
      <c r="F906" t="str" cm="1">
        <f t="array" ref="F906">_xlfn.SWITCH(Sheet5!C906,FALSE,"NO",TRUE,"YES")</f>
        <v>NO</v>
      </c>
      <c r="G906" t="str" cm="1">
        <f t="array" ref="G906">_xlfn.SWITCH(Sheet5!B906,0,"Sunday",1,"Monday",2,"Tuesday",3,"Wednesday",4,"Thursday",5,"Friday",6,"Saturday")</f>
        <v>Thursday</v>
      </c>
      <c r="H906" t="str" cm="1">
        <f t="array" ref="H906">_xlfn.SWITCH(Sheet5!D906, 1, "Clear Sky", 2, "Mist", 3, "Dark Cloud",4,"Heavy Rainfall")</f>
        <v>Mist</v>
      </c>
      <c r="I906" s="26">
        <f>Sheet5!E906*41</f>
        <v>4.92</v>
      </c>
      <c r="J906" s="27">
        <v>0.5</v>
      </c>
      <c r="K906">
        <v>0.22389999999999999</v>
      </c>
      <c r="L906">
        <v>0</v>
      </c>
      <c r="M906">
        <v>6</v>
      </c>
      <c r="N906">
        <v>6</v>
      </c>
    </row>
    <row r="907" spans="1:14" x14ac:dyDescent="0.3">
      <c r="A907">
        <v>906</v>
      </c>
      <c r="B907" s="21">
        <v>40584</v>
      </c>
      <c r="C907" s="25" t="s">
        <v>16</v>
      </c>
      <c r="D907" s="25" t="str" cm="1">
        <f t="array" ref="D907">_xlfn.SWITCH(Sheet5!A907,1,"JANUARY",2,"FEBRUARY")</f>
        <v>FEBRUARY</v>
      </c>
      <c r="E907">
        <v>6</v>
      </c>
      <c r="F907" t="str" cm="1">
        <f t="array" ref="F907">_xlfn.SWITCH(Sheet5!C907,FALSE,"NO",TRUE,"YES")</f>
        <v>NO</v>
      </c>
      <c r="G907" t="str" cm="1">
        <f t="array" ref="G907">_xlfn.SWITCH(Sheet5!B907,0,"Sunday",1,"Monday",2,"Tuesday",3,"Wednesday",4,"Thursday",5,"Friday",6,"Saturday")</f>
        <v>Thursday</v>
      </c>
      <c r="H907" t="str" cm="1">
        <f t="array" ref="H907">_xlfn.SWITCH(Sheet5!D907, 1, "Clear Sky", 2, "Mist", 3, "Dark Cloud",4,"Heavy Rainfall")</f>
        <v>Mist</v>
      </c>
      <c r="I907" s="26">
        <f>Sheet5!E907*41</f>
        <v>4.92</v>
      </c>
      <c r="J907" s="27">
        <v>0.54</v>
      </c>
      <c r="K907">
        <v>0.28360000000000002</v>
      </c>
      <c r="L907">
        <v>0</v>
      </c>
      <c r="M907">
        <v>26</v>
      </c>
      <c r="N907">
        <v>26</v>
      </c>
    </row>
    <row r="908" spans="1:14" x14ac:dyDescent="0.3">
      <c r="A908">
        <v>907</v>
      </c>
      <c r="B908" s="21">
        <v>40584</v>
      </c>
      <c r="C908" s="25" t="s">
        <v>16</v>
      </c>
      <c r="D908" s="25" t="str" cm="1">
        <f t="array" ref="D908">_xlfn.SWITCH(Sheet5!A908,1,"JANUARY",2,"FEBRUARY")</f>
        <v>FEBRUARY</v>
      </c>
      <c r="E908">
        <v>7</v>
      </c>
      <c r="F908" t="str" cm="1">
        <f t="array" ref="F908">_xlfn.SWITCH(Sheet5!C908,FALSE,"NO",TRUE,"YES")</f>
        <v>NO</v>
      </c>
      <c r="G908" t="str" cm="1">
        <f t="array" ref="G908">_xlfn.SWITCH(Sheet5!B908,0,"Sunday",1,"Monday",2,"Tuesday",3,"Wednesday",4,"Thursday",5,"Friday",6,"Saturday")</f>
        <v>Thursday</v>
      </c>
      <c r="H908" t="str" cm="1">
        <f t="array" ref="H908">_xlfn.SWITCH(Sheet5!D908, 1, "Clear Sky", 2, "Mist", 3, "Dark Cloud",4,"Heavy Rainfall")</f>
        <v>Clear Sky</v>
      </c>
      <c r="I908" s="26">
        <f>Sheet5!E908*41</f>
        <v>4.1000000000000005</v>
      </c>
      <c r="J908" s="27">
        <v>0.5</v>
      </c>
      <c r="K908">
        <v>0.41789999999999999</v>
      </c>
      <c r="L908">
        <v>0</v>
      </c>
      <c r="M908">
        <v>99</v>
      </c>
      <c r="N908">
        <v>99</v>
      </c>
    </row>
    <row r="909" spans="1:14" x14ac:dyDescent="0.3">
      <c r="A909">
        <v>908</v>
      </c>
      <c r="B909" s="21">
        <v>40584</v>
      </c>
      <c r="C909" s="25" t="s">
        <v>16</v>
      </c>
      <c r="D909" s="25" t="str" cm="1">
        <f t="array" ref="D909">_xlfn.SWITCH(Sheet5!A909,1,"JANUARY",2,"FEBRUARY")</f>
        <v>FEBRUARY</v>
      </c>
      <c r="E909">
        <v>8</v>
      </c>
      <c r="F909" t="str" cm="1">
        <f t="array" ref="F909">_xlfn.SWITCH(Sheet5!C909,FALSE,"NO",TRUE,"YES")</f>
        <v>NO</v>
      </c>
      <c r="G909" t="str" cm="1">
        <f t="array" ref="G909">_xlfn.SWITCH(Sheet5!B909,0,"Sunday",1,"Monday",2,"Tuesday",3,"Wednesday",4,"Thursday",5,"Friday",6,"Saturday")</f>
        <v>Thursday</v>
      </c>
      <c r="H909" t="str" cm="1">
        <f t="array" ref="H909">_xlfn.SWITCH(Sheet5!D909, 1, "Clear Sky", 2, "Mist", 3, "Dark Cloud",4,"Heavy Rainfall")</f>
        <v>Clear Sky</v>
      </c>
      <c r="I909" s="26">
        <f>Sheet5!E909*41</f>
        <v>4.1000000000000005</v>
      </c>
      <c r="J909" s="27">
        <v>0.49</v>
      </c>
      <c r="K909">
        <v>0.32840000000000003</v>
      </c>
      <c r="L909">
        <v>5</v>
      </c>
      <c r="M909">
        <v>173</v>
      </c>
      <c r="N909">
        <v>178</v>
      </c>
    </row>
    <row r="910" spans="1:14" x14ac:dyDescent="0.3">
      <c r="A910">
        <v>909</v>
      </c>
      <c r="B910" s="21">
        <v>40584</v>
      </c>
      <c r="C910" s="25" t="s">
        <v>16</v>
      </c>
      <c r="D910" s="25" t="str" cm="1">
        <f t="array" ref="D910">_xlfn.SWITCH(Sheet5!A910,1,"JANUARY",2,"FEBRUARY")</f>
        <v>FEBRUARY</v>
      </c>
      <c r="E910">
        <v>9</v>
      </c>
      <c r="F910" t="str" cm="1">
        <f t="array" ref="F910">_xlfn.SWITCH(Sheet5!C910,FALSE,"NO",TRUE,"YES")</f>
        <v>NO</v>
      </c>
      <c r="G910" t="str" cm="1">
        <f t="array" ref="G910">_xlfn.SWITCH(Sheet5!B910,0,"Sunday",1,"Monday",2,"Tuesday",3,"Wednesday",4,"Thursday",5,"Friday",6,"Saturday")</f>
        <v>Thursday</v>
      </c>
      <c r="H910" t="str" cm="1">
        <f t="array" ref="H910">_xlfn.SWITCH(Sheet5!D910, 1, "Clear Sky", 2, "Mist", 3, "Dark Cloud",4,"Heavy Rainfall")</f>
        <v>Clear Sky</v>
      </c>
      <c r="I910" s="26">
        <f>Sheet5!E910*41</f>
        <v>4.92</v>
      </c>
      <c r="J910" s="27">
        <v>0.42</v>
      </c>
      <c r="K910">
        <v>0.35820000000000002</v>
      </c>
      <c r="L910">
        <v>1</v>
      </c>
      <c r="M910">
        <v>121</v>
      </c>
      <c r="N910">
        <v>122</v>
      </c>
    </row>
    <row r="911" spans="1:14" x14ac:dyDescent="0.3">
      <c r="A911">
        <v>910</v>
      </c>
      <c r="B911" s="21">
        <v>40584</v>
      </c>
      <c r="C911" s="25" t="s">
        <v>16</v>
      </c>
      <c r="D911" s="25" t="str" cm="1">
        <f t="array" ref="D911">_xlfn.SWITCH(Sheet5!A911,1,"JANUARY",2,"FEBRUARY")</f>
        <v>FEBRUARY</v>
      </c>
      <c r="E911">
        <v>10</v>
      </c>
      <c r="F911" t="str" cm="1">
        <f t="array" ref="F911">_xlfn.SWITCH(Sheet5!C911,FALSE,"NO",TRUE,"YES")</f>
        <v>NO</v>
      </c>
      <c r="G911" t="str" cm="1">
        <f t="array" ref="G911">_xlfn.SWITCH(Sheet5!B911,0,"Sunday",1,"Monday",2,"Tuesday",3,"Wednesday",4,"Thursday",5,"Friday",6,"Saturday")</f>
        <v>Thursday</v>
      </c>
      <c r="H911" t="str" cm="1">
        <f t="array" ref="H911">_xlfn.SWITCH(Sheet5!D911, 1, "Clear Sky", 2, "Mist", 3, "Dark Cloud",4,"Heavy Rainfall")</f>
        <v>Clear Sky</v>
      </c>
      <c r="I911" s="26">
        <f>Sheet5!E911*41</f>
        <v>4.92</v>
      </c>
      <c r="J911" s="27">
        <v>0.42</v>
      </c>
      <c r="K911">
        <v>0.29849999999999999</v>
      </c>
      <c r="L911">
        <v>1</v>
      </c>
      <c r="M911">
        <v>34</v>
      </c>
      <c r="N911">
        <v>35</v>
      </c>
    </row>
    <row r="912" spans="1:14" x14ac:dyDescent="0.3">
      <c r="A912">
        <v>911</v>
      </c>
      <c r="B912" s="21">
        <v>40584</v>
      </c>
      <c r="C912" s="25" t="s">
        <v>16</v>
      </c>
      <c r="D912" s="25" t="str" cm="1">
        <f t="array" ref="D912">_xlfn.SWITCH(Sheet5!A912,1,"JANUARY",2,"FEBRUARY")</f>
        <v>FEBRUARY</v>
      </c>
      <c r="E912">
        <v>11</v>
      </c>
      <c r="F912" t="str" cm="1">
        <f t="array" ref="F912">_xlfn.SWITCH(Sheet5!C912,FALSE,"NO",TRUE,"YES")</f>
        <v>NO</v>
      </c>
      <c r="G912" t="str" cm="1">
        <f t="array" ref="G912">_xlfn.SWITCH(Sheet5!B912,0,"Sunday",1,"Monday",2,"Tuesday",3,"Wednesday",4,"Thursday",5,"Friday",6,"Saturday")</f>
        <v>Thursday</v>
      </c>
      <c r="H912" t="str" cm="1">
        <f t="array" ref="H912">_xlfn.SWITCH(Sheet5!D912, 1, "Clear Sky", 2, "Mist", 3, "Dark Cloud",4,"Heavy Rainfall")</f>
        <v>Clear Sky</v>
      </c>
      <c r="I912" s="26">
        <f>Sheet5!E912*41</f>
        <v>5.74</v>
      </c>
      <c r="J912" s="27">
        <v>0.39</v>
      </c>
      <c r="K912">
        <v>0.35820000000000002</v>
      </c>
      <c r="L912">
        <v>1</v>
      </c>
      <c r="M912">
        <v>44</v>
      </c>
      <c r="N912">
        <v>45</v>
      </c>
    </row>
    <row r="913" spans="1:14" x14ac:dyDescent="0.3">
      <c r="A913">
        <v>912</v>
      </c>
      <c r="B913" s="21">
        <v>40584</v>
      </c>
      <c r="C913" s="25" t="s">
        <v>16</v>
      </c>
      <c r="D913" s="25" t="str" cm="1">
        <f t="array" ref="D913">_xlfn.SWITCH(Sheet5!A913,1,"JANUARY",2,"FEBRUARY")</f>
        <v>FEBRUARY</v>
      </c>
      <c r="E913">
        <v>12</v>
      </c>
      <c r="F913" t="str" cm="1">
        <f t="array" ref="F913">_xlfn.SWITCH(Sheet5!C913,FALSE,"NO",TRUE,"YES")</f>
        <v>NO</v>
      </c>
      <c r="G913" t="str" cm="1">
        <f t="array" ref="G913">_xlfn.SWITCH(Sheet5!B913,0,"Sunday",1,"Monday",2,"Tuesday",3,"Wednesday",4,"Thursday",5,"Friday",6,"Saturday")</f>
        <v>Thursday</v>
      </c>
      <c r="H913" t="str" cm="1">
        <f t="array" ref="H913">_xlfn.SWITCH(Sheet5!D913, 1, "Clear Sky", 2, "Mist", 3, "Dark Cloud",4,"Heavy Rainfall")</f>
        <v>Clear Sky</v>
      </c>
      <c r="I913" s="26">
        <f>Sheet5!E913*41</f>
        <v>6.5600000000000005</v>
      </c>
      <c r="J913" s="27">
        <v>0.34</v>
      </c>
      <c r="K913">
        <v>0.3881</v>
      </c>
      <c r="L913">
        <v>4</v>
      </c>
      <c r="M913">
        <v>65</v>
      </c>
      <c r="N913">
        <v>69</v>
      </c>
    </row>
    <row r="914" spans="1:14" x14ac:dyDescent="0.3">
      <c r="A914">
        <v>913</v>
      </c>
      <c r="B914" s="21">
        <v>40584</v>
      </c>
      <c r="C914" s="25" t="s">
        <v>16</v>
      </c>
      <c r="D914" s="25" t="str" cm="1">
        <f t="array" ref="D914">_xlfn.SWITCH(Sheet5!A914,1,"JANUARY",2,"FEBRUARY")</f>
        <v>FEBRUARY</v>
      </c>
      <c r="E914">
        <v>13</v>
      </c>
      <c r="F914" t="str" cm="1">
        <f t="array" ref="F914">_xlfn.SWITCH(Sheet5!C914,FALSE,"NO",TRUE,"YES")</f>
        <v>NO</v>
      </c>
      <c r="G914" t="str" cm="1">
        <f t="array" ref="G914">_xlfn.SWITCH(Sheet5!B914,0,"Sunday",1,"Monday",2,"Tuesday",3,"Wednesday",4,"Thursday",5,"Friday",6,"Saturday")</f>
        <v>Thursday</v>
      </c>
      <c r="H914" t="str" cm="1">
        <f t="array" ref="H914">_xlfn.SWITCH(Sheet5!D914, 1, "Clear Sky", 2, "Mist", 3, "Dark Cloud",4,"Heavy Rainfall")</f>
        <v>Clear Sky</v>
      </c>
      <c r="I914" s="26">
        <f>Sheet5!E914*41</f>
        <v>7.38</v>
      </c>
      <c r="J914" s="27">
        <v>0.28999999999999998</v>
      </c>
      <c r="K914">
        <v>0.29849999999999999</v>
      </c>
      <c r="L914">
        <v>3</v>
      </c>
      <c r="M914">
        <v>59</v>
      </c>
      <c r="N914">
        <v>62</v>
      </c>
    </row>
    <row r="915" spans="1:14" x14ac:dyDescent="0.3">
      <c r="A915">
        <v>914</v>
      </c>
      <c r="B915" s="21">
        <v>40584</v>
      </c>
      <c r="C915" s="25" t="s">
        <v>16</v>
      </c>
      <c r="D915" s="25" t="str" cm="1">
        <f t="array" ref="D915">_xlfn.SWITCH(Sheet5!A915,1,"JANUARY",2,"FEBRUARY")</f>
        <v>FEBRUARY</v>
      </c>
      <c r="E915">
        <v>14</v>
      </c>
      <c r="F915" t="str" cm="1">
        <f t="array" ref="F915">_xlfn.SWITCH(Sheet5!C915,FALSE,"NO",TRUE,"YES")</f>
        <v>NO</v>
      </c>
      <c r="G915" t="str" cm="1">
        <f t="array" ref="G915">_xlfn.SWITCH(Sheet5!B915,0,"Sunday",1,"Monday",2,"Tuesday",3,"Wednesday",4,"Thursday",5,"Friday",6,"Saturday")</f>
        <v>Thursday</v>
      </c>
      <c r="H915" t="str" cm="1">
        <f t="array" ref="H915">_xlfn.SWITCH(Sheet5!D915, 1, "Clear Sky", 2, "Mist", 3, "Dark Cloud",4,"Heavy Rainfall")</f>
        <v>Clear Sky</v>
      </c>
      <c r="I915" s="26">
        <f>Sheet5!E915*41</f>
        <v>8.2000000000000011</v>
      </c>
      <c r="J915" s="27">
        <v>0.27</v>
      </c>
      <c r="K915">
        <v>0.28360000000000002</v>
      </c>
      <c r="L915">
        <v>6</v>
      </c>
      <c r="M915">
        <v>42</v>
      </c>
      <c r="N915">
        <v>48</v>
      </c>
    </row>
    <row r="916" spans="1:14" x14ac:dyDescent="0.3">
      <c r="A916">
        <v>915</v>
      </c>
      <c r="B916" s="21">
        <v>40584</v>
      </c>
      <c r="C916" s="25" t="s">
        <v>16</v>
      </c>
      <c r="D916" s="25" t="str" cm="1">
        <f t="array" ref="D916">_xlfn.SWITCH(Sheet5!A916,1,"JANUARY",2,"FEBRUARY")</f>
        <v>FEBRUARY</v>
      </c>
      <c r="E916">
        <v>15</v>
      </c>
      <c r="F916" t="str" cm="1">
        <f t="array" ref="F916">_xlfn.SWITCH(Sheet5!C916,FALSE,"NO",TRUE,"YES")</f>
        <v>NO</v>
      </c>
      <c r="G916" t="str" cm="1">
        <f t="array" ref="G916">_xlfn.SWITCH(Sheet5!B916,0,"Sunday",1,"Monday",2,"Tuesday",3,"Wednesday",4,"Thursday",5,"Friday",6,"Saturday")</f>
        <v>Thursday</v>
      </c>
      <c r="H916" t="str" cm="1">
        <f t="array" ref="H916">_xlfn.SWITCH(Sheet5!D916, 1, "Clear Sky", 2, "Mist", 3, "Dark Cloud",4,"Heavy Rainfall")</f>
        <v>Clear Sky</v>
      </c>
      <c r="I916" s="26">
        <f>Sheet5!E916*41</f>
        <v>8.2000000000000011</v>
      </c>
      <c r="J916" s="27">
        <v>0.25</v>
      </c>
      <c r="K916">
        <v>0.25369999999999998</v>
      </c>
      <c r="L916">
        <v>0</v>
      </c>
      <c r="M916">
        <v>50</v>
      </c>
      <c r="N916">
        <v>50</v>
      </c>
    </row>
    <row r="917" spans="1:14" x14ac:dyDescent="0.3">
      <c r="A917">
        <v>916</v>
      </c>
      <c r="B917" s="21">
        <v>40584</v>
      </c>
      <c r="C917" s="25" t="s">
        <v>16</v>
      </c>
      <c r="D917" s="25" t="str" cm="1">
        <f t="array" ref="D917">_xlfn.SWITCH(Sheet5!A917,1,"JANUARY",2,"FEBRUARY")</f>
        <v>FEBRUARY</v>
      </c>
      <c r="E917">
        <v>16</v>
      </c>
      <c r="F917" t="str" cm="1">
        <f t="array" ref="F917">_xlfn.SWITCH(Sheet5!C917,FALSE,"NO",TRUE,"YES")</f>
        <v>NO</v>
      </c>
      <c r="G917" t="str" cm="1">
        <f t="array" ref="G917">_xlfn.SWITCH(Sheet5!B917,0,"Sunday",1,"Monday",2,"Tuesday",3,"Wednesday",4,"Thursday",5,"Friday",6,"Saturday")</f>
        <v>Thursday</v>
      </c>
      <c r="H917" t="str" cm="1">
        <f t="array" ref="H917">_xlfn.SWITCH(Sheet5!D917, 1, "Clear Sky", 2, "Mist", 3, "Dark Cloud",4,"Heavy Rainfall")</f>
        <v>Clear Sky</v>
      </c>
      <c r="I917" s="26">
        <f>Sheet5!E917*41</f>
        <v>8.2000000000000011</v>
      </c>
      <c r="J917" s="27">
        <v>0.27</v>
      </c>
      <c r="K917">
        <v>0.29849999999999999</v>
      </c>
      <c r="L917">
        <v>4</v>
      </c>
      <c r="M917">
        <v>76</v>
      </c>
      <c r="N917">
        <v>80</v>
      </c>
    </row>
    <row r="918" spans="1:14" x14ac:dyDescent="0.3">
      <c r="A918">
        <v>917</v>
      </c>
      <c r="B918" s="21">
        <v>40584</v>
      </c>
      <c r="C918" s="25" t="s">
        <v>16</v>
      </c>
      <c r="D918" s="25" t="str" cm="1">
        <f t="array" ref="D918">_xlfn.SWITCH(Sheet5!A918,1,"JANUARY",2,"FEBRUARY")</f>
        <v>FEBRUARY</v>
      </c>
      <c r="E918">
        <v>17</v>
      </c>
      <c r="F918" t="str" cm="1">
        <f t="array" ref="F918">_xlfn.SWITCH(Sheet5!C918,FALSE,"NO",TRUE,"YES")</f>
        <v>NO</v>
      </c>
      <c r="G918" t="str" cm="1">
        <f t="array" ref="G918">_xlfn.SWITCH(Sheet5!B918,0,"Sunday",1,"Monday",2,"Tuesday",3,"Wednesday",4,"Thursday",5,"Friday",6,"Saturday")</f>
        <v>Thursday</v>
      </c>
      <c r="H918" t="str" cm="1">
        <f t="array" ref="H918">_xlfn.SWITCH(Sheet5!D918, 1, "Clear Sky", 2, "Mist", 3, "Dark Cloud",4,"Heavy Rainfall")</f>
        <v>Clear Sky</v>
      </c>
      <c r="I918" s="26">
        <f>Sheet5!E918*41</f>
        <v>7.38</v>
      </c>
      <c r="J918" s="27">
        <v>0.26</v>
      </c>
      <c r="K918">
        <v>0.19400000000000001</v>
      </c>
      <c r="L918">
        <v>6</v>
      </c>
      <c r="M918">
        <v>159</v>
      </c>
      <c r="N918">
        <v>165</v>
      </c>
    </row>
    <row r="919" spans="1:14" x14ac:dyDescent="0.3">
      <c r="A919">
        <v>918</v>
      </c>
      <c r="B919" s="21">
        <v>40584</v>
      </c>
      <c r="C919" s="25" t="s">
        <v>16</v>
      </c>
      <c r="D919" s="25" t="str" cm="1">
        <f t="array" ref="D919">_xlfn.SWITCH(Sheet5!A919,1,"JANUARY",2,"FEBRUARY")</f>
        <v>FEBRUARY</v>
      </c>
      <c r="E919">
        <v>18</v>
      </c>
      <c r="F919" t="str" cm="1">
        <f t="array" ref="F919">_xlfn.SWITCH(Sheet5!C919,FALSE,"NO",TRUE,"YES")</f>
        <v>NO</v>
      </c>
      <c r="G919" t="str" cm="1">
        <f t="array" ref="G919">_xlfn.SWITCH(Sheet5!B919,0,"Sunday",1,"Monday",2,"Tuesday",3,"Wednesday",4,"Thursday",5,"Friday",6,"Saturday")</f>
        <v>Thursday</v>
      </c>
      <c r="H919" t="str" cm="1">
        <f t="array" ref="H919">_xlfn.SWITCH(Sheet5!D919, 1, "Clear Sky", 2, "Mist", 3, "Dark Cloud",4,"Heavy Rainfall")</f>
        <v>Clear Sky</v>
      </c>
      <c r="I919" s="26">
        <f>Sheet5!E919*41</f>
        <v>6.5600000000000005</v>
      </c>
      <c r="J919" s="27">
        <v>0.28000000000000003</v>
      </c>
      <c r="K919">
        <v>0.1343</v>
      </c>
      <c r="L919">
        <v>3</v>
      </c>
      <c r="M919">
        <v>157</v>
      </c>
      <c r="N919">
        <v>160</v>
      </c>
    </row>
    <row r="920" spans="1:14" x14ac:dyDescent="0.3">
      <c r="A920">
        <v>919</v>
      </c>
      <c r="B920" s="21">
        <v>40584</v>
      </c>
      <c r="C920" s="25" t="s">
        <v>16</v>
      </c>
      <c r="D920" s="25" t="str" cm="1">
        <f t="array" ref="D920">_xlfn.SWITCH(Sheet5!A920,1,"JANUARY",2,"FEBRUARY")</f>
        <v>FEBRUARY</v>
      </c>
      <c r="E920">
        <v>19</v>
      </c>
      <c r="F920" t="str" cm="1">
        <f t="array" ref="F920">_xlfn.SWITCH(Sheet5!C920,FALSE,"NO",TRUE,"YES")</f>
        <v>NO</v>
      </c>
      <c r="G920" t="str" cm="1">
        <f t="array" ref="G920">_xlfn.SWITCH(Sheet5!B920,0,"Sunday",1,"Monday",2,"Tuesday",3,"Wednesday",4,"Thursday",5,"Friday",6,"Saturday")</f>
        <v>Thursday</v>
      </c>
      <c r="H920" t="str" cm="1">
        <f t="array" ref="H920">_xlfn.SWITCH(Sheet5!D920, 1, "Clear Sky", 2, "Mist", 3, "Dark Cloud",4,"Heavy Rainfall")</f>
        <v>Clear Sky</v>
      </c>
      <c r="I920" s="26">
        <f>Sheet5!E920*41</f>
        <v>5.74</v>
      </c>
      <c r="J920" s="27">
        <v>0.28000000000000003</v>
      </c>
      <c r="K920">
        <v>0.1045</v>
      </c>
      <c r="L920">
        <v>2</v>
      </c>
      <c r="M920">
        <v>110</v>
      </c>
      <c r="N920">
        <v>112</v>
      </c>
    </row>
    <row r="921" spans="1:14" x14ac:dyDescent="0.3">
      <c r="A921">
        <v>920</v>
      </c>
      <c r="B921" s="21">
        <v>40584</v>
      </c>
      <c r="C921" s="25" t="s">
        <v>16</v>
      </c>
      <c r="D921" s="25" t="str" cm="1">
        <f t="array" ref="D921">_xlfn.SWITCH(Sheet5!A921,1,"JANUARY",2,"FEBRUARY")</f>
        <v>FEBRUARY</v>
      </c>
      <c r="E921">
        <v>20</v>
      </c>
      <c r="F921" t="str" cm="1">
        <f t="array" ref="F921">_xlfn.SWITCH(Sheet5!C921,FALSE,"NO",TRUE,"YES")</f>
        <v>NO</v>
      </c>
      <c r="G921" t="str" cm="1">
        <f t="array" ref="G921">_xlfn.SWITCH(Sheet5!B921,0,"Sunday",1,"Monday",2,"Tuesday",3,"Wednesday",4,"Thursday",5,"Friday",6,"Saturday")</f>
        <v>Thursday</v>
      </c>
      <c r="H921" t="str" cm="1">
        <f t="array" ref="H921">_xlfn.SWITCH(Sheet5!D921, 1, "Clear Sky", 2, "Mist", 3, "Dark Cloud",4,"Heavy Rainfall")</f>
        <v>Clear Sky</v>
      </c>
      <c r="I921" s="26">
        <f>Sheet5!E921*41</f>
        <v>5.74</v>
      </c>
      <c r="J921" s="27">
        <v>0.31</v>
      </c>
      <c r="K921">
        <v>8.9599999999999999E-2</v>
      </c>
      <c r="L921">
        <v>4</v>
      </c>
      <c r="M921">
        <v>93</v>
      </c>
      <c r="N921">
        <v>97</v>
      </c>
    </row>
    <row r="922" spans="1:14" x14ac:dyDescent="0.3">
      <c r="A922">
        <v>921</v>
      </c>
      <c r="B922" s="21">
        <v>40584</v>
      </c>
      <c r="C922" s="25" t="s">
        <v>16</v>
      </c>
      <c r="D922" s="25" t="str" cm="1">
        <f t="array" ref="D922">_xlfn.SWITCH(Sheet5!A922,1,"JANUARY",2,"FEBRUARY")</f>
        <v>FEBRUARY</v>
      </c>
      <c r="E922">
        <v>21</v>
      </c>
      <c r="F922" t="str" cm="1">
        <f t="array" ref="F922">_xlfn.SWITCH(Sheet5!C922,FALSE,"NO",TRUE,"YES")</f>
        <v>NO</v>
      </c>
      <c r="G922" t="str" cm="1">
        <f t="array" ref="G922">_xlfn.SWITCH(Sheet5!B922,0,"Sunday",1,"Monday",2,"Tuesday",3,"Wednesday",4,"Thursday",5,"Friday",6,"Saturday")</f>
        <v>Thursday</v>
      </c>
      <c r="H922" t="str" cm="1">
        <f t="array" ref="H922">_xlfn.SWITCH(Sheet5!D922, 1, "Clear Sky", 2, "Mist", 3, "Dark Cloud",4,"Heavy Rainfall")</f>
        <v>Clear Sky</v>
      </c>
      <c r="I922" s="26">
        <f>Sheet5!E922*41</f>
        <v>5.74</v>
      </c>
      <c r="J922" s="27">
        <v>0.39</v>
      </c>
      <c r="K922">
        <v>0</v>
      </c>
      <c r="L922">
        <v>2</v>
      </c>
      <c r="M922">
        <v>70</v>
      </c>
      <c r="N922">
        <v>72</v>
      </c>
    </row>
    <row r="923" spans="1:14" x14ac:dyDescent="0.3">
      <c r="A923">
        <v>922</v>
      </c>
      <c r="B923" s="21">
        <v>40584</v>
      </c>
      <c r="C923" s="25" t="s">
        <v>16</v>
      </c>
      <c r="D923" s="25" t="str" cm="1">
        <f t="array" ref="D923">_xlfn.SWITCH(Sheet5!A923,1,"JANUARY",2,"FEBRUARY")</f>
        <v>FEBRUARY</v>
      </c>
      <c r="E923">
        <v>22</v>
      </c>
      <c r="F923" t="str" cm="1">
        <f t="array" ref="F923">_xlfn.SWITCH(Sheet5!C923,FALSE,"NO",TRUE,"YES")</f>
        <v>NO</v>
      </c>
      <c r="G923" t="str" cm="1">
        <f t="array" ref="G923">_xlfn.SWITCH(Sheet5!B923,0,"Sunday",1,"Monday",2,"Tuesday",3,"Wednesday",4,"Thursday",5,"Friday",6,"Saturday")</f>
        <v>Thursday</v>
      </c>
      <c r="H923" t="str" cm="1">
        <f t="array" ref="H923">_xlfn.SWITCH(Sheet5!D923, 1, "Clear Sky", 2, "Mist", 3, "Dark Cloud",4,"Heavy Rainfall")</f>
        <v>Clear Sky</v>
      </c>
      <c r="I923" s="26">
        <f>Sheet5!E923*41</f>
        <v>4.92</v>
      </c>
      <c r="J923" s="27">
        <v>0.39</v>
      </c>
      <c r="K923">
        <v>0</v>
      </c>
      <c r="L923">
        <v>4</v>
      </c>
      <c r="M923">
        <v>47</v>
      </c>
      <c r="N923">
        <v>51</v>
      </c>
    </row>
    <row r="924" spans="1:14" x14ac:dyDescent="0.3">
      <c r="A924">
        <v>923</v>
      </c>
      <c r="B924" s="21">
        <v>40584</v>
      </c>
      <c r="C924" s="25" t="s">
        <v>16</v>
      </c>
      <c r="D924" s="25" t="str" cm="1">
        <f t="array" ref="D924">_xlfn.SWITCH(Sheet5!A924,1,"JANUARY",2,"FEBRUARY")</f>
        <v>FEBRUARY</v>
      </c>
      <c r="E924">
        <v>23</v>
      </c>
      <c r="F924" t="str" cm="1">
        <f t="array" ref="F924">_xlfn.SWITCH(Sheet5!C924,FALSE,"NO",TRUE,"YES")</f>
        <v>NO</v>
      </c>
      <c r="G924" t="str" cm="1">
        <f t="array" ref="G924">_xlfn.SWITCH(Sheet5!B924,0,"Sunday",1,"Monday",2,"Tuesday",3,"Wednesday",4,"Thursday",5,"Friday",6,"Saturday")</f>
        <v>Thursday</v>
      </c>
      <c r="H924" t="str" cm="1">
        <f t="array" ref="H924">_xlfn.SWITCH(Sheet5!D924, 1, "Clear Sky", 2, "Mist", 3, "Dark Cloud",4,"Heavy Rainfall")</f>
        <v>Clear Sky</v>
      </c>
      <c r="I924" s="26">
        <f>Sheet5!E924*41</f>
        <v>4.92</v>
      </c>
      <c r="J924" s="27">
        <v>0.42</v>
      </c>
      <c r="K924">
        <v>0.1045</v>
      </c>
      <c r="L924">
        <v>1</v>
      </c>
      <c r="M924">
        <v>33</v>
      </c>
      <c r="N924">
        <v>34</v>
      </c>
    </row>
    <row r="925" spans="1:14" x14ac:dyDescent="0.3">
      <c r="A925">
        <v>924</v>
      </c>
      <c r="B925" s="21">
        <v>40585</v>
      </c>
      <c r="C925" s="25" t="s">
        <v>16</v>
      </c>
      <c r="D925" s="25" t="str" cm="1">
        <f t="array" ref="D925">_xlfn.SWITCH(Sheet5!A925,1,"JANUARY",2,"FEBRUARY")</f>
        <v>FEBRUARY</v>
      </c>
      <c r="E925">
        <v>0</v>
      </c>
      <c r="F925" t="str" cm="1">
        <f t="array" ref="F925">_xlfn.SWITCH(Sheet5!C925,FALSE,"NO",TRUE,"YES")</f>
        <v>NO</v>
      </c>
      <c r="G925" t="str" cm="1">
        <f t="array" ref="G925">_xlfn.SWITCH(Sheet5!B925,0,"Sunday",1,"Monday",2,"Tuesday",3,"Wednesday",4,"Thursday",5,"Friday",6,"Saturday")</f>
        <v>Friday</v>
      </c>
      <c r="H925" t="str" cm="1">
        <f t="array" ref="H925">_xlfn.SWITCH(Sheet5!D925, 1, "Clear Sky", 2, "Mist", 3, "Dark Cloud",4,"Heavy Rainfall")</f>
        <v>Clear Sky</v>
      </c>
      <c r="I925" s="26">
        <f>Sheet5!E925*41</f>
        <v>4.1000000000000005</v>
      </c>
      <c r="J925" s="27">
        <v>0.49</v>
      </c>
      <c r="K925">
        <v>0.1045</v>
      </c>
      <c r="L925">
        <v>2</v>
      </c>
      <c r="M925">
        <v>12</v>
      </c>
      <c r="N925">
        <v>14</v>
      </c>
    </row>
    <row r="926" spans="1:14" x14ac:dyDescent="0.3">
      <c r="A926">
        <v>925</v>
      </c>
      <c r="B926" s="21">
        <v>40585</v>
      </c>
      <c r="C926" s="25" t="s">
        <v>16</v>
      </c>
      <c r="D926" s="25" t="str" cm="1">
        <f t="array" ref="D926">_xlfn.SWITCH(Sheet5!A926,1,"JANUARY",2,"FEBRUARY")</f>
        <v>FEBRUARY</v>
      </c>
      <c r="E926">
        <v>1</v>
      </c>
      <c r="F926" t="str" cm="1">
        <f t="array" ref="F926">_xlfn.SWITCH(Sheet5!C926,FALSE,"NO",TRUE,"YES")</f>
        <v>NO</v>
      </c>
      <c r="G926" t="str" cm="1">
        <f t="array" ref="G926">_xlfn.SWITCH(Sheet5!B926,0,"Sunday",1,"Monday",2,"Tuesday",3,"Wednesday",4,"Thursday",5,"Friday",6,"Saturday")</f>
        <v>Friday</v>
      </c>
      <c r="H926" t="str" cm="1">
        <f t="array" ref="H926">_xlfn.SWITCH(Sheet5!D926, 1, "Clear Sky", 2, "Mist", 3, "Dark Cloud",4,"Heavy Rainfall")</f>
        <v>Clear Sky</v>
      </c>
      <c r="I926" s="26">
        <f>Sheet5!E926*41</f>
        <v>4.1000000000000005</v>
      </c>
      <c r="J926" s="27">
        <v>0.54</v>
      </c>
      <c r="K926">
        <v>8.9599999999999999E-2</v>
      </c>
      <c r="L926">
        <v>1</v>
      </c>
      <c r="M926">
        <v>6</v>
      </c>
      <c r="N926">
        <v>7</v>
      </c>
    </row>
    <row r="927" spans="1:14" x14ac:dyDescent="0.3">
      <c r="A927">
        <v>926</v>
      </c>
      <c r="B927" s="21">
        <v>40585</v>
      </c>
      <c r="C927" s="25" t="s">
        <v>16</v>
      </c>
      <c r="D927" s="25" t="str" cm="1">
        <f t="array" ref="D927">_xlfn.SWITCH(Sheet5!A927,1,"JANUARY",2,"FEBRUARY")</f>
        <v>FEBRUARY</v>
      </c>
      <c r="E927">
        <v>2</v>
      </c>
      <c r="F927" t="str" cm="1">
        <f t="array" ref="F927">_xlfn.SWITCH(Sheet5!C927,FALSE,"NO",TRUE,"YES")</f>
        <v>NO</v>
      </c>
      <c r="G927" t="str" cm="1">
        <f t="array" ref="G927">_xlfn.SWITCH(Sheet5!B927,0,"Sunday",1,"Monday",2,"Tuesday",3,"Wednesday",4,"Thursday",5,"Friday",6,"Saturday")</f>
        <v>Friday</v>
      </c>
      <c r="H927" t="str" cm="1">
        <f t="array" ref="H927">_xlfn.SWITCH(Sheet5!D927, 1, "Clear Sky", 2, "Mist", 3, "Dark Cloud",4,"Heavy Rainfall")</f>
        <v>Clear Sky</v>
      </c>
      <c r="I927" s="26">
        <f>Sheet5!E927*41</f>
        <v>4.1000000000000005</v>
      </c>
      <c r="J927" s="27">
        <v>0.54</v>
      </c>
      <c r="K927">
        <v>8.9599999999999999E-2</v>
      </c>
      <c r="L927">
        <v>0</v>
      </c>
      <c r="M927">
        <v>3</v>
      </c>
      <c r="N927">
        <v>3</v>
      </c>
    </row>
    <row r="928" spans="1:14" x14ac:dyDescent="0.3">
      <c r="A928">
        <v>927</v>
      </c>
      <c r="B928" s="21">
        <v>40585</v>
      </c>
      <c r="C928" s="25" t="s">
        <v>16</v>
      </c>
      <c r="D928" s="25" t="str" cm="1">
        <f t="array" ref="D928">_xlfn.SWITCH(Sheet5!A928,1,"JANUARY",2,"FEBRUARY")</f>
        <v>FEBRUARY</v>
      </c>
      <c r="E928">
        <v>5</v>
      </c>
      <c r="F928" t="str" cm="1">
        <f t="array" ref="F928">_xlfn.SWITCH(Sheet5!C928,FALSE,"NO",TRUE,"YES")</f>
        <v>NO</v>
      </c>
      <c r="G928" t="str" cm="1">
        <f t="array" ref="G928">_xlfn.SWITCH(Sheet5!B928,0,"Sunday",1,"Monday",2,"Tuesday",3,"Wednesday",4,"Thursday",5,"Friday",6,"Saturday")</f>
        <v>Friday</v>
      </c>
      <c r="H928" t="str" cm="1">
        <f t="array" ref="H928">_xlfn.SWITCH(Sheet5!D928, 1, "Clear Sky", 2, "Mist", 3, "Dark Cloud",4,"Heavy Rainfall")</f>
        <v>Clear Sky</v>
      </c>
      <c r="I928" s="26">
        <f>Sheet5!E928*41</f>
        <v>3.2800000000000002</v>
      </c>
      <c r="J928" s="27">
        <v>0.63</v>
      </c>
      <c r="K928">
        <v>8.9599999999999999E-2</v>
      </c>
      <c r="L928">
        <v>0</v>
      </c>
      <c r="M928">
        <v>4</v>
      </c>
      <c r="N928">
        <v>4</v>
      </c>
    </row>
    <row r="929" spans="1:14" x14ac:dyDescent="0.3">
      <c r="A929">
        <v>928</v>
      </c>
      <c r="B929" s="21">
        <v>40585</v>
      </c>
      <c r="C929" s="25" t="s">
        <v>16</v>
      </c>
      <c r="D929" s="25" t="str" cm="1">
        <f t="array" ref="D929">_xlfn.SWITCH(Sheet5!A929,1,"JANUARY",2,"FEBRUARY")</f>
        <v>FEBRUARY</v>
      </c>
      <c r="E929">
        <v>6</v>
      </c>
      <c r="F929" t="str" cm="1">
        <f t="array" ref="F929">_xlfn.SWITCH(Sheet5!C929,FALSE,"NO",TRUE,"YES")</f>
        <v>NO</v>
      </c>
      <c r="G929" t="str" cm="1">
        <f t="array" ref="G929">_xlfn.SWITCH(Sheet5!B929,0,"Sunday",1,"Monday",2,"Tuesday",3,"Wednesday",4,"Thursday",5,"Friday",6,"Saturday")</f>
        <v>Friday</v>
      </c>
      <c r="H929" t="str" cm="1">
        <f t="array" ref="H929">_xlfn.SWITCH(Sheet5!D929, 1, "Clear Sky", 2, "Mist", 3, "Dark Cloud",4,"Heavy Rainfall")</f>
        <v>Clear Sky</v>
      </c>
      <c r="I929" s="26">
        <f>Sheet5!E929*41</f>
        <v>4.1000000000000005</v>
      </c>
      <c r="J929" s="27">
        <v>0.68</v>
      </c>
      <c r="K929">
        <v>0</v>
      </c>
      <c r="L929">
        <v>1</v>
      </c>
      <c r="M929">
        <v>23</v>
      </c>
      <c r="N929">
        <v>24</v>
      </c>
    </row>
    <row r="930" spans="1:14" x14ac:dyDescent="0.3">
      <c r="A930">
        <v>929</v>
      </c>
      <c r="B930" s="21">
        <v>40585</v>
      </c>
      <c r="C930" s="25" t="s">
        <v>16</v>
      </c>
      <c r="D930" s="25" t="str" cm="1">
        <f t="array" ref="D930">_xlfn.SWITCH(Sheet5!A930,1,"JANUARY",2,"FEBRUARY")</f>
        <v>FEBRUARY</v>
      </c>
      <c r="E930">
        <v>7</v>
      </c>
      <c r="F930" t="str" cm="1">
        <f t="array" ref="F930">_xlfn.SWITCH(Sheet5!C930,FALSE,"NO",TRUE,"YES")</f>
        <v>NO</v>
      </c>
      <c r="G930" t="str" cm="1">
        <f t="array" ref="G930">_xlfn.SWITCH(Sheet5!B930,0,"Sunday",1,"Monday",2,"Tuesday",3,"Wednesday",4,"Thursday",5,"Friday",6,"Saturday")</f>
        <v>Friday</v>
      </c>
      <c r="H930" t="str" cm="1">
        <f t="array" ref="H930">_xlfn.SWITCH(Sheet5!D930, 1, "Clear Sky", 2, "Mist", 3, "Dark Cloud",4,"Heavy Rainfall")</f>
        <v>Clear Sky</v>
      </c>
      <c r="I930" s="26">
        <f>Sheet5!E930*41</f>
        <v>3.2800000000000002</v>
      </c>
      <c r="J930" s="27">
        <v>0.73</v>
      </c>
      <c r="K930">
        <v>0</v>
      </c>
      <c r="L930">
        <v>1</v>
      </c>
      <c r="M930">
        <v>73</v>
      </c>
      <c r="N930">
        <v>74</v>
      </c>
    </row>
    <row r="931" spans="1:14" x14ac:dyDescent="0.3">
      <c r="A931">
        <v>930</v>
      </c>
      <c r="B931" s="21">
        <v>40585</v>
      </c>
      <c r="C931" s="25" t="s">
        <v>16</v>
      </c>
      <c r="D931" s="25" t="str" cm="1">
        <f t="array" ref="D931">_xlfn.SWITCH(Sheet5!A931,1,"JANUARY",2,"FEBRUARY")</f>
        <v>FEBRUARY</v>
      </c>
      <c r="E931">
        <v>8</v>
      </c>
      <c r="F931" t="str" cm="1">
        <f t="array" ref="F931">_xlfn.SWITCH(Sheet5!C931,FALSE,"NO",TRUE,"YES")</f>
        <v>NO</v>
      </c>
      <c r="G931" t="str" cm="1">
        <f t="array" ref="G931">_xlfn.SWITCH(Sheet5!B931,0,"Sunday",1,"Monday",2,"Tuesday",3,"Wednesday",4,"Thursday",5,"Friday",6,"Saturday")</f>
        <v>Friday</v>
      </c>
      <c r="H931" t="str" cm="1">
        <f t="array" ref="H931">_xlfn.SWITCH(Sheet5!D931, 1, "Clear Sky", 2, "Mist", 3, "Dark Cloud",4,"Heavy Rainfall")</f>
        <v>Clear Sky</v>
      </c>
      <c r="I931" s="26">
        <f>Sheet5!E931*41</f>
        <v>4.1000000000000005</v>
      </c>
      <c r="J931" s="27">
        <v>0.74</v>
      </c>
      <c r="K931">
        <v>0.16420000000000001</v>
      </c>
      <c r="L931">
        <v>4</v>
      </c>
      <c r="M931">
        <v>212</v>
      </c>
      <c r="N931">
        <v>216</v>
      </c>
    </row>
    <row r="932" spans="1:14" x14ac:dyDescent="0.3">
      <c r="A932">
        <v>931</v>
      </c>
      <c r="B932" s="21">
        <v>40585</v>
      </c>
      <c r="C932" s="25" t="s">
        <v>16</v>
      </c>
      <c r="D932" s="25" t="str" cm="1">
        <f t="array" ref="D932">_xlfn.SWITCH(Sheet5!A932,1,"JANUARY",2,"FEBRUARY")</f>
        <v>FEBRUARY</v>
      </c>
      <c r="E932">
        <v>9</v>
      </c>
      <c r="F932" t="str" cm="1">
        <f t="array" ref="F932">_xlfn.SWITCH(Sheet5!C932,FALSE,"NO",TRUE,"YES")</f>
        <v>NO</v>
      </c>
      <c r="G932" t="str" cm="1">
        <f t="array" ref="G932">_xlfn.SWITCH(Sheet5!B932,0,"Sunday",1,"Monday",2,"Tuesday",3,"Wednesday",4,"Thursday",5,"Friday",6,"Saturday")</f>
        <v>Friday</v>
      </c>
      <c r="H932" t="str" cm="1">
        <f t="array" ref="H932">_xlfn.SWITCH(Sheet5!D932, 1, "Clear Sky", 2, "Mist", 3, "Dark Cloud",4,"Heavy Rainfall")</f>
        <v>Clear Sky</v>
      </c>
      <c r="I932" s="26">
        <f>Sheet5!E932*41</f>
        <v>4.92</v>
      </c>
      <c r="J932" s="27">
        <v>0.74</v>
      </c>
      <c r="K932">
        <v>0.22389999999999999</v>
      </c>
      <c r="L932">
        <v>8</v>
      </c>
      <c r="M932">
        <v>132</v>
      </c>
      <c r="N932">
        <v>140</v>
      </c>
    </row>
    <row r="933" spans="1:14" x14ac:dyDescent="0.3">
      <c r="A933">
        <v>932</v>
      </c>
      <c r="B933" s="21">
        <v>40585</v>
      </c>
      <c r="C933" s="25" t="s">
        <v>16</v>
      </c>
      <c r="D933" s="25" t="str" cm="1">
        <f t="array" ref="D933">_xlfn.SWITCH(Sheet5!A933,1,"JANUARY",2,"FEBRUARY")</f>
        <v>FEBRUARY</v>
      </c>
      <c r="E933">
        <v>10</v>
      </c>
      <c r="F933" t="str" cm="1">
        <f t="array" ref="F933">_xlfn.SWITCH(Sheet5!C933,FALSE,"NO",TRUE,"YES")</f>
        <v>NO</v>
      </c>
      <c r="G933" t="str" cm="1">
        <f t="array" ref="G933">_xlfn.SWITCH(Sheet5!B933,0,"Sunday",1,"Monday",2,"Tuesday",3,"Wednesday",4,"Thursday",5,"Friday",6,"Saturday")</f>
        <v>Friday</v>
      </c>
      <c r="H933" t="str" cm="1">
        <f t="array" ref="H933">_xlfn.SWITCH(Sheet5!D933, 1, "Clear Sky", 2, "Mist", 3, "Dark Cloud",4,"Heavy Rainfall")</f>
        <v>Clear Sky</v>
      </c>
      <c r="I933" s="26">
        <f>Sheet5!E933*41</f>
        <v>5.74</v>
      </c>
      <c r="J933" s="27">
        <v>0.69</v>
      </c>
      <c r="K933">
        <v>0.19400000000000001</v>
      </c>
      <c r="L933">
        <v>5</v>
      </c>
      <c r="M933">
        <v>39</v>
      </c>
      <c r="N933">
        <v>44</v>
      </c>
    </row>
    <row r="934" spans="1:14" x14ac:dyDescent="0.3">
      <c r="A934">
        <v>933</v>
      </c>
      <c r="B934" s="21">
        <v>40585</v>
      </c>
      <c r="C934" s="25" t="s">
        <v>16</v>
      </c>
      <c r="D934" s="25" t="str" cm="1">
        <f t="array" ref="D934">_xlfn.SWITCH(Sheet5!A934,1,"JANUARY",2,"FEBRUARY")</f>
        <v>FEBRUARY</v>
      </c>
      <c r="E934">
        <v>11</v>
      </c>
      <c r="F934" t="str" cm="1">
        <f t="array" ref="F934">_xlfn.SWITCH(Sheet5!C934,FALSE,"NO",TRUE,"YES")</f>
        <v>NO</v>
      </c>
      <c r="G934" t="str" cm="1">
        <f t="array" ref="G934">_xlfn.SWITCH(Sheet5!B934,0,"Sunday",1,"Monday",2,"Tuesday",3,"Wednesday",4,"Thursday",5,"Friday",6,"Saturday")</f>
        <v>Friday</v>
      </c>
      <c r="H934" t="str" cm="1">
        <f t="array" ref="H934">_xlfn.SWITCH(Sheet5!D934, 1, "Clear Sky", 2, "Mist", 3, "Dark Cloud",4,"Heavy Rainfall")</f>
        <v>Clear Sky</v>
      </c>
      <c r="I934" s="26">
        <f>Sheet5!E934*41</f>
        <v>9.02</v>
      </c>
      <c r="J934" s="27">
        <v>0.47</v>
      </c>
      <c r="K934">
        <v>0.1343</v>
      </c>
      <c r="L934">
        <v>12</v>
      </c>
      <c r="M934">
        <v>52</v>
      </c>
      <c r="N934">
        <v>64</v>
      </c>
    </row>
    <row r="935" spans="1:14" x14ac:dyDescent="0.3">
      <c r="A935">
        <v>934</v>
      </c>
      <c r="B935" s="21">
        <v>40585</v>
      </c>
      <c r="C935" s="25" t="s">
        <v>16</v>
      </c>
      <c r="D935" s="25" t="str" cm="1">
        <f t="array" ref="D935">_xlfn.SWITCH(Sheet5!A935,1,"JANUARY",2,"FEBRUARY")</f>
        <v>FEBRUARY</v>
      </c>
      <c r="E935">
        <v>12</v>
      </c>
      <c r="F935" t="str" cm="1">
        <f t="array" ref="F935">_xlfn.SWITCH(Sheet5!C935,FALSE,"NO",TRUE,"YES")</f>
        <v>NO</v>
      </c>
      <c r="G935" t="str" cm="1">
        <f t="array" ref="G935">_xlfn.SWITCH(Sheet5!B935,0,"Sunday",1,"Monday",2,"Tuesday",3,"Wednesday",4,"Thursday",5,"Friday",6,"Saturday")</f>
        <v>Friday</v>
      </c>
      <c r="H935" t="str" cm="1">
        <f t="array" ref="H935">_xlfn.SWITCH(Sheet5!D935, 1, "Clear Sky", 2, "Mist", 3, "Dark Cloud",4,"Heavy Rainfall")</f>
        <v>Clear Sky</v>
      </c>
      <c r="I935" s="26">
        <f>Sheet5!E935*41</f>
        <v>9.02</v>
      </c>
      <c r="J935" s="27">
        <v>0.47</v>
      </c>
      <c r="K935">
        <v>0.1343</v>
      </c>
      <c r="L935">
        <v>7</v>
      </c>
      <c r="M935">
        <v>64</v>
      </c>
      <c r="N935">
        <v>71</v>
      </c>
    </row>
    <row r="936" spans="1:14" x14ac:dyDescent="0.3">
      <c r="A936">
        <v>935</v>
      </c>
      <c r="B936" s="21">
        <v>40585</v>
      </c>
      <c r="C936" s="25" t="s">
        <v>16</v>
      </c>
      <c r="D936" s="25" t="str" cm="1">
        <f t="array" ref="D936">_xlfn.SWITCH(Sheet5!A936,1,"JANUARY",2,"FEBRUARY")</f>
        <v>FEBRUARY</v>
      </c>
      <c r="E936">
        <v>13</v>
      </c>
      <c r="F936" t="str" cm="1">
        <f t="array" ref="F936">_xlfn.SWITCH(Sheet5!C936,FALSE,"NO",TRUE,"YES")</f>
        <v>NO</v>
      </c>
      <c r="G936" t="str" cm="1">
        <f t="array" ref="G936">_xlfn.SWITCH(Sheet5!B936,0,"Sunday",1,"Monday",2,"Tuesday",3,"Wednesday",4,"Thursday",5,"Friday",6,"Saturday")</f>
        <v>Friday</v>
      </c>
      <c r="H936" t="str" cm="1">
        <f t="array" ref="H936">_xlfn.SWITCH(Sheet5!D936, 1, "Clear Sky", 2, "Mist", 3, "Dark Cloud",4,"Heavy Rainfall")</f>
        <v>Clear Sky</v>
      </c>
      <c r="I936" s="26">
        <f>Sheet5!E936*41</f>
        <v>9.84</v>
      </c>
      <c r="J936" s="27">
        <v>0.35</v>
      </c>
      <c r="K936">
        <v>0.19400000000000001</v>
      </c>
      <c r="L936">
        <v>21</v>
      </c>
      <c r="M936">
        <v>89</v>
      </c>
      <c r="N936">
        <v>110</v>
      </c>
    </row>
    <row r="937" spans="1:14" x14ac:dyDescent="0.3">
      <c r="A937">
        <v>936</v>
      </c>
      <c r="B937" s="21">
        <v>40585</v>
      </c>
      <c r="C937" s="25" t="s">
        <v>16</v>
      </c>
      <c r="D937" s="25" t="str" cm="1">
        <f t="array" ref="D937">_xlfn.SWITCH(Sheet5!A937,1,"JANUARY",2,"FEBRUARY")</f>
        <v>FEBRUARY</v>
      </c>
      <c r="E937">
        <v>14</v>
      </c>
      <c r="F937" t="str" cm="1">
        <f t="array" ref="F937">_xlfn.SWITCH(Sheet5!C937,FALSE,"NO",TRUE,"YES")</f>
        <v>NO</v>
      </c>
      <c r="G937" t="str" cm="1">
        <f t="array" ref="G937">_xlfn.SWITCH(Sheet5!B937,0,"Sunday",1,"Monday",2,"Tuesday",3,"Wednesday",4,"Thursday",5,"Friday",6,"Saturday")</f>
        <v>Friday</v>
      </c>
      <c r="H937" t="str" cm="1">
        <f t="array" ref="H937">_xlfn.SWITCH(Sheet5!D937, 1, "Clear Sky", 2, "Mist", 3, "Dark Cloud",4,"Heavy Rainfall")</f>
        <v>Clear Sky</v>
      </c>
      <c r="I937" s="26">
        <f>Sheet5!E937*41</f>
        <v>12.299999999999999</v>
      </c>
      <c r="J937" s="27">
        <v>0.26</v>
      </c>
      <c r="K937">
        <v>0.25369999999999998</v>
      </c>
      <c r="L937">
        <v>17</v>
      </c>
      <c r="M937">
        <v>67</v>
      </c>
      <c r="N937">
        <v>84</v>
      </c>
    </row>
    <row r="938" spans="1:14" x14ac:dyDescent="0.3">
      <c r="A938">
        <v>937</v>
      </c>
      <c r="B938" s="21">
        <v>40585</v>
      </c>
      <c r="C938" s="25" t="s">
        <v>16</v>
      </c>
      <c r="D938" s="25" t="str" cm="1">
        <f t="array" ref="D938">_xlfn.SWITCH(Sheet5!A938,1,"JANUARY",2,"FEBRUARY")</f>
        <v>FEBRUARY</v>
      </c>
      <c r="E938">
        <v>15</v>
      </c>
      <c r="F938" t="str" cm="1">
        <f t="array" ref="F938">_xlfn.SWITCH(Sheet5!C938,FALSE,"NO",TRUE,"YES")</f>
        <v>NO</v>
      </c>
      <c r="G938" t="str" cm="1">
        <f t="array" ref="G938">_xlfn.SWITCH(Sheet5!B938,0,"Sunday",1,"Monday",2,"Tuesday",3,"Wednesday",4,"Thursday",5,"Friday",6,"Saturday")</f>
        <v>Friday</v>
      </c>
      <c r="H938" t="str" cm="1">
        <f t="array" ref="H938">_xlfn.SWITCH(Sheet5!D938, 1, "Clear Sky", 2, "Mist", 3, "Dark Cloud",4,"Heavy Rainfall")</f>
        <v>Clear Sky</v>
      </c>
      <c r="I938" s="26">
        <f>Sheet5!E938*41</f>
        <v>13.120000000000001</v>
      </c>
      <c r="J938" s="27">
        <v>0.21</v>
      </c>
      <c r="K938">
        <v>0.16420000000000001</v>
      </c>
      <c r="L938">
        <v>12</v>
      </c>
      <c r="M938">
        <v>62</v>
      </c>
      <c r="N938">
        <v>74</v>
      </c>
    </row>
    <row r="939" spans="1:14" x14ac:dyDescent="0.3">
      <c r="A939">
        <v>938</v>
      </c>
      <c r="B939" s="21">
        <v>40585</v>
      </c>
      <c r="C939" s="25" t="s">
        <v>16</v>
      </c>
      <c r="D939" s="25" t="str" cm="1">
        <f t="array" ref="D939">_xlfn.SWITCH(Sheet5!A939,1,"JANUARY",2,"FEBRUARY")</f>
        <v>FEBRUARY</v>
      </c>
      <c r="E939">
        <v>16</v>
      </c>
      <c r="F939" t="str" cm="1">
        <f t="array" ref="F939">_xlfn.SWITCH(Sheet5!C939,FALSE,"NO",TRUE,"YES")</f>
        <v>NO</v>
      </c>
      <c r="G939" t="str" cm="1">
        <f t="array" ref="G939">_xlfn.SWITCH(Sheet5!B939,0,"Sunday",1,"Monday",2,"Tuesday",3,"Wednesday",4,"Thursday",5,"Friday",6,"Saturday")</f>
        <v>Friday</v>
      </c>
      <c r="H939" t="str" cm="1">
        <f t="array" ref="H939">_xlfn.SWITCH(Sheet5!D939, 1, "Clear Sky", 2, "Mist", 3, "Dark Cloud",4,"Heavy Rainfall")</f>
        <v>Clear Sky</v>
      </c>
      <c r="I939" s="26">
        <f>Sheet5!E939*41</f>
        <v>12.299999999999999</v>
      </c>
      <c r="J939" s="27">
        <v>0.28000000000000003</v>
      </c>
      <c r="K939">
        <v>0.19400000000000001</v>
      </c>
      <c r="L939">
        <v>14</v>
      </c>
      <c r="M939">
        <v>111</v>
      </c>
      <c r="N939">
        <v>125</v>
      </c>
    </row>
    <row r="940" spans="1:14" x14ac:dyDescent="0.3">
      <c r="A940">
        <v>939</v>
      </c>
      <c r="B940" s="21">
        <v>40585</v>
      </c>
      <c r="C940" s="25" t="s">
        <v>16</v>
      </c>
      <c r="D940" s="25" t="str" cm="1">
        <f t="array" ref="D940">_xlfn.SWITCH(Sheet5!A940,1,"JANUARY",2,"FEBRUARY")</f>
        <v>FEBRUARY</v>
      </c>
      <c r="E940">
        <v>17</v>
      </c>
      <c r="F940" t="str" cm="1">
        <f t="array" ref="F940">_xlfn.SWITCH(Sheet5!C940,FALSE,"NO",TRUE,"YES")</f>
        <v>NO</v>
      </c>
      <c r="G940" t="str" cm="1">
        <f t="array" ref="G940">_xlfn.SWITCH(Sheet5!B940,0,"Sunday",1,"Monday",2,"Tuesday",3,"Wednesday",4,"Thursday",5,"Friday",6,"Saturday")</f>
        <v>Friday</v>
      </c>
      <c r="H940" t="str" cm="1">
        <f t="array" ref="H940">_xlfn.SWITCH(Sheet5!D940, 1, "Clear Sky", 2, "Mist", 3, "Dark Cloud",4,"Heavy Rainfall")</f>
        <v>Clear Sky</v>
      </c>
      <c r="I940" s="26">
        <f>Sheet5!E940*41</f>
        <v>12.299999999999999</v>
      </c>
      <c r="J940" s="27">
        <v>0.24</v>
      </c>
      <c r="K940">
        <v>0</v>
      </c>
      <c r="L940">
        <v>18</v>
      </c>
      <c r="M940">
        <v>193</v>
      </c>
      <c r="N940">
        <v>211</v>
      </c>
    </row>
    <row r="941" spans="1:14" x14ac:dyDescent="0.3">
      <c r="A941">
        <v>940</v>
      </c>
      <c r="B941" s="21">
        <v>40585</v>
      </c>
      <c r="C941" s="25" t="s">
        <v>16</v>
      </c>
      <c r="D941" s="25" t="str" cm="1">
        <f t="array" ref="D941">_xlfn.SWITCH(Sheet5!A941,1,"JANUARY",2,"FEBRUARY")</f>
        <v>FEBRUARY</v>
      </c>
      <c r="E941">
        <v>18</v>
      </c>
      <c r="F941" t="str" cm="1">
        <f t="array" ref="F941">_xlfn.SWITCH(Sheet5!C941,FALSE,"NO",TRUE,"YES")</f>
        <v>NO</v>
      </c>
      <c r="G941" t="str" cm="1">
        <f t="array" ref="G941">_xlfn.SWITCH(Sheet5!B941,0,"Sunday",1,"Monday",2,"Tuesday",3,"Wednesday",4,"Thursday",5,"Friday",6,"Saturday")</f>
        <v>Friday</v>
      </c>
      <c r="H941" t="str" cm="1">
        <f t="array" ref="H941">_xlfn.SWITCH(Sheet5!D941, 1, "Clear Sky", 2, "Mist", 3, "Dark Cloud",4,"Heavy Rainfall")</f>
        <v>Clear Sky</v>
      </c>
      <c r="I941" s="26">
        <f>Sheet5!E941*41</f>
        <v>11.48</v>
      </c>
      <c r="J941" s="27">
        <v>0.28000000000000003</v>
      </c>
      <c r="K941">
        <v>0</v>
      </c>
      <c r="L941">
        <v>9</v>
      </c>
      <c r="M941">
        <v>165</v>
      </c>
      <c r="N941">
        <v>174</v>
      </c>
    </row>
    <row r="942" spans="1:14" x14ac:dyDescent="0.3">
      <c r="A942">
        <v>941</v>
      </c>
      <c r="B942" s="21">
        <v>40585</v>
      </c>
      <c r="C942" s="25" t="s">
        <v>16</v>
      </c>
      <c r="D942" s="25" t="str" cm="1">
        <f t="array" ref="D942">_xlfn.SWITCH(Sheet5!A942,1,"JANUARY",2,"FEBRUARY")</f>
        <v>FEBRUARY</v>
      </c>
      <c r="E942">
        <v>19</v>
      </c>
      <c r="F942" t="str" cm="1">
        <f t="array" ref="F942">_xlfn.SWITCH(Sheet5!C942,FALSE,"NO",TRUE,"YES")</f>
        <v>NO</v>
      </c>
      <c r="G942" t="str" cm="1">
        <f t="array" ref="G942">_xlfn.SWITCH(Sheet5!B942,0,"Sunday",1,"Monday",2,"Tuesday",3,"Wednesday",4,"Thursday",5,"Friday",6,"Saturday")</f>
        <v>Friday</v>
      </c>
      <c r="H942" t="str" cm="1">
        <f t="array" ref="H942">_xlfn.SWITCH(Sheet5!D942, 1, "Clear Sky", 2, "Mist", 3, "Dark Cloud",4,"Heavy Rainfall")</f>
        <v>Clear Sky</v>
      </c>
      <c r="I942" s="26">
        <f>Sheet5!E942*41</f>
        <v>10.66</v>
      </c>
      <c r="J942" s="27">
        <v>0.33</v>
      </c>
      <c r="K942">
        <v>0</v>
      </c>
      <c r="L942">
        <v>7</v>
      </c>
      <c r="M942">
        <v>94</v>
      </c>
      <c r="N942">
        <v>101</v>
      </c>
    </row>
    <row r="943" spans="1:14" x14ac:dyDescent="0.3">
      <c r="A943">
        <v>942</v>
      </c>
      <c r="B943" s="21">
        <v>40585</v>
      </c>
      <c r="C943" s="25" t="s">
        <v>16</v>
      </c>
      <c r="D943" s="25" t="str" cm="1">
        <f t="array" ref="D943">_xlfn.SWITCH(Sheet5!A943,1,"JANUARY",2,"FEBRUARY")</f>
        <v>FEBRUARY</v>
      </c>
      <c r="E943">
        <v>20</v>
      </c>
      <c r="F943" t="str" cm="1">
        <f t="array" ref="F943">_xlfn.SWITCH(Sheet5!C943,FALSE,"NO",TRUE,"YES")</f>
        <v>NO</v>
      </c>
      <c r="G943" t="str" cm="1">
        <f t="array" ref="G943">_xlfn.SWITCH(Sheet5!B943,0,"Sunday",1,"Monday",2,"Tuesday",3,"Wednesday",4,"Thursday",5,"Friday",6,"Saturday")</f>
        <v>Friday</v>
      </c>
      <c r="H943" t="str" cm="1">
        <f t="array" ref="H943">_xlfn.SWITCH(Sheet5!D943, 1, "Clear Sky", 2, "Mist", 3, "Dark Cloud",4,"Heavy Rainfall")</f>
        <v>Clear Sky</v>
      </c>
      <c r="I943" s="26">
        <f>Sheet5!E943*41</f>
        <v>9.02</v>
      </c>
      <c r="J943" s="27">
        <v>0.55000000000000004</v>
      </c>
      <c r="K943">
        <v>0.1343</v>
      </c>
      <c r="L943">
        <v>2</v>
      </c>
      <c r="M943">
        <v>61</v>
      </c>
      <c r="N943">
        <v>63</v>
      </c>
    </row>
    <row r="944" spans="1:14" x14ac:dyDescent="0.3">
      <c r="A944">
        <v>943</v>
      </c>
      <c r="B944" s="21">
        <v>40585</v>
      </c>
      <c r="C944" s="25" t="s">
        <v>16</v>
      </c>
      <c r="D944" s="25" t="str" cm="1">
        <f t="array" ref="D944">_xlfn.SWITCH(Sheet5!A944,1,"JANUARY",2,"FEBRUARY")</f>
        <v>FEBRUARY</v>
      </c>
      <c r="E944">
        <v>21</v>
      </c>
      <c r="F944" t="str" cm="1">
        <f t="array" ref="F944">_xlfn.SWITCH(Sheet5!C944,FALSE,"NO",TRUE,"YES")</f>
        <v>NO</v>
      </c>
      <c r="G944" t="str" cm="1">
        <f t="array" ref="G944">_xlfn.SWITCH(Sheet5!B944,0,"Sunday",1,"Monday",2,"Tuesday",3,"Wednesday",4,"Thursday",5,"Friday",6,"Saturday")</f>
        <v>Friday</v>
      </c>
      <c r="H944" t="str" cm="1">
        <f t="array" ref="H944">_xlfn.SWITCH(Sheet5!D944, 1, "Clear Sky", 2, "Mist", 3, "Dark Cloud",4,"Heavy Rainfall")</f>
        <v>Clear Sky</v>
      </c>
      <c r="I944" s="26">
        <f>Sheet5!E944*41</f>
        <v>8.2000000000000011</v>
      </c>
      <c r="J944" s="27">
        <v>0.59</v>
      </c>
      <c r="K944">
        <v>0.1343</v>
      </c>
      <c r="L944">
        <v>1</v>
      </c>
      <c r="M944">
        <v>46</v>
      </c>
      <c r="N944">
        <v>47</v>
      </c>
    </row>
    <row r="945" spans="1:14" x14ac:dyDescent="0.3">
      <c r="A945">
        <v>944</v>
      </c>
      <c r="B945" s="21">
        <v>40585</v>
      </c>
      <c r="C945" s="25" t="s">
        <v>16</v>
      </c>
      <c r="D945" s="25" t="str" cm="1">
        <f t="array" ref="D945">_xlfn.SWITCH(Sheet5!A945,1,"JANUARY",2,"FEBRUARY")</f>
        <v>FEBRUARY</v>
      </c>
      <c r="E945">
        <v>22</v>
      </c>
      <c r="F945" t="str" cm="1">
        <f t="array" ref="F945">_xlfn.SWITCH(Sheet5!C945,FALSE,"NO",TRUE,"YES")</f>
        <v>NO</v>
      </c>
      <c r="G945" t="str" cm="1">
        <f t="array" ref="G945">_xlfn.SWITCH(Sheet5!B945,0,"Sunday",1,"Monday",2,"Tuesday",3,"Wednesday",4,"Thursday",5,"Friday",6,"Saturday")</f>
        <v>Friday</v>
      </c>
      <c r="H945" t="str" cm="1">
        <f t="array" ref="H945">_xlfn.SWITCH(Sheet5!D945, 1, "Clear Sky", 2, "Mist", 3, "Dark Cloud",4,"Heavy Rainfall")</f>
        <v>Clear Sky</v>
      </c>
      <c r="I945" s="26">
        <f>Sheet5!E945*41</f>
        <v>8.2000000000000011</v>
      </c>
      <c r="J945" s="27">
        <v>0.64</v>
      </c>
      <c r="K945">
        <v>8.9599999999999999E-2</v>
      </c>
      <c r="L945">
        <v>2</v>
      </c>
      <c r="M945">
        <v>41</v>
      </c>
      <c r="N945">
        <v>43</v>
      </c>
    </row>
    <row r="946" spans="1:14" x14ac:dyDescent="0.3">
      <c r="A946">
        <v>945</v>
      </c>
      <c r="B946" s="21">
        <v>40585</v>
      </c>
      <c r="C946" s="25" t="s">
        <v>16</v>
      </c>
      <c r="D946" s="25" t="str" cm="1">
        <f t="array" ref="D946">_xlfn.SWITCH(Sheet5!A946,1,"JANUARY",2,"FEBRUARY")</f>
        <v>FEBRUARY</v>
      </c>
      <c r="E946">
        <v>23</v>
      </c>
      <c r="F946" t="str" cm="1">
        <f t="array" ref="F946">_xlfn.SWITCH(Sheet5!C946,FALSE,"NO",TRUE,"YES")</f>
        <v>NO</v>
      </c>
      <c r="G946" t="str" cm="1">
        <f t="array" ref="G946">_xlfn.SWITCH(Sheet5!B946,0,"Sunday",1,"Monday",2,"Tuesday",3,"Wednesday",4,"Thursday",5,"Friday",6,"Saturday")</f>
        <v>Friday</v>
      </c>
      <c r="H946" t="str" cm="1">
        <f t="array" ref="H946">_xlfn.SWITCH(Sheet5!D946, 1, "Clear Sky", 2, "Mist", 3, "Dark Cloud",4,"Heavy Rainfall")</f>
        <v>Clear Sky</v>
      </c>
      <c r="I946" s="26">
        <f>Sheet5!E946*41</f>
        <v>7.38</v>
      </c>
      <c r="J946" s="27">
        <v>0.69</v>
      </c>
      <c r="K946">
        <v>0</v>
      </c>
      <c r="L946">
        <v>5</v>
      </c>
      <c r="M946">
        <v>48</v>
      </c>
      <c r="N946">
        <v>53</v>
      </c>
    </row>
    <row r="947" spans="1:14" x14ac:dyDescent="0.3">
      <c r="A947">
        <v>946</v>
      </c>
      <c r="B947" s="21">
        <v>40586</v>
      </c>
      <c r="C947" s="25" t="s">
        <v>16</v>
      </c>
      <c r="D947" s="25" t="str" cm="1">
        <f t="array" ref="D947">_xlfn.SWITCH(Sheet5!A947,1,"JANUARY",2,"FEBRUARY")</f>
        <v>FEBRUARY</v>
      </c>
      <c r="E947">
        <v>0</v>
      </c>
      <c r="F947" t="str" cm="1">
        <f t="array" ref="F947">_xlfn.SWITCH(Sheet5!C947,FALSE,"NO",TRUE,"YES")</f>
        <v>NO</v>
      </c>
      <c r="G947" t="str" cm="1">
        <f t="array" ref="G947">_xlfn.SWITCH(Sheet5!B947,0,"Sunday",1,"Monday",2,"Tuesday",3,"Wednesday",4,"Thursday",5,"Friday",6,"Saturday")</f>
        <v>Saturday</v>
      </c>
      <c r="H947" t="str" cm="1">
        <f t="array" ref="H947">_xlfn.SWITCH(Sheet5!D947, 1, "Clear Sky", 2, "Mist", 3, "Dark Cloud",4,"Heavy Rainfall")</f>
        <v>Clear Sky</v>
      </c>
      <c r="I947" s="26">
        <f>Sheet5!E947*41</f>
        <v>6.5600000000000005</v>
      </c>
      <c r="J947" s="27">
        <v>0.69</v>
      </c>
      <c r="K947">
        <v>8.9599999999999999E-2</v>
      </c>
      <c r="L947">
        <v>3</v>
      </c>
      <c r="M947">
        <v>27</v>
      </c>
      <c r="N947">
        <v>30</v>
      </c>
    </row>
    <row r="948" spans="1:14" x14ac:dyDescent="0.3">
      <c r="A948">
        <v>947</v>
      </c>
      <c r="B948" s="21">
        <v>40586</v>
      </c>
      <c r="C948" s="25" t="s">
        <v>16</v>
      </c>
      <c r="D948" s="25" t="str" cm="1">
        <f t="array" ref="D948">_xlfn.SWITCH(Sheet5!A948,1,"JANUARY",2,"FEBRUARY")</f>
        <v>FEBRUARY</v>
      </c>
      <c r="E948">
        <v>1</v>
      </c>
      <c r="F948" t="str" cm="1">
        <f t="array" ref="F948">_xlfn.SWITCH(Sheet5!C948,FALSE,"NO",TRUE,"YES")</f>
        <v>NO</v>
      </c>
      <c r="G948" t="str" cm="1">
        <f t="array" ref="G948">_xlfn.SWITCH(Sheet5!B948,0,"Sunday",1,"Monday",2,"Tuesday",3,"Wednesday",4,"Thursday",5,"Friday",6,"Saturday")</f>
        <v>Saturday</v>
      </c>
      <c r="H948" t="str" cm="1">
        <f t="array" ref="H948">_xlfn.SWITCH(Sheet5!D948, 1, "Clear Sky", 2, "Mist", 3, "Dark Cloud",4,"Heavy Rainfall")</f>
        <v>Clear Sky</v>
      </c>
      <c r="I948" s="26">
        <f>Sheet5!E948*41</f>
        <v>5.74</v>
      </c>
      <c r="J948" s="27">
        <v>0.86</v>
      </c>
      <c r="K948">
        <v>0</v>
      </c>
      <c r="L948">
        <v>2</v>
      </c>
      <c r="M948">
        <v>22</v>
      </c>
      <c r="N948">
        <v>24</v>
      </c>
    </row>
    <row r="949" spans="1:14" x14ac:dyDescent="0.3">
      <c r="A949">
        <v>948</v>
      </c>
      <c r="B949" s="21">
        <v>40586</v>
      </c>
      <c r="C949" s="25" t="s">
        <v>16</v>
      </c>
      <c r="D949" s="25" t="str" cm="1">
        <f t="array" ref="D949">_xlfn.SWITCH(Sheet5!A949,1,"JANUARY",2,"FEBRUARY")</f>
        <v>FEBRUARY</v>
      </c>
      <c r="E949">
        <v>2</v>
      </c>
      <c r="F949" t="str" cm="1">
        <f t="array" ref="F949">_xlfn.SWITCH(Sheet5!C949,FALSE,"NO",TRUE,"YES")</f>
        <v>NO</v>
      </c>
      <c r="G949" t="str" cm="1">
        <f t="array" ref="G949">_xlfn.SWITCH(Sheet5!B949,0,"Sunday",1,"Monday",2,"Tuesday",3,"Wednesday",4,"Thursday",5,"Friday",6,"Saturday")</f>
        <v>Saturday</v>
      </c>
      <c r="H949" t="str" cm="1">
        <f t="array" ref="H949">_xlfn.SWITCH(Sheet5!D949, 1, "Clear Sky", 2, "Mist", 3, "Dark Cloud",4,"Heavy Rainfall")</f>
        <v>Clear Sky</v>
      </c>
      <c r="I949" s="26">
        <f>Sheet5!E949*41</f>
        <v>5.74</v>
      </c>
      <c r="J949" s="27">
        <v>0.8</v>
      </c>
      <c r="K949">
        <v>0</v>
      </c>
      <c r="L949">
        <v>2</v>
      </c>
      <c r="M949">
        <v>13</v>
      </c>
      <c r="N949">
        <v>15</v>
      </c>
    </row>
    <row r="950" spans="1:14" x14ac:dyDescent="0.3">
      <c r="A950">
        <v>949</v>
      </c>
      <c r="B950" s="21">
        <v>40586</v>
      </c>
      <c r="C950" s="25" t="s">
        <v>16</v>
      </c>
      <c r="D950" s="25" t="str" cm="1">
        <f t="array" ref="D950">_xlfn.SWITCH(Sheet5!A950,1,"JANUARY",2,"FEBRUARY")</f>
        <v>FEBRUARY</v>
      </c>
      <c r="E950">
        <v>3</v>
      </c>
      <c r="F950" t="str" cm="1">
        <f t="array" ref="F950">_xlfn.SWITCH(Sheet5!C950,FALSE,"NO",TRUE,"YES")</f>
        <v>NO</v>
      </c>
      <c r="G950" t="str" cm="1">
        <f t="array" ref="G950">_xlfn.SWITCH(Sheet5!B950,0,"Sunday",1,"Monday",2,"Tuesday",3,"Wednesday",4,"Thursday",5,"Friday",6,"Saturday")</f>
        <v>Saturday</v>
      </c>
      <c r="H950" t="str" cm="1">
        <f t="array" ref="H950">_xlfn.SWITCH(Sheet5!D950, 1, "Clear Sky", 2, "Mist", 3, "Dark Cloud",4,"Heavy Rainfall")</f>
        <v>Clear Sky</v>
      </c>
      <c r="I950" s="26">
        <f>Sheet5!E950*41</f>
        <v>4.92</v>
      </c>
      <c r="J950" s="27">
        <v>0.8</v>
      </c>
      <c r="K950">
        <v>0</v>
      </c>
      <c r="L950">
        <v>3</v>
      </c>
      <c r="M950">
        <v>7</v>
      </c>
      <c r="N950">
        <v>10</v>
      </c>
    </row>
    <row r="951" spans="1:14" x14ac:dyDescent="0.3">
      <c r="A951">
        <v>950</v>
      </c>
      <c r="B951" s="21">
        <v>40586</v>
      </c>
      <c r="C951" s="25" t="s">
        <v>16</v>
      </c>
      <c r="D951" s="25" t="str" cm="1">
        <f t="array" ref="D951">_xlfn.SWITCH(Sheet5!A951,1,"JANUARY",2,"FEBRUARY")</f>
        <v>FEBRUARY</v>
      </c>
      <c r="E951">
        <v>4</v>
      </c>
      <c r="F951" t="str" cm="1">
        <f t="array" ref="F951">_xlfn.SWITCH(Sheet5!C951,FALSE,"NO",TRUE,"YES")</f>
        <v>NO</v>
      </c>
      <c r="G951" t="str" cm="1">
        <f t="array" ref="G951">_xlfn.SWITCH(Sheet5!B951,0,"Sunday",1,"Monday",2,"Tuesday",3,"Wednesday",4,"Thursday",5,"Friday",6,"Saturday")</f>
        <v>Saturday</v>
      </c>
      <c r="H951" t="str" cm="1">
        <f t="array" ref="H951">_xlfn.SWITCH(Sheet5!D951, 1, "Clear Sky", 2, "Mist", 3, "Dark Cloud",4,"Heavy Rainfall")</f>
        <v>Clear Sky</v>
      </c>
      <c r="I951" s="26">
        <f>Sheet5!E951*41</f>
        <v>4.92</v>
      </c>
      <c r="J951" s="27">
        <v>0.74</v>
      </c>
      <c r="K951">
        <v>8.9599999999999999E-2</v>
      </c>
      <c r="L951">
        <v>0</v>
      </c>
      <c r="M951">
        <v>4</v>
      </c>
      <c r="N951">
        <v>4</v>
      </c>
    </row>
    <row r="952" spans="1:14" x14ac:dyDescent="0.3">
      <c r="A952">
        <v>951</v>
      </c>
      <c r="B952" s="21">
        <v>40586</v>
      </c>
      <c r="C952" s="25" t="s">
        <v>16</v>
      </c>
      <c r="D952" s="25" t="str" cm="1">
        <f t="array" ref="D952">_xlfn.SWITCH(Sheet5!A952,1,"JANUARY",2,"FEBRUARY")</f>
        <v>FEBRUARY</v>
      </c>
      <c r="E952">
        <v>5</v>
      </c>
      <c r="F952" t="str" cm="1">
        <f t="array" ref="F952">_xlfn.SWITCH(Sheet5!C952,FALSE,"NO",TRUE,"YES")</f>
        <v>NO</v>
      </c>
      <c r="G952" t="str" cm="1">
        <f t="array" ref="G952">_xlfn.SWITCH(Sheet5!B952,0,"Sunday",1,"Monday",2,"Tuesday",3,"Wednesday",4,"Thursday",5,"Friday",6,"Saturday")</f>
        <v>Saturday</v>
      </c>
      <c r="H952" t="str" cm="1">
        <f t="array" ref="H952">_xlfn.SWITCH(Sheet5!D952, 1, "Clear Sky", 2, "Mist", 3, "Dark Cloud",4,"Heavy Rainfall")</f>
        <v>Clear Sky</v>
      </c>
      <c r="I952" s="26">
        <f>Sheet5!E952*41</f>
        <v>4.92</v>
      </c>
      <c r="J952" s="27">
        <v>0.74</v>
      </c>
      <c r="K952">
        <v>8.9599999999999999E-2</v>
      </c>
      <c r="L952">
        <v>0</v>
      </c>
      <c r="M952">
        <v>1</v>
      </c>
      <c r="N952">
        <v>1</v>
      </c>
    </row>
    <row r="953" spans="1:14" x14ac:dyDescent="0.3">
      <c r="A953">
        <v>952</v>
      </c>
      <c r="B953" s="21">
        <v>40586</v>
      </c>
      <c r="C953" s="25" t="s">
        <v>16</v>
      </c>
      <c r="D953" s="25" t="str" cm="1">
        <f t="array" ref="D953">_xlfn.SWITCH(Sheet5!A953,1,"JANUARY",2,"FEBRUARY")</f>
        <v>FEBRUARY</v>
      </c>
      <c r="E953">
        <v>6</v>
      </c>
      <c r="F953" t="str" cm="1">
        <f t="array" ref="F953">_xlfn.SWITCH(Sheet5!C953,FALSE,"NO",TRUE,"YES")</f>
        <v>NO</v>
      </c>
      <c r="G953" t="str" cm="1">
        <f t="array" ref="G953">_xlfn.SWITCH(Sheet5!B953,0,"Sunday",1,"Monday",2,"Tuesday",3,"Wednesday",4,"Thursday",5,"Friday",6,"Saturday")</f>
        <v>Saturday</v>
      </c>
      <c r="H953" t="str" cm="1">
        <f t="array" ref="H953">_xlfn.SWITCH(Sheet5!D953, 1, "Clear Sky", 2, "Mist", 3, "Dark Cloud",4,"Heavy Rainfall")</f>
        <v>Clear Sky</v>
      </c>
      <c r="I953" s="26">
        <f>Sheet5!E953*41</f>
        <v>4.92</v>
      </c>
      <c r="J953" s="27">
        <v>0.93</v>
      </c>
      <c r="K953">
        <v>0.19400000000000001</v>
      </c>
      <c r="L953">
        <v>1</v>
      </c>
      <c r="M953">
        <v>1</v>
      </c>
      <c r="N953">
        <v>2</v>
      </c>
    </row>
    <row r="954" spans="1:14" x14ac:dyDescent="0.3">
      <c r="A954">
        <v>953</v>
      </c>
      <c r="B954" s="21">
        <v>40586</v>
      </c>
      <c r="C954" s="25" t="s">
        <v>16</v>
      </c>
      <c r="D954" s="25" t="str" cm="1">
        <f t="array" ref="D954">_xlfn.SWITCH(Sheet5!A954,1,"JANUARY",2,"FEBRUARY")</f>
        <v>FEBRUARY</v>
      </c>
      <c r="E954">
        <v>7</v>
      </c>
      <c r="F954" t="str" cm="1">
        <f t="array" ref="F954">_xlfn.SWITCH(Sheet5!C954,FALSE,"NO",TRUE,"YES")</f>
        <v>NO</v>
      </c>
      <c r="G954" t="str" cm="1">
        <f t="array" ref="G954">_xlfn.SWITCH(Sheet5!B954,0,"Sunday",1,"Monday",2,"Tuesday",3,"Wednesday",4,"Thursday",5,"Friday",6,"Saturday")</f>
        <v>Saturday</v>
      </c>
      <c r="H954" t="str" cm="1">
        <f t="array" ref="H954">_xlfn.SWITCH(Sheet5!D954, 1, "Clear Sky", 2, "Mist", 3, "Dark Cloud",4,"Heavy Rainfall")</f>
        <v>Clear Sky</v>
      </c>
      <c r="I954" s="26">
        <f>Sheet5!E954*41</f>
        <v>4.92</v>
      </c>
      <c r="J954" s="27">
        <v>0.8</v>
      </c>
      <c r="K954">
        <v>0.1045</v>
      </c>
      <c r="L954">
        <v>2</v>
      </c>
      <c r="M954">
        <v>9</v>
      </c>
      <c r="N954">
        <v>11</v>
      </c>
    </row>
    <row r="955" spans="1:14" x14ac:dyDescent="0.3">
      <c r="A955">
        <v>954</v>
      </c>
      <c r="B955" s="21">
        <v>40586</v>
      </c>
      <c r="C955" s="25" t="s">
        <v>16</v>
      </c>
      <c r="D955" s="25" t="str" cm="1">
        <f t="array" ref="D955">_xlfn.SWITCH(Sheet5!A955,1,"JANUARY",2,"FEBRUARY")</f>
        <v>FEBRUARY</v>
      </c>
      <c r="E955">
        <v>8</v>
      </c>
      <c r="F955" t="str" cm="1">
        <f t="array" ref="F955">_xlfn.SWITCH(Sheet5!C955,FALSE,"NO",TRUE,"YES")</f>
        <v>NO</v>
      </c>
      <c r="G955" t="str" cm="1">
        <f t="array" ref="G955">_xlfn.SWITCH(Sheet5!B955,0,"Sunday",1,"Monday",2,"Tuesday",3,"Wednesday",4,"Thursday",5,"Friday",6,"Saturday")</f>
        <v>Saturday</v>
      </c>
      <c r="H955" t="str" cm="1">
        <f t="array" ref="H955">_xlfn.SWITCH(Sheet5!D955, 1, "Clear Sky", 2, "Mist", 3, "Dark Cloud",4,"Heavy Rainfall")</f>
        <v>Clear Sky</v>
      </c>
      <c r="I955" s="26">
        <f>Sheet5!E955*41</f>
        <v>5.74</v>
      </c>
      <c r="J955" s="27">
        <v>0.86</v>
      </c>
      <c r="K955">
        <v>0.1343</v>
      </c>
      <c r="L955">
        <v>2</v>
      </c>
      <c r="M955">
        <v>28</v>
      </c>
      <c r="N955">
        <v>30</v>
      </c>
    </row>
    <row r="956" spans="1:14" x14ac:dyDescent="0.3">
      <c r="A956">
        <v>955</v>
      </c>
      <c r="B956" s="21">
        <v>40586</v>
      </c>
      <c r="C956" s="25" t="s">
        <v>16</v>
      </c>
      <c r="D956" s="25" t="str" cm="1">
        <f t="array" ref="D956">_xlfn.SWITCH(Sheet5!A956,1,"JANUARY",2,"FEBRUARY")</f>
        <v>FEBRUARY</v>
      </c>
      <c r="E956">
        <v>9</v>
      </c>
      <c r="F956" t="str" cm="1">
        <f t="array" ref="F956">_xlfn.SWITCH(Sheet5!C956,FALSE,"NO",TRUE,"YES")</f>
        <v>NO</v>
      </c>
      <c r="G956" t="str" cm="1">
        <f t="array" ref="G956">_xlfn.SWITCH(Sheet5!B956,0,"Sunday",1,"Monday",2,"Tuesday",3,"Wednesday",4,"Thursday",5,"Friday",6,"Saturday")</f>
        <v>Saturday</v>
      </c>
      <c r="H956" t="str" cm="1">
        <f t="array" ref="H956">_xlfn.SWITCH(Sheet5!D956, 1, "Clear Sky", 2, "Mist", 3, "Dark Cloud",4,"Heavy Rainfall")</f>
        <v>Clear Sky</v>
      </c>
      <c r="I956" s="26">
        <f>Sheet5!E956*41</f>
        <v>6.5600000000000005</v>
      </c>
      <c r="J956" s="27">
        <v>0.64</v>
      </c>
      <c r="K956">
        <v>0.1343</v>
      </c>
      <c r="L956">
        <v>5</v>
      </c>
      <c r="M956">
        <v>38</v>
      </c>
      <c r="N956">
        <v>43</v>
      </c>
    </row>
    <row r="957" spans="1:14" x14ac:dyDescent="0.3">
      <c r="A957">
        <v>956</v>
      </c>
      <c r="B957" s="21">
        <v>40586</v>
      </c>
      <c r="C957" s="25" t="s">
        <v>16</v>
      </c>
      <c r="D957" s="25" t="str" cm="1">
        <f t="array" ref="D957">_xlfn.SWITCH(Sheet5!A957,1,"JANUARY",2,"FEBRUARY")</f>
        <v>FEBRUARY</v>
      </c>
      <c r="E957">
        <v>10</v>
      </c>
      <c r="F957" t="str" cm="1">
        <f t="array" ref="F957">_xlfn.SWITCH(Sheet5!C957,FALSE,"NO",TRUE,"YES")</f>
        <v>NO</v>
      </c>
      <c r="G957" t="str" cm="1">
        <f t="array" ref="G957">_xlfn.SWITCH(Sheet5!B957,0,"Sunday",1,"Monday",2,"Tuesday",3,"Wednesday",4,"Thursday",5,"Friday",6,"Saturday")</f>
        <v>Saturday</v>
      </c>
      <c r="H957" t="str" cm="1">
        <f t="array" ref="H957">_xlfn.SWITCH(Sheet5!D957, 1, "Clear Sky", 2, "Mist", 3, "Dark Cloud",4,"Heavy Rainfall")</f>
        <v>Clear Sky</v>
      </c>
      <c r="I957" s="26">
        <f>Sheet5!E957*41</f>
        <v>9.02</v>
      </c>
      <c r="J957" s="27">
        <v>0.41</v>
      </c>
      <c r="K957">
        <v>0.25369999999999998</v>
      </c>
      <c r="L957">
        <v>13</v>
      </c>
      <c r="M957">
        <v>71</v>
      </c>
      <c r="N957">
        <v>84</v>
      </c>
    </row>
    <row r="958" spans="1:14" x14ac:dyDescent="0.3">
      <c r="A958">
        <v>957</v>
      </c>
      <c r="B958" s="21">
        <v>40586</v>
      </c>
      <c r="C958" s="25" t="s">
        <v>16</v>
      </c>
      <c r="D958" s="25" t="str" cm="1">
        <f t="array" ref="D958">_xlfn.SWITCH(Sheet5!A958,1,"JANUARY",2,"FEBRUARY")</f>
        <v>FEBRUARY</v>
      </c>
      <c r="E958">
        <v>11</v>
      </c>
      <c r="F958" t="str" cm="1">
        <f t="array" ref="F958">_xlfn.SWITCH(Sheet5!C958,FALSE,"NO",TRUE,"YES")</f>
        <v>NO</v>
      </c>
      <c r="G958" t="str" cm="1">
        <f t="array" ref="G958">_xlfn.SWITCH(Sheet5!B958,0,"Sunday",1,"Monday",2,"Tuesday",3,"Wednesday",4,"Thursday",5,"Friday",6,"Saturday")</f>
        <v>Saturday</v>
      </c>
      <c r="H958" t="str" cm="1">
        <f t="array" ref="H958">_xlfn.SWITCH(Sheet5!D958, 1, "Clear Sky", 2, "Mist", 3, "Dark Cloud",4,"Heavy Rainfall")</f>
        <v>Clear Sky</v>
      </c>
      <c r="I958" s="26">
        <f>Sheet5!E958*41</f>
        <v>12.299999999999999</v>
      </c>
      <c r="J958" s="27">
        <v>0.28000000000000003</v>
      </c>
      <c r="K958">
        <v>0.32840000000000003</v>
      </c>
      <c r="L958">
        <v>30</v>
      </c>
      <c r="M958">
        <v>84</v>
      </c>
      <c r="N958">
        <v>114</v>
      </c>
    </row>
    <row r="959" spans="1:14" x14ac:dyDescent="0.3">
      <c r="A959">
        <v>958</v>
      </c>
      <c r="B959" s="21">
        <v>40586</v>
      </c>
      <c r="C959" s="25" t="s">
        <v>16</v>
      </c>
      <c r="D959" s="25" t="str" cm="1">
        <f t="array" ref="D959">_xlfn.SWITCH(Sheet5!A959,1,"JANUARY",2,"FEBRUARY")</f>
        <v>FEBRUARY</v>
      </c>
      <c r="E959">
        <v>12</v>
      </c>
      <c r="F959" t="str" cm="1">
        <f t="array" ref="F959">_xlfn.SWITCH(Sheet5!C959,FALSE,"NO",TRUE,"YES")</f>
        <v>NO</v>
      </c>
      <c r="G959" t="str" cm="1">
        <f t="array" ref="G959">_xlfn.SWITCH(Sheet5!B959,0,"Sunday",1,"Monday",2,"Tuesday",3,"Wednesday",4,"Thursday",5,"Friday",6,"Saturday")</f>
        <v>Saturday</v>
      </c>
      <c r="H959" t="str" cm="1">
        <f t="array" ref="H959">_xlfn.SWITCH(Sheet5!D959, 1, "Clear Sky", 2, "Mist", 3, "Dark Cloud",4,"Heavy Rainfall")</f>
        <v>Clear Sky</v>
      </c>
      <c r="I959" s="26">
        <f>Sheet5!E959*41</f>
        <v>12.299999999999999</v>
      </c>
      <c r="J959" s="27">
        <v>0.39</v>
      </c>
      <c r="K959">
        <v>0.4627</v>
      </c>
      <c r="L959">
        <v>27</v>
      </c>
      <c r="M959">
        <v>93</v>
      </c>
      <c r="N959">
        <v>120</v>
      </c>
    </row>
    <row r="960" spans="1:14" x14ac:dyDescent="0.3">
      <c r="A960">
        <v>959</v>
      </c>
      <c r="B960" s="21">
        <v>40586</v>
      </c>
      <c r="C960" s="25" t="s">
        <v>16</v>
      </c>
      <c r="D960" s="25" t="str" cm="1">
        <f t="array" ref="D960">_xlfn.SWITCH(Sheet5!A960,1,"JANUARY",2,"FEBRUARY")</f>
        <v>FEBRUARY</v>
      </c>
      <c r="E960">
        <v>13</v>
      </c>
      <c r="F960" t="str" cm="1">
        <f t="array" ref="F960">_xlfn.SWITCH(Sheet5!C960,FALSE,"NO",TRUE,"YES")</f>
        <v>NO</v>
      </c>
      <c r="G960" t="str" cm="1">
        <f t="array" ref="G960">_xlfn.SWITCH(Sheet5!B960,0,"Sunday",1,"Monday",2,"Tuesday",3,"Wednesday",4,"Thursday",5,"Friday",6,"Saturday")</f>
        <v>Saturday</v>
      </c>
      <c r="H960" t="str" cm="1">
        <f t="array" ref="H960">_xlfn.SWITCH(Sheet5!D960, 1, "Clear Sky", 2, "Mist", 3, "Dark Cloud",4,"Heavy Rainfall")</f>
        <v>Clear Sky</v>
      </c>
      <c r="I960" s="26">
        <f>Sheet5!E960*41</f>
        <v>12.299999999999999</v>
      </c>
      <c r="J960" s="27">
        <v>0.39</v>
      </c>
      <c r="K960">
        <v>0.41789999999999999</v>
      </c>
      <c r="L960">
        <v>32</v>
      </c>
      <c r="M960">
        <v>103</v>
      </c>
      <c r="N960">
        <v>135</v>
      </c>
    </row>
    <row r="961" spans="1:14" x14ac:dyDescent="0.3">
      <c r="A961">
        <v>960</v>
      </c>
      <c r="B961" s="21">
        <v>40586</v>
      </c>
      <c r="C961" s="25" t="s">
        <v>16</v>
      </c>
      <c r="D961" s="25" t="str" cm="1">
        <f t="array" ref="D961">_xlfn.SWITCH(Sheet5!A961,1,"JANUARY",2,"FEBRUARY")</f>
        <v>FEBRUARY</v>
      </c>
      <c r="E961">
        <v>14</v>
      </c>
      <c r="F961" t="str" cm="1">
        <f t="array" ref="F961">_xlfn.SWITCH(Sheet5!C961,FALSE,"NO",TRUE,"YES")</f>
        <v>NO</v>
      </c>
      <c r="G961" t="str" cm="1">
        <f t="array" ref="G961">_xlfn.SWITCH(Sheet5!B961,0,"Sunday",1,"Monday",2,"Tuesday",3,"Wednesday",4,"Thursday",5,"Friday",6,"Saturday")</f>
        <v>Saturday</v>
      </c>
      <c r="H961" t="str" cm="1">
        <f t="array" ref="H961">_xlfn.SWITCH(Sheet5!D961, 1, "Clear Sky", 2, "Mist", 3, "Dark Cloud",4,"Heavy Rainfall")</f>
        <v>Clear Sky</v>
      </c>
      <c r="I961" s="26">
        <f>Sheet5!E961*41</f>
        <v>13.940000000000001</v>
      </c>
      <c r="J961" s="27">
        <v>0.31</v>
      </c>
      <c r="K961">
        <v>0.28360000000000002</v>
      </c>
      <c r="L961">
        <v>30</v>
      </c>
      <c r="M961">
        <v>90</v>
      </c>
      <c r="N961">
        <v>120</v>
      </c>
    </row>
    <row r="962" spans="1:14" x14ac:dyDescent="0.3">
      <c r="A962">
        <v>961</v>
      </c>
      <c r="B962" s="21">
        <v>40586</v>
      </c>
      <c r="C962" s="25" t="s">
        <v>16</v>
      </c>
      <c r="D962" s="25" t="str" cm="1">
        <f t="array" ref="D962">_xlfn.SWITCH(Sheet5!A962,1,"JANUARY",2,"FEBRUARY")</f>
        <v>FEBRUARY</v>
      </c>
      <c r="E962">
        <v>15</v>
      </c>
      <c r="F962" t="str" cm="1">
        <f t="array" ref="F962">_xlfn.SWITCH(Sheet5!C962,FALSE,"NO",TRUE,"YES")</f>
        <v>NO</v>
      </c>
      <c r="G962" t="str" cm="1">
        <f t="array" ref="G962">_xlfn.SWITCH(Sheet5!B962,0,"Sunday",1,"Monday",2,"Tuesday",3,"Wednesday",4,"Thursday",5,"Friday",6,"Saturday")</f>
        <v>Saturday</v>
      </c>
      <c r="H962" t="str" cm="1">
        <f t="array" ref="H962">_xlfn.SWITCH(Sheet5!D962, 1, "Clear Sky", 2, "Mist", 3, "Dark Cloud",4,"Heavy Rainfall")</f>
        <v>Clear Sky</v>
      </c>
      <c r="I962" s="26">
        <f>Sheet5!E962*41</f>
        <v>13.940000000000001</v>
      </c>
      <c r="J962" s="27">
        <v>0.28999999999999998</v>
      </c>
      <c r="K962">
        <v>0.41789999999999999</v>
      </c>
      <c r="L962">
        <v>47</v>
      </c>
      <c r="M962">
        <v>127</v>
      </c>
      <c r="N962">
        <v>174</v>
      </c>
    </row>
    <row r="963" spans="1:14" x14ac:dyDescent="0.3">
      <c r="A963">
        <v>962</v>
      </c>
      <c r="B963" s="21">
        <v>40586</v>
      </c>
      <c r="C963" s="25" t="s">
        <v>16</v>
      </c>
      <c r="D963" s="25" t="str" cm="1">
        <f t="array" ref="D963">_xlfn.SWITCH(Sheet5!A963,1,"JANUARY",2,"FEBRUARY")</f>
        <v>FEBRUARY</v>
      </c>
      <c r="E963">
        <v>16</v>
      </c>
      <c r="F963" t="str" cm="1">
        <f t="array" ref="F963">_xlfn.SWITCH(Sheet5!C963,FALSE,"NO",TRUE,"YES")</f>
        <v>NO</v>
      </c>
      <c r="G963" t="str" cm="1">
        <f t="array" ref="G963">_xlfn.SWITCH(Sheet5!B963,0,"Sunday",1,"Monday",2,"Tuesday",3,"Wednesday",4,"Thursday",5,"Friday",6,"Saturday")</f>
        <v>Saturday</v>
      </c>
      <c r="H963" t="str" cm="1">
        <f t="array" ref="H963">_xlfn.SWITCH(Sheet5!D963, 1, "Clear Sky", 2, "Mist", 3, "Dark Cloud",4,"Heavy Rainfall")</f>
        <v>Clear Sky</v>
      </c>
      <c r="I963" s="26">
        <f>Sheet5!E963*41</f>
        <v>13.940000000000001</v>
      </c>
      <c r="J963" s="27">
        <v>0.28999999999999998</v>
      </c>
      <c r="K963">
        <v>0.41789999999999999</v>
      </c>
      <c r="L963">
        <v>42</v>
      </c>
      <c r="M963">
        <v>103</v>
      </c>
      <c r="N963">
        <v>145</v>
      </c>
    </row>
    <row r="964" spans="1:14" x14ac:dyDescent="0.3">
      <c r="A964">
        <v>963</v>
      </c>
      <c r="B964" s="21">
        <v>40586</v>
      </c>
      <c r="C964" s="25" t="s">
        <v>16</v>
      </c>
      <c r="D964" s="25" t="str" cm="1">
        <f t="array" ref="D964">_xlfn.SWITCH(Sheet5!A964,1,"JANUARY",2,"FEBRUARY")</f>
        <v>FEBRUARY</v>
      </c>
      <c r="E964">
        <v>17</v>
      </c>
      <c r="F964" t="str" cm="1">
        <f t="array" ref="F964">_xlfn.SWITCH(Sheet5!C964,FALSE,"NO",TRUE,"YES")</f>
        <v>NO</v>
      </c>
      <c r="G964" t="str" cm="1">
        <f t="array" ref="G964">_xlfn.SWITCH(Sheet5!B964,0,"Sunday",1,"Monday",2,"Tuesday",3,"Wednesday",4,"Thursday",5,"Friday",6,"Saturday")</f>
        <v>Saturday</v>
      </c>
      <c r="H964" t="str" cm="1">
        <f t="array" ref="H964">_xlfn.SWITCH(Sheet5!D964, 1, "Clear Sky", 2, "Mist", 3, "Dark Cloud",4,"Heavy Rainfall")</f>
        <v>Clear Sky</v>
      </c>
      <c r="I964" s="26">
        <f>Sheet5!E964*41</f>
        <v>13.120000000000001</v>
      </c>
      <c r="J964" s="27">
        <v>0.31</v>
      </c>
      <c r="K964">
        <v>0.52239999999999998</v>
      </c>
      <c r="L964">
        <v>24</v>
      </c>
      <c r="M964">
        <v>113</v>
      </c>
      <c r="N964">
        <v>137</v>
      </c>
    </row>
    <row r="965" spans="1:14" x14ac:dyDescent="0.3">
      <c r="A965">
        <v>964</v>
      </c>
      <c r="B965" s="21">
        <v>40586</v>
      </c>
      <c r="C965" s="25" t="s">
        <v>16</v>
      </c>
      <c r="D965" s="25" t="str" cm="1">
        <f t="array" ref="D965">_xlfn.SWITCH(Sheet5!A965,1,"JANUARY",2,"FEBRUARY")</f>
        <v>FEBRUARY</v>
      </c>
      <c r="E965">
        <v>18</v>
      </c>
      <c r="F965" t="str" cm="1">
        <f t="array" ref="F965">_xlfn.SWITCH(Sheet5!C965,FALSE,"NO",TRUE,"YES")</f>
        <v>NO</v>
      </c>
      <c r="G965" t="str" cm="1">
        <f t="array" ref="G965">_xlfn.SWITCH(Sheet5!B965,0,"Sunday",1,"Monday",2,"Tuesday",3,"Wednesday",4,"Thursday",5,"Friday",6,"Saturday")</f>
        <v>Saturday</v>
      </c>
      <c r="H965" t="str" cm="1">
        <f t="array" ref="H965">_xlfn.SWITCH(Sheet5!D965, 1, "Clear Sky", 2, "Mist", 3, "Dark Cloud",4,"Heavy Rainfall")</f>
        <v>Clear Sky</v>
      </c>
      <c r="I965" s="26">
        <f>Sheet5!E965*41</f>
        <v>11.48</v>
      </c>
      <c r="J965" s="27">
        <v>0.38</v>
      </c>
      <c r="K965">
        <v>0.32840000000000003</v>
      </c>
      <c r="L965">
        <v>4</v>
      </c>
      <c r="M965">
        <v>60</v>
      </c>
      <c r="N965">
        <v>64</v>
      </c>
    </row>
    <row r="966" spans="1:14" x14ac:dyDescent="0.3">
      <c r="A966">
        <v>965</v>
      </c>
      <c r="B966" s="21">
        <v>40586</v>
      </c>
      <c r="C966" s="25" t="s">
        <v>16</v>
      </c>
      <c r="D966" s="25" t="str" cm="1">
        <f t="array" ref="D966">_xlfn.SWITCH(Sheet5!A966,1,"JANUARY",2,"FEBRUARY")</f>
        <v>FEBRUARY</v>
      </c>
      <c r="E966">
        <v>19</v>
      </c>
      <c r="F966" t="str" cm="1">
        <f t="array" ref="F966">_xlfn.SWITCH(Sheet5!C966,FALSE,"NO",TRUE,"YES")</f>
        <v>NO</v>
      </c>
      <c r="G966" t="str" cm="1">
        <f t="array" ref="G966">_xlfn.SWITCH(Sheet5!B966,0,"Sunday",1,"Monday",2,"Tuesday",3,"Wednesday",4,"Thursday",5,"Friday",6,"Saturday")</f>
        <v>Saturday</v>
      </c>
      <c r="H966" t="str" cm="1">
        <f t="array" ref="H966">_xlfn.SWITCH(Sheet5!D966, 1, "Clear Sky", 2, "Mist", 3, "Dark Cloud",4,"Heavy Rainfall")</f>
        <v>Clear Sky</v>
      </c>
      <c r="I966" s="26">
        <f>Sheet5!E966*41</f>
        <v>11.48</v>
      </c>
      <c r="J966" s="27">
        <v>0.38</v>
      </c>
      <c r="K966">
        <v>0.16420000000000001</v>
      </c>
      <c r="L966">
        <v>2</v>
      </c>
      <c r="M966">
        <v>39</v>
      </c>
      <c r="N966">
        <v>41</v>
      </c>
    </row>
    <row r="967" spans="1:14" x14ac:dyDescent="0.3">
      <c r="A967">
        <v>966</v>
      </c>
      <c r="B967" s="21">
        <v>40586</v>
      </c>
      <c r="C967" s="25" t="s">
        <v>16</v>
      </c>
      <c r="D967" s="25" t="str" cm="1">
        <f t="array" ref="D967">_xlfn.SWITCH(Sheet5!A967,1,"JANUARY",2,"FEBRUARY")</f>
        <v>FEBRUARY</v>
      </c>
      <c r="E967">
        <v>20</v>
      </c>
      <c r="F967" t="str" cm="1">
        <f t="array" ref="F967">_xlfn.SWITCH(Sheet5!C967,FALSE,"NO",TRUE,"YES")</f>
        <v>NO</v>
      </c>
      <c r="G967" t="str" cm="1">
        <f t="array" ref="G967">_xlfn.SWITCH(Sheet5!B967,0,"Sunday",1,"Monday",2,"Tuesday",3,"Wednesday",4,"Thursday",5,"Friday",6,"Saturday")</f>
        <v>Saturday</v>
      </c>
      <c r="H967" t="str" cm="1">
        <f t="array" ref="H967">_xlfn.SWITCH(Sheet5!D967, 1, "Clear Sky", 2, "Mist", 3, "Dark Cloud",4,"Heavy Rainfall")</f>
        <v>Clear Sky</v>
      </c>
      <c r="I967" s="26">
        <f>Sheet5!E967*41</f>
        <v>10.66</v>
      </c>
      <c r="J967" s="27">
        <v>0.41</v>
      </c>
      <c r="K967">
        <v>0.22389999999999999</v>
      </c>
      <c r="L967">
        <v>1</v>
      </c>
      <c r="M967">
        <v>39</v>
      </c>
      <c r="N967">
        <v>40</v>
      </c>
    </row>
    <row r="968" spans="1:14" x14ac:dyDescent="0.3">
      <c r="A968">
        <v>967</v>
      </c>
      <c r="B968" s="21">
        <v>40586</v>
      </c>
      <c r="C968" s="25" t="s">
        <v>16</v>
      </c>
      <c r="D968" s="25" t="str" cm="1">
        <f t="array" ref="D968">_xlfn.SWITCH(Sheet5!A968,1,"JANUARY",2,"FEBRUARY")</f>
        <v>FEBRUARY</v>
      </c>
      <c r="E968">
        <v>21</v>
      </c>
      <c r="F968" t="str" cm="1">
        <f t="array" ref="F968">_xlfn.SWITCH(Sheet5!C968,FALSE,"NO",TRUE,"YES")</f>
        <v>NO</v>
      </c>
      <c r="G968" t="str" cm="1">
        <f t="array" ref="G968">_xlfn.SWITCH(Sheet5!B968,0,"Sunday",1,"Monday",2,"Tuesday",3,"Wednesday",4,"Thursday",5,"Friday",6,"Saturday")</f>
        <v>Saturday</v>
      </c>
      <c r="H968" t="str" cm="1">
        <f t="array" ref="H968">_xlfn.SWITCH(Sheet5!D968, 1, "Clear Sky", 2, "Mist", 3, "Dark Cloud",4,"Heavy Rainfall")</f>
        <v>Clear Sky</v>
      </c>
      <c r="I968" s="26">
        <f>Sheet5!E968*41</f>
        <v>10.66</v>
      </c>
      <c r="J968" s="27">
        <v>0.41</v>
      </c>
      <c r="K968">
        <v>0</v>
      </c>
      <c r="L968">
        <v>9</v>
      </c>
      <c r="M968">
        <v>42</v>
      </c>
      <c r="N968">
        <v>51</v>
      </c>
    </row>
    <row r="969" spans="1:14" x14ac:dyDescent="0.3">
      <c r="A969">
        <v>968</v>
      </c>
      <c r="B969" s="21">
        <v>40586</v>
      </c>
      <c r="C969" s="25" t="s">
        <v>16</v>
      </c>
      <c r="D969" s="25" t="str" cm="1">
        <f t="array" ref="D969">_xlfn.SWITCH(Sheet5!A969,1,"JANUARY",2,"FEBRUARY")</f>
        <v>FEBRUARY</v>
      </c>
      <c r="E969">
        <v>22</v>
      </c>
      <c r="F969" t="str" cm="1">
        <f t="array" ref="F969">_xlfn.SWITCH(Sheet5!C969,FALSE,"NO",TRUE,"YES")</f>
        <v>NO</v>
      </c>
      <c r="G969" t="str" cm="1">
        <f t="array" ref="G969">_xlfn.SWITCH(Sheet5!B969,0,"Sunday",1,"Monday",2,"Tuesday",3,"Wednesday",4,"Thursday",5,"Friday",6,"Saturday")</f>
        <v>Saturday</v>
      </c>
      <c r="H969" t="str" cm="1">
        <f t="array" ref="H969">_xlfn.SWITCH(Sheet5!D969, 1, "Clear Sky", 2, "Mist", 3, "Dark Cloud",4,"Heavy Rainfall")</f>
        <v>Clear Sky</v>
      </c>
      <c r="I969" s="26">
        <f>Sheet5!E969*41</f>
        <v>9.84</v>
      </c>
      <c r="J969" s="27">
        <v>0.44</v>
      </c>
      <c r="K969">
        <v>8.9599999999999999E-2</v>
      </c>
      <c r="L969">
        <v>6</v>
      </c>
      <c r="M969">
        <v>39</v>
      </c>
      <c r="N969">
        <v>45</v>
      </c>
    </row>
    <row r="970" spans="1:14" x14ac:dyDescent="0.3">
      <c r="A970">
        <v>969</v>
      </c>
      <c r="B970" s="21">
        <v>40586</v>
      </c>
      <c r="C970" s="25" t="s">
        <v>16</v>
      </c>
      <c r="D970" s="25" t="str" cm="1">
        <f t="array" ref="D970">_xlfn.SWITCH(Sheet5!A970,1,"JANUARY",2,"FEBRUARY")</f>
        <v>FEBRUARY</v>
      </c>
      <c r="E970">
        <v>23</v>
      </c>
      <c r="F970" t="str" cm="1">
        <f t="array" ref="F970">_xlfn.SWITCH(Sheet5!C970,FALSE,"NO",TRUE,"YES")</f>
        <v>NO</v>
      </c>
      <c r="G970" t="str" cm="1">
        <f t="array" ref="G970">_xlfn.SWITCH(Sheet5!B970,0,"Sunday",1,"Monday",2,"Tuesday",3,"Wednesday",4,"Thursday",5,"Friday",6,"Saturday")</f>
        <v>Saturday</v>
      </c>
      <c r="H970" t="str" cm="1">
        <f t="array" ref="H970">_xlfn.SWITCH(Sheet5!D970, 1, "Clear Sky", 2, "Mist", 3, "Dark Cloud",4,"Heavy Rainfall")</f>
        <v>Clear Sky</v>
      </c>
      <c r="I970" s="26">
        <f>Sheet5!E970*41</f>
        <v>9.02</v>
      </c>
      <c r="J970" s="27">
        <v>0.51</v>
      </c>
      <c r="K970">
        <v>0.1343</v>
      </c>
      <c r="L970">
        <v>1</v>
      </c>
      <c r="M970">
        <v>31</v>
      </c>
      <c r="N970">
        <v>32</v>
      </c>
    </row>
    <row r="971" spans="1:14" x14ac:dyDescent="0.3">
      <c r="A971">
        <v>970</v>
      </c>
      <c r="B971" s="21">
        <v>40587</v>
      </c>
      <c r="C971" s="25" t="s">
        <v>16</v>
      </c>
      <c r="D971" s="25" t="str" cm="1">
        <f t="array" ref="D971">_xlfn.SWITCH(Sheet5!A971,1,"JANUARY",2,"FEBRUARY")</f>
        <v>FEBRUARY</v>
      </c>
      <c r="E971">
        <v>0</v>
      </c>
      <c r="F971" t="str" cm="1">
        <f t="array" ref="F971">_xlfn.SWITCH(Sheet5!C971,FALSE,"NO",TRUE,"YES")</f>
        <v>NO</v>
      </c>
      <c r="G971" t="str" cm="1">
        <f t="array" ref="G971">_xlfn.SWITCH(Sheet5!B971,0,"Sunday",1,"Monday",2,"Tuesday",3,"Wednesday",4,"Thursday",5,"Friday",6,"Saturday")</f>
        <v>Sunday</v>
      </c>
      <c r="H971" t="str" cm="1">
        <f t="array" ref="H971">_xlfn.SWITCH(Sheet5!D971, 1, "Clear Sky", 2, "Mist", 3, "Dark Cloud",4,"Heavy Rainfall")</f>
        <v>Clear Sky</v>
      </c>
      <c r="I971" s="26">
        <f>Sheet5!E971*41</f>
        <v>8.2000000000000011</v>
      </c>
      <c r="J971" s="27">
        <v>0.64</v>
      </c>
      <c r="K971">
        <v>0.1045</v>
      </c>
      <c r="L971">
        <v>5</v>
      </c>
      <c r="M971">
        <v>34</v>
      </c>
      <c r="N971">
        <v>39</v>
      </c>
    </row>
    <row r="972" spans="1:14" x14ac:dyDescent="0.3">
      <c r="A972">
        <v>971</v>
      </c>
      <c r="B972" s="21">
        <v>40587</v>
      </c>
      <c r="C972" s="25" t="s">
        <v>16</v>
      </c>
      <c r="D972" s="25" t="str" cm="1">
        <f t="array" ref="D972">_xlfn.SWITCH(Sheet5!A972,1,"JANUARY",2,"FEBRUARY")</f>
        <v>FEBRUARY</v>
      </c>
      <c r="E972">
        <v>1</v>
      </c>
      <c r="F972" t="str" cm="1">
        <f t="array" ref="F972">_xlfn.SWITCH(Sheet5!C972,FALSE,"NO",TRUE,"YES")</f>
        <v>NO</v>
      </c>
      <c r="G972" t="str" cm="1">
        <f t="array" ref="G972">_xlfn.SWITCH(Sheet5!B972,0,"Sunday",1,"Monday",2,"Tuesday",3,"Wednesday",4,"Thursday",5,"Friday",6,"Saturday")</f>
        <v>Sunday</v>
      </c>
      <c r="H972" t="str" cm="1">
        <f t="array" ref="H972">_xlfn.SWITCH(Sheet5!D972, 1, "Clear Sky", 2, "Mist", 3, "Dark Cloud",4,"Heavy Rainfall")</f>
        <v>Clear Sky</v>
      </c>
      <c r="I972" s="26">
        <f>Sheet5!E972*41</f>
        <v>8.2000000000000011</v>
      </c>
      <c r="J972" s="27">
        <v>0.59</v>
      </c>
      <c r="K972">
        <v>8.9599999999999999E-2</v>
      </c>
      <c r="L972">
        <v>1</v>
      </c>
      <c r="M972">
        <v>23</v>
      </c>
      <c r="N972">
        <v>24</v>
      </c>
    </row>
    <row r="973" spans="1:14" x14ac:dyDescent="0.3">
      <c r="A973">
        <v>972</v>
      </c>
      <c r="B973" s="21">
        <v>40587</v>
      </c>
      <c r="C973" s="25" t="s">
        <v>16</v>
      </c>
      <c r="D973" s="25" t="str" cm="1">
        <f t="array" ref="D973">_xlfn.SWITCH(Sheet5!A973,1,"JANUARY",2,"FEBRUARY")</f>
        <v>FEBRUARY</v>
      </c>
      <c r="E973">
        <v>2</v>
      </c>
      <c r="F973" t="str" cm="1">
        <f t="array" ref="F973">_xlfn.SWITCH(Sheet5!C973,FALSE,"NO",TRUE,"YES")</f>
        <v>NO</v>
      </c>
      <c r="G973" t="str" cm="1">
        <f t="array" ref="G973">_xlfn.SWITCH(Sheet5!B973,0,"Sunday",1,"Monday",2,"Tuesday",3,"Wednesday",4,"Thursday",5,"Friday",6,"Saturday")</f>
        <v>Sunday</v>
      </c>
      <c r="H973" t="str" cm="1">
        <f t="array" ref="H973">_xlfn.SWITCH(Sheet5!D973, 1, "Clear Sky", 2, "Mist", 3, "Dark Cloud",4,"Heavy Rainfall")</f>
        <v>Mist</v>
      </c>
      <c r="I973" s="26">
        <f>Sheet5!E973*41</f>
        <v>8.2000000000000011</v>
      </c>
      <c r="J973" s="27">
        <v>0.75</v>
      </c>
      <c r="K973">
        <v>8.9599999999999999E-2</v>
      </c>
      <c r="L973">
        <v>1</v>
      </c>
      <c r="M973">
        <v>19</v>
      </c>
      <c r="N973">
        <v>20</v>
      </c>
    </row>
    <row r="974" spans="1:14" x14ac:dyDescent="0.3">
      <c r="A974">
        <v>973</v>
      </c>
      <c r="B974" s="21">
        <v>40587</v>
      </c>
      <c r="C974" s="25" t="s">
        <v>16</v>
      </c>
      <c r="D974" s="25" t="str" cm="1">
        <f t="array" ref="D974">_xlfn.SWITCH(Sheet5!A974,1,"JANUARY",2,"FEBRUARY")</f>
        <v>FEBRUARY</v>
      </c>
      <c r="E974">
        <v>3</v>
      </c>
      <c r="F974" t="str" cm="1">
        <f t="array" ref="F974">_xlfn.SWITCH(Sheet5!C974,FALSE,"NO",TRUE,"YES")</f>
        <v>NO</v>
      </c>
      <c r="G974" t="str" cm="1">
        <f t="array" ref="G974">_xlfn.SWITCH(Sheet5!B974,0,"Sunday",1,"Monday",2,"Tuesday",3,"Wednesday",4,"Thursday",5,"Friday",6,"Saturday")</f>
        <v>Sunday</v>
      </c>
      <c r="H974" t="str" cm="1">
        <f t="array" ref="H974">_xlfn.SWITCH(Sheet5!D974, 1, "Clear Sky", 2, "Mist", 3, "Dark Cloud",4,"Heavy Rainfall")</f>
        <v>Mist</v>
      </c>
      <c r="I974" s="26">
        <f>Sheet5!E974*41</f>
        <v>8.2000000000000011</v>
      </c>
      <c r="J974" s="27">
        <v>0.69</v>
      </c>
      <c r="K974">
        <v>0.1045</v>
      </c>
      <c r="L974">
        <v>4</v>
      </c>
      <c r="M974">
        <v>8</v>
      </c>
      <c r="N974">
        <v>12</v>
      </c>
    </row>
    <row r="975" spans="1:14" x14ac:dyDescent="0.3">
      <c r="A975">
        <v>974</v>
      </c>
      <c r="B975" s="21">
        <v>40587</v>
      </c>
      <c r="C975" s="25" t="s">
        <v>16</v>
      </c>
      <c r="D975" s="25" t="str" cm="1">
        <f t="array" ref="D975">_xlfn.SWITCH(Sheet5!A975,1,"JANUARY",2,"FEBRUARY")</f>
        <v>FEBRUARY</v>
      </c>
      <c r="E975">
        <v>4</v>
      </c>
      <c r="F975" t="str" cm="1">
        <f t="array" ref="F975">_xlfn.SWITCH(Sheet5!C975,FALSE,"NO",TRUE,"YES")</f>
        <v>NO</v>
      </c>
      <c r="G975" t="str" cm="1">
        <f t="array" ref="G975">_xlfn.SWITCH(Sheet5!B975,0,"Sunday",1,"Monday",2,"Tuesday",3,"Wednesday",4,"Thursday",5,"Friday",6,"Saturday")</f>
        <v>Sunday</v>
      </c>
      <c r="H975" t="str" cm="1">
        <f t="array" ref="H975">_xlfn.SWITCH(Sheet5!D975, 1, "Clear Sky", 2, "Mist", 3, "Dark Cloud",4,"Heavy Rainfall")</f>
        <v>Mist</v>
      </c>
      <c r="I975" s="26">
        <f>Sheet5!E975*41</f>
        <v>8.2000000000000011</v>
      </c>
      <c r="J975" s="27">
        <v>0.69</v>
      </c>
      <c r="K975">
        <v>0.16420000000000001</v>
      </c>
      <c r="L975">
        <v>0</v>
      </c>
      <c r="M975">
        <v>2</v>
      </c>
      <c r="N975">
        <v>2</v>
      </c>
    </row>
    <row r="976" spans="1:14" x14ac:dyDescent="0.3">
      <c r="A976">
        <v>975</v>
      </c>
      <c r="B976" s="21">
        <v>40587</v>
      </c>
      <c r="C976" s="25" t="s">
        <v>16</v>
      </c>
      <c r="D976" s="25" t="str" cm="1">
        <f t="array" ref="D976">_xlfn.SWITCH(Sheet5!A976,1,"JANUARY",2,"FEBRUARY")</f>
        <v>FEBRUARY</v>
      </c>
      <c r="E976">
        <v>6</v>
      </c>
      <c r="F976" t="str" cm="1">
        <f t="array" ref="F976">_xlfn.SWITCH(Sheet5!C976,FALSE,"NO",TRUE,"YES")</f>
        <v>NO</v>
      </c>
      <c r="G976" t="str" cm="1">
        <f t="array" ref="G976">_xlfn.SWITCH(Sheet5!B976,0,"Sunday",1,"Monday",2,"Tuesday",3,"Wednesday",4,"Thursday",5,"Friday",6,"Saturday")</f>
        <v>Sunday</v>
      </c>
      <c r="H976" t="str" cm="1">
        <f t="array" ref="H976">_xlfn.SWITCH(Sheet5!D976, 1, "Clear Sky", 2, "Mist", 3, "Dark Cloud",4,"Heavy Rainfall")</f>
        <v>Mist</v>
      </c>
      <c r="I976" s="26">
        <f>Sheet5!E976*41</f>
        <v>8.2000000000000011</v>
      </c>
      <c r="J976" s="27">
        <v>0.69</v>
      </c>
      <c r="K976">
        <v>0.1343</v>
      </c>
      <c r="L976">
        <v>2</v>
      </c>
      <c r="M976">
        <v>3</v>
      </c>
      <c r="N976">
        <v>5</v>
      </c>
    </row>
    <row r="977" spans="1:14" x14ac:dyDescent="0.3">
      <c r="A977">
        <v>976</v>
      </c>
      <c r="B977" s="21">
        <v>40587</v>
      </c>
      <c r="C977" s="25" t="s">
        <v>16</v>
      </c>
      <c r="D977" s="25" t="str" cm="1">
        <f t="array" ref="D977">_xlfn.SWITCH(Sheet5!A977,1,"JANUARY",2,"FEBRUARY")</f>
        <v>FEBRUARY</v>
      </c>
      <c r="E977">
        <v>7</v>
      </c>
      <c r="F977" t="str" cm="1">
        <f t="array" ref="F977">_xlfn.SWITCH(Sheet5!C977,FALSE,"NO",TRUE,"YES")</f>
        <v>NO</v>
      </c>
      <c r="G977" t="str" cm="1">
        <f t="array" ref="G977">_xlfn.SWITCH(Sheet5!B977,0,"Sunday",1,"Monday",2,"Tuesday",3,"Wednesday",4,"Thursday",5,"Friday",6,"Saturday")</f>
        <v>Sunday</v>
      </c>
      <c r="H977" t="str" cm="1">
        <f t="array" ref="H977">_xlfn.SWITCH(Sheet5!D977, 1, "Clear Sky", 2, "Mist", 3, "Dark Cloud",4,"Heavy Rainfall")</f>
        <v>Mist</v>
      </c>
      <c r="I977" s="26">
        <f>Sheet5!E977*41</f>
        <v>9.02</v>
      </c>
      <c r="J977" s="27">
        <v>0.55000000000000004</v>
      </c>
      <c r="K977">
        <v>0</v>
      </c>
      <c r="L977">
        <v>0</v>
      </c>
      <c r="M977">
        <v>3</v>
      </c>
      <c r="N977">
        <v>3</v>
      </c>
    </row>
    <row r="978" spans="1:14" x14ac:dyDescent="0.3">
      <c r="A978">
        <v>977</v>
      </c>
      <c r="B978" s="21">
        <v>40587</v>
      </c>
      <c r="C978" s="25" t="s">
        <v>16</v>
      </c>
      <c r="D978" s="25" t="str" cm="1">
        <f t="array" ref="D978">_xlfn.SWITCH(Sheet5!A978,1,"JANUARY",2,"FEBRUARY")</f>
        <v>FEBRUARY</v>
      </c>
      <c r="E978">
        <v>8</v>
      </c>
      <c r="F978" t="str" cm="1">
        <f t="array" ref="F978">_xlfn.SWITCH(Sheet5!C978,FALSE,"NO",TRUE,"YES")</f>
        <v>NO</v>
      </c>
      <c r="G978" t="str" cm="1">
        <f t="array" ref="G978">_xlfn.SWITCH(Sheet5!B978,0,"Sunday",1,"Monday",2,"Tuesday",3,"Wednesday",4,"Thursday",5,"Friday",6,"Saturday")</f>
        <v>Sunday</v>
      </c>
      <c r="H978" t="str" cm="1">
        <f t="array" ref="H978">_xlfn.SWITCH(Sheet5!D978, 1, "Clear Sky", 2, "Mist", 3, "Dark Cloud",4,"Heavy Rainfall")</f>
        <v>Mist</v>
      </c>
      <c r="I978" s="26">
        <f>Sheet5!E978*41</f>
        <v>9.02</v>
      </c>
      <c r="J978" s="27">
        <v>0.64</v>
      </c>
      <c r="K978">
        <v>0.19400000000000001</v>
      </c>
      <c r="L978">
        <v>1</v>
      </c>
      <c r="M978">
        <v>11</v>
      </c>
      <c r="N978">
        <v>12</v>
      </c>
    </row>
    <row r="979" spans="1:14" x14ac:dyDescent="0.3">
      <c r="A979">
        <v>978</v>
      </c>
      <c r="B979" s="21">
        <v>40587</v>
      </c>
      <c r="C979" s="25" t="s">
        <v>16</v>
      </c>
      <c r="D979" s="25" t="str" cm="1">
        <f t="array" ref="D979">_xlfn.SWITCH(Sheet5!A979,1,"JANUARY",2,"FEBRUARY")</f>
        <v>FEBRUARY</v>
      </c>
      <c r="E979">
        <v>9</v>
      </c>
      <c r="F979" t="str" cm="1">
        <f t="array" ref="F979">_xlfn.SWITCH(Sheet5!C979,FALSE,"NO",TRUE,"YES")</f>
        <v>NO</v>
      </c>
      <c r="G979" t="str" cm="1">
        <f t="array" ref="G979">_xlfn.SWITCH(Sheet5!B979,0,"Sunday",1,"Monday",2,"Tuesday",3,"Wednesday",4,"Thursday",5,"Friday",6,"Saturday")</f>
        <v>Sunday</v>
      </c>
      <c r="H979" t="str" cm="1">
        <f t="array" ref="H979">_xlfn.SWITCH(Sheet5!D979, 1, "Clear Sky", 2, "Mist", 3, "Dark Cloud",4,"Heavy Rainfall")</f>
        <v>Mist</v>
      </c>
      <c r="I979" s="26">
        <f>Sheet5!E979*41</f>
        <v>9.84</v>
      </c>
      <c r="J979" s="27">
        <v>0.6</v>
      </c>
      <c r="K979">
        <v>0.22389999999999999</v>
      </c>
      <c r="L979">
        <v>12</v>
      </c>
      <c r="M979">
        <v>35</v>
      </c>
      <c r="N979">
        <v>47</v>
      </c>
    </row>
    <row r="980" spans="1:14" x14ac:dyDescent="0.3">
      <c r="A980">
        <v>979</v>
      </c>
      <c r="B980" s="21">
        <v>40587</v>
      </c>
      <c r="C980" s="25" t="s">
        <v>16</v>
      </c>
      <c r="D980" s="25" t="str" cm="1">
        <f t="array" ref="D980">_xlfn.SWITCH(Sheet5!A980,1,"JANUARY",2,"FEBRUARY")</f>
        <v>FEBRUARY</v>
      </c>
      <c r="E980">
        <v>10</v>
      </c>
      <c r="F980" t="str" cm="1">
        <f t="array" ref="F980">_xlfn.SWITCH(Sheet5!C980,FALSE,"NO",TRUE,"YES")</f>
        <v>NO</v>
      </c>
      <c r="G980" t="str" cm="1">
        <f t="array" ref="G980">_xlfn.SWITCH(Sheet5!B980,0,"Sunday",1,"Monday",2,"Tuesday",3,"Wednesday",4,"Thursday",5,"Friday",6,"Saturday")</f>
        <v>Sunday</v>
      </c>
      <c r="H980" t="str" cm="1">
        <f t="array" ref="H980">_xlfn.SWITCH(Sheet5!D980, 1, "Clear Sky", 2, "Mist", 3, "Dark Cloud",4,"Heavy Rainfall")</f>
        <v>Clear Sky</v>
      </c>
      <c r="I980" s="26">
        <f>Sheet5!E980*41</f>
        <v>12.299999999999999</v>
      </c>
      <c r="J980" s="27">
        <v>0.45</v>
      </c>
      <c r="K980">
        <v>0.32840000000000003</v>
      </c>
      <c r="L980">
        <v>19</v>
      </c>
      <c r="M980">
        <v>86</v>
      </c>
      <c r="N980">
        <v>105</v>
      </c>
    </row>
    <row r="981" spans="1:14" x14ac:dyDescent="0.3">
      <c r="A981">
        <v>980</v>
      </c>
      <c r="B981" s="21">
        <v>40587</v>
      </c>
      <c r="C981" s="25" t="s">
        <v>16</v>
      </c>
      <c r="D981" s="25" t="str" cm="1">
        <f t="array" ref="D981">_xlfn.SWITCH(Sheet5!A981,1,"JANUARY",2,"FEBRUARY")</f>
        <v>FEBRUARY</v>
      </c>
      <c r="E981">
        <v>11</v>
      </c>
      <c r="F981" t="str" cm="1">
        <f t="array" ref="F981">_xlfn.SWITCH(Sheet5!C981,FALSE,"NO",TRUE,"YES")</f>
        <v>NO</v>
      </c>
      <c r="G981" t="str" cm="1">
        <f t="array" ref="G981">_xlfn.SWITCH(Sheet5!B981,0,"Sunday",1,"Monday",2,"Tuesday",3,"Wednesday",4,"Thursday",5,"Friday",6,"Saturday")</f>
        <v>Sunday</v>
      </c>
      <c r="H981" t="str" cm="1">
        <f t="array" ref="H981">_xlfn.SWITCH(Sheet5!D981, 1, "Clear Sky", 2, "Mist", 3, "Dark Cloud",4,"Heavy Rainfall")</f>
        <v>Clear Sky</v>
      </c>
      <c r="I981" s="26">
        <f>Sheet5!E981*41</f>
        <v>13.120000000000001</v>
      </c>
      <c r="J981" s="27">
        <v>0.39</v>
      </c>
      <c r="K981">
        <v>0.44779999999999998</v>
      </c>
      <c r="L981">
        <v>26</v>
      </c>
      <c r="M981">
        <v>86</v>
      </c>
      <c r="N981">
        <v>112</v>
      </c>
    </row>
    <row r="982" spans="1:14" x14ac:dyDescent="0.3">
      <c r="A982">
        <v>981</v>
      </c>
      <c r="B982" s="21">
        <v>40587</v>
      </c>
      <c r="C982" s="25" t="s">
        <v>16</v>
      </c>
      <c r="D982" s="25" t="str" cm="1">
        <f t="array" ref="D982">_xlfn.SWITCH(Sheet5!A982,1,"JANUARY",2,"FEBRUARY")</f>
        <v>FEBRUARY</v>
      </c>
      <c r="E982">
        <v>12</v>
      </c>
      <c r="F982" t="str" cm="1">
        <f t="array" ref="F982">_xlfn.SWITCH(Sheet5!C982,FALSE,"NO",TRUE,"YES")</f>
        <v>NO</v>
      </c>
      <c r="G982" t="str" cm="1">
        <f t="array" ref="G982">_xlfn.SWITCH(Sheet5!B982,0,"Sunday",1,"Monday",2,"Tuesday",3,"Wednesday",4,"Thursday",5,"Friday",6,"Saturday")</f>
        <v>Sunday</v>
      </c>
      <c r="H982" t="str" cm="1">
        <f t="array" ref="H982">_xlfn.SWITCH(Sheet5!D982, 1, "Clear Sky", 2, "Mist", 3, "Dark Cloud",4,"Heavy Rainfall")</f>
        <v>Clear Sky</v>
      </c>
      <c r="I982" s="26">
        <f>Sheet5!E982*41</f>
        <v>14.76</v>
      </c>
      <c r="J982" s="27">
        <v>0.32</v>
      </c>
      <c r="K982">
        <v>0.4627</v>
      </c>
      <c r="L982">
        <v>58</v>
      </c>
      <c r="M982">
        <v>94</v>
      </c>
      <c r="N982">
        <v>152</v>
      </c>
    </row>
    <row r="983" spans="1:14" x14ac:dyDescent="0.3">
      <c r="A983">
        <v>982</v>
      </c>
      <c r="B983" s="21">
        <v>40587</v>
      </c>
      <c r="C983" s="25" t="s">
        <v>16</v>
      </c>
      <c r="D983" s="25" t="str" cm="1">
        <f t="array" ref="D983">_xlfn.SWITCH(Sheet5!A983,1,"JANUARY",2,"FEBRUARY")</f>
        <v>FEBRUARY</v>
      </c>
      <c r="E983">
        <v>13</v>
      </c>
      <c r="F983" t="str" cm="1">
        <f t="array" ref="F983">_xlfn.SWITCH(Sheet5!C983,FALSE,"NO",TRUE,"YES")</f>
        <v>NO</v>
      </c>
      <c r="G983" t="str" cm="1">
        <f t="array" ref="G983">_xlfn.SWITCH(Sheet5!B983,0,"Sunday",1,"Monday",2,"Tuesday",3,"Wednesday",4,"Thursday",5,"Friday",6,"Saturday")</f>
        <v>Sunday</v>
      </c>
      <c r="H983" t="str" cm="1">
        <f t="array" ref="H983">_xlfn.SWITCH(Sheet5!D983, 1, "Clear Sky", 2, "Mist", 3, "Dark Cloud",4,"Heavy Rainfall")</f>
        <v>Clear Sky</v>
      </c>
      <c r="I983" s="26">
        <f>Sheet5!E983*41</f>
        <v>15.58</v>
      </c>
      <c r="J983" s="27">
        <v>0.28999999999999998</v>
      </c>
      <c r="K983">
        <v>0.35820000000000002</v>
      </c>
      <c r="L983">
        <v>62</v>
      </c>
      <c r="M983">
        <v>92</v>
      </c>
      <c r="N983">
        <v>154</v>
      </c>
    </row>
    <row r="984" spans="1:14" x14ac:dyDescent="0.3">
      <c r="A984">
        <v>983</v>
      </c>
      <c r="B984" s="21">
        <v>40587</v>
      </c>
      <c r="C984" s="25" t="s">
        <v>16</v>
      </c>
      <c r="D984" s="25" t="str" cm="1">
        <f t="array" ref="D984">_xlfn.SWITCH(Sheet5!A984,1,"JANUARY",2,"FEBRUARY")</f>
        <v>FEBRUARY</v>
      </c>
      <c r="E984">
        <v>14</v>
      </c>
      <c r="F984" t="str" cm="1">
        <f t="array" ref="F984">_xlfn.SWITCH(Sheet5!C984,FALSE,"NO",TRUE,"YES")</f>
        <v>NO</v>
      </c>
      <c r="G984" t="str" cm="1">
        <f t="array" ref="G984">_xlfn.SWITCH(Sheet5!B984,0,"Sunday",1,"Monday",2,"Tuesday",3,"Wednesday",4,"Thursday",5,"Friday",6,"Saturday")</f>
        <v>Sunday</v>
      </c>
      <c r="H984" t="str" cm="1">
        <f t="array" ref="H984">_xlfn.SWITCH(Sheet5!D984, 1, "Clear Sky", 2, "Mist", 3, "Dark Cloud",4,"Heavy Rainfall")</f>
        <v>Mist</v>
      </c>
      <c r="I984" s="26">
        <f>Sheet5!E984*41</f>
        <v>16.400000000000002</v>
      </c>
      <c r="J984" s="27">
        <v>0.3</v>
      </c>
      <c r="K984">
        <v>0.41789999999999999</v>
      </c>
      <c r="L984">
        <v>51</v>
      </c>
      <c r="M984">
        <v>110</v>
      </c>
      <c r="N984">
        <v>161</v>
      </c>
    </row>
    <row r="985" spans="1:14" x14ac:dyDescent="0.3">
      <c r="A985">
        <v>984</v>
      </c>
      <c r="B985" s="21">
        <v>40587</v>
      </c>
      <c r="C985" s="25" t="s">
        <v>16</v>
      </c>
      <c r="D985" s="25" t="str" cm="1">
        <f t="array" ref="D985">_xlfn.SWITCH(Sheet5!A985,1,"JANUARY",2,"FEBRUARY")</f>
        <v>FEBRUARY</v>
      </c>
      <c r="E985">
        <v>15</v>
      </c>
      <c r="F985" t="str" cm="1">
        <f t="array" ref="F985">_xlfn.SWITCH(Sheet5!C985,FALSE,"NO",TRUE,"YES")</f>
        <v>NO</v>
      </c>
      <c r="G985" t="str" cm="1">
        <f t="array" ref="G985">_xlfn.SWITCH(Sheet5!B985,0,"Sunday",1,"Monday",2,"Tuesday",3,"Wednesday",4,"Thursday",5,"Friday",6,"Saturday")</f>
        <v>Sunday</v>
      </c>
      <c r="H985" t="str" cm="1">
        <f t="array" ref="H985">_xlfn.SWITCH(Sheet5!D985, 1, "Clear Sky", 2, "Mist", 3, "Dark Cloud",4,"Heavy Rainfall")</f>
        <v>Mist</v>
      </c>
      <c r="I985" s="26">
        <f>Sheet5!E985*41</f>
        <v>16.400000000000002</v>
      </c>
      <c r="J985" s="27">
        <v>0.3</v>
      </c>
      <c r="K985">
        <v>0.29849999999999999</v>
      </c>
      <c r="L985">
        <v>40</v>
      </c>
      <c r="M985">
        <v>122</v>
      </c>
      <c r="N985">
        <v>162</v>
      </c>
    </row>
    <row r="986" spans="1:14" x14ac:dyDescent="0.3">
      <c r="A986">
        <v>985</v>
      </c>
      <c r="B986" s="21">
        <v>40587</v>
      </c>
      <c r="C986" s="25" t="s">
        <v>16</v>
      </c>
      <c r="D986" s="25" t="str" cm="1">
        <f t="array" ref="D986">_xlfn.SWITCH(Sheet5!A986,1,"JANUARY",2,"FEBRUARY")</f>
        <v>FEBRUARY</v>
      </c>
      <c r="E986">
        <v>16</v>
      </c>
      <c r="F986" t="str" cm="1">
        <f t="array" ref="F986">_xlfn.SWITCH(Sheet5!C986,FALSE,"NO",TRUE,"YES")</f>
        <v>NO</v>
      </c>
      <c r="G986" t="str" cm="1">
        <f t="array" ref="G986">_xlfn.SWITCH(Sheet5!B986,0,"Sunday",1,"Monday",2,"Tuesday",3,"Wednesday",4,"Thursday",5,"Friday",6,"Saturday")</f>
        <v>Sunday</v>
      </c>
      <c r="H986" t="str" cm="1">
        <f t="array" ref="H986">_xlfn.SWITCH(Sheet5!D986, 1, "Clear Sky", 2, "Mist", 3, "Dark Cloud",4,"Heavy Rainfall")</f>
        <v>Mist</v>
      </c>
      <c r="I986" s="26">
        <f>Sheet5!E986*41</f>
        <v>17.22</v>
      </c>
      <c r="J986" s="27">
        <v>0.28000000000000003</v>
      </c>
      <c r="K986">
        <v>0.32840000000000003</v>
      </c>
      <c r="L986">
        <v>28</v>
      </c>
      <c r="M986">
        <v>106</v>
      </c>
      <c r="N986">
        <v>134</v>
      </c>
    </row>
    <row r="987" spans="1:14" x14ac:dyDescent="0.3">
      <c r="A987">
        <v>986</v>
      </c>
      <c r="B987" s="21">
        <v>40587</v>
      </c>
      <c r="C987" s="25" t="s">
        <v>16</v>
      </c>
      <c r="D987" s="25" t="str" cm="1">
        <f t="array" ref="D987">_xlfn.SWITCH(Sheet5!A987,1,"JANUARY",2,"FEBRUARY")</f>
        <v>FEBRUARY</v>
      </c>
      <c r="E987">
        <v>17</v>
      </c>
      <c r="F987" t="str" cm="1">
        <f t="array" ref="F987">_xlfn.SWITCH(Sheet5!C987,FALSE,"NO",TRUE,"YES")</f>
        <v>NO</v>
      </c>
      <c r="G987" t="str" cm="1">
        <f t="array" ref="G987">_xlfn.SWITCH(Sheet5!B987,0,"Sunday",1,"Monday",2,"Tuesday",3,"Wednesday",4,"Thursday",5,"Friday",6,"Saturday")</f>
        <v>Sunday</v>
      </c>
      <c r="H987" t="str" cm="1">
        <f t="array" ref="H987">_xlfn.SWITCH(Sheet5!D987, 1, "Clear Sky", 2, "Mist", 3, "Dark Cloud",4,"Heavy Rainfall")</f>
        <v>Clear Sky</v>
      </c>
      <c r="I987" s="26">
        <f>Sheet5!E987*41</f>
        <v>17.22</v>
      </c>
      <c r="J987" s="27">
        <v>0.28000000000000003</v>
      </c>
      <c r="K987">
        <v>0.32840000000000003</v>
      </c>
      <c r="L987">
        <v>30</v>
      </c>
      <c r="M987">
        <v>95</v>
      </c>
      <c r="N987">
        <v>125</v>
      </c>
    </row>
    <row r="988" spans="1:14" x14ac:dyDescent="0.3">
      <c r="A988">
        <v>987</v>
      </c>
      <c r="B988" s="21">
        <v>40587</v>
      </c>
      <c r="C988" s="25" t="s">
        <v>16</v>
      </c>
      <c r="D988" s="25" t="str" cm="1">
        <f t="array" ref="D988">_xlfn.SWITCH(Sheet5!A988,1,"JANUARY",2,"FEBRUARY")</f>
        <v>FEBRUARY</v>
      </c>
      <c r="E988">
        <v>18</v>
      </c>
      <c r="F988" t="str" cm="1">
        <f t="array" ref="F988">_xlfn.SWITCH(Sheet5!C988,FALSE,"NO",TRUE,"YES")</f>
        <v>NO</v>
      </c>
      <c r="G988" t="str" cm="1">
        <f t="array" ref="G988">_xlfn.SWITCH(Sheet5!B988,0,"Sunday",1,"Monday",2,"Tuesday",3,"Wednesday",4,"Thursday",5,"Friday",6,"Saturday")</f>
        <v>Sunday</v>
      </c>
      <c r="H988" t="str" cm="1">
        <f t="array" ref="H988">_xlfn.SWITCH(Sheet5!D988, 1, "Clear Sky", 2, "Mist", 3, "Dark Cloud",4,"Heavy Rainfall")</f>
        <v>Clear Sky</v>
      </c>
      <c r="I988" s="26">
        <f>Sheet5!E988*41</f>
        <v>16.400000000000002</v>
      </c>
      <c r="J988" s="27">
        <v>0.32</v>
      </c>
      <c r="K988">
        <v>0.29849999999999999</v>
      </c>
      <c r="L988">
        <v>17</v>
      </c>
      <c r="M988">
        <v>78</v>
      </c>
      <c r="N988">
        <v>95</v>
      </c>
    </row>
    <row r="989" spans="1:14" x14ac:dyDescent="0.3">
      <c r="A989">
        <v>988</v>
      </c>
      <c r="B989" s="21">
        <v>40587</v>
      </c>
      <c r="C989" s="25" t="s">
        <v>16</v>
      </c>
      <c r="D989" s="25" t="str" cm="1">
        <f t="array" ref="D989">_xlfn.SWITCH(Sheet5!A989,1,"JANUARY",2,"FEBRUARY")</f>
        <v>FEBRUARY</v>
      </c>
      <c r="E989">
        <v>19</v>
      </c>
      <c r="F989" t="str" cm="1">
        <f t="array" ref="F989">_xlfn.SWITCH(Sheet5!C989,FALSE,"NO",TRUE,"YES")</f>
        <v>NO</v>
      </c>
      <c r="G989" t="str" cm="1">
        <f t="array" ref="G989">_xlfn.SWITCH(Sheet5!B989,0,"Sunday",1,"Monday",2,"Tuesday",3,"Wednesday",4,"Thursday",5,"Friday",6,"Saturday")</f>
        <v>Sunday</v>
      </c>
      <c r="H989" t="str" cm="1">
        <f t="array" ref="H989">_xlfn.SWITCH(Sheet5!D989, 1, "Clear Sky", 2, "Mist", 3, "Dark Cloud",4,"Heavy Rainfall")</f>
        <v>Clear Sky</v>
      </c>
      <c r="I989" s="26">
        <f>Sheet5!E989*41</f>
        <v>16.400000000000002</v>
      </c>
      <c r="J989" s="27">
        <v>0.35</v>
      </c>
      <c r="K989">
        <v>0.28360000000000002</v>
      </c>
      <c r="L989">
        <v>11</v>
      </c>
      <c r="M989">
        <v>50</v>
      </c>
      <c r="N989">
        <v>61</v>
      </c>
    </row>
    <row r="990" spans="1:14" x14ac:dyDescent="0.3">
      <c r="A990">
        <v>989</v>
      </c>
      <c r="B990" s="21">
        <v>40587</v>
      </c>
      <c r="C990" s="25" t="s">
        <v>16</v>
      </c>
      <c r="D990" s="25" t="str" cm="1">
        <f t="array" ref="D990">_xlfn.SWITCH(Sheet5!A990,1,"JANUARY",2,"FEBRUARY")</f>
        <v>FEBRUARY</v>
      </c>
      <c r="E990">
        <v>20</v>
      </c>
      <c r="F990" t="str" cm="1">
        <f t="array" ref="F990">_xlfn.SWITCH(Sheet5!C990,FALSE,"NO",TRUE,"YES")</f>
        <v>NO</v>
      </c>
      <c r="G990" t="str" cm="1">
        <f t="array" ref="G990">_xlfn.SWITCH(Sheet5!B990,0,"Sunday",1,"Monday",2,"Tuesday",3,"Wednesday",4,"Thursday",5,"Friday",6,"Saturday")</f>
        <v>Sunday</v>
      </c>
      <c r="H990" t="str" cm="1">
        <f t="array" ref="H990">_xlfn.SWITCH(Sheet5!D990, 1, "Clear Sky", 2, "Mist", 3, "Dark Cloud",4,"Heavy Rainfall")</f>
        <v>Clear Sky</v>
      </c>
      <c r="I990" s="26">
        <f>Sheet5!E990*41</f>
        <v>16.400000000000002</v>
      </c>
      <c r="J990" s="27">
        <v>0.35</v>
      </c>
      <c r="K990">
        <v>0.32840000000000003</v>
      </c>
      <c r="L990">
        <v>15</v>
      </c>
      <c r="M990">
        <v>32</v>
      </c>
      <c r="N990">
        <v>47</v>
      </c>
    </row>
    <row r="991" spans="1:14" x14ac:dyDescent="0.3">
      <c r="A991">
        <v>990</v>
      </c>
      <c r="B991" s="21">
        <v>40587</v>
      </c>
      <c r="C991" s="25" t="s">
        <v>16</v>
      </c>
      <c r="D991" s="25" t="str" cm="1">
        <f t="array" ref="D991">_xlfn.SWITCH(Sheet5!A991,1,"JANUARY",2,"FEBRUARY")</f>
        <v>FEBRUARY</v>
      </c>
      <c r="E991">
        <v>21</v>
      </c>
      <c r="F991" t="str" cm="1">
        <f t="array" ref="F991">_xlfn.SWITCH(Sheet5!C991,FALSE,"NO",TRUE,"YES")</f>
        <v>NO</v>
      </c>
      <c r="G991" t="str" cm="1">
        <f t="array" ref="G991">_xlfn.SWITCH(Sheet5!B991,0,"Sunday",1,"Monday",2,"Tuesday",3,"Wednesday",4,"Thursday",5,"Friday",6,"Saturday")</f>
        <v>Sunday</v>
      </c>
      <c r="H991" t="str" cm="1">
        <f t="array" ref="H991">_xlfn.SWITCH(Sheet5!D991, 1, "Clear Sky", 2, "Mist", 3, "Dark Cloud",4,"Heavy Rainfall")</f>
        <v>Clear Sky</v>
      </c>
      <c r="I991" s="26">
        <f>Sheet5!E991*41</f>
        <v>16.400000000000002</v>
      </c>
      <c r="J991" s="27">
        <v>0.35</v>
      </c>
      <c r="K991">
        <v>0.35820000000000002</v>
      </c>
      <c r="L991">
        <v>6</v>
      </c>
      <c r="M991">
        <v>45</v>
      </c>
      <c r="N991">
        <v>51</v>
      </c>
    </row>
    <row r="992" spans="1:14" x14ac:dyDescent="0.3">
      <c r="A992">
        <v>991</v>
      </c>
      <c r="B992" s="21">
        <v>40587</v>
      </c>
      <c r="C992" s="25" t="s">
        <v>16</v>
      </c>
      <c r="D992" s="25" t="str" cm="1">
        <f t="array" ref="D992">_xlfn.SWITCH(Sheet5!A992,1,"JANUARY",2,"FEBRUARY")</f>
        <v>FEBRUARY</v>
      </c>
      <c r="E992">
        <v>22</v>
      </c>
      <c r="F992" t="str" cm="1">
        <f t="array" ref="F992">_xlfn.SWITCH(Sheet5!C992,FALSE,"NO",TRUE,"YES")</f>
        <v>NO</v>
      </c>
      <c r="G992" t="str" cm="1">
        <f t="array" ref="G992">_xlfn.SWITCH(Sheet5!B992,0,"Sunday",1,"Monday",2,"Tuesday",3,"Wednesday",4,"Thursday",5,"Friday",6,"Saturday")</f>
        <v>Sunday</v>
      </c>
      <c r="H992" t="str" cm="1">
        <f t="array" ref="H992">_xlfn.SWITCH(Sheet5!D992, 1, "Clear Sky", 2, "Mist", 3, "Dark Cloud",4,"Heavy Rainfall")</f>
        <v>Clear Sky</v>
      </c>
      <c r="I992" s="26">
        <f>Sheet5!E992*41</f>
        <v>16.400000000000002</v>
      </c>
      <c r="J992" s="27">
        <v>0.35</v>
      </c>
      <c r="K992">
        <v>0.29849999999999999</v>
      </c>
      <c r="L992">
        <v>5</v>
      </c>
      <c r="M992">
        <v>31</v>
      </c>
      <c r="N992">
        <v>36</v>
      </c>
    </row>
    <row r="993" spans="1:14" x14ac:dyDescent="0.3">
      <c r="A993">
        <v>992</v>
      </c>
      <c r="B993" s="21">
        <v>40587</v>
      </c>
      <c r="C993" s="25" t="s">
        <v>16</v>
      </c>
      <c r="D993" s="25" t="str" cm="1">
        <f t="array" ref="D993">_xlfn.SWITCH(Sheet5!A993,1,"JANUARY",2,"FEBRUARY")</f>
        <v>FEBRUARY</v>
      </c>
      <c r="E993">
        <v>23</v>
      </c>
      <c r="F993" t="str" cm="1">
        <f t="array" ref="F993">_xlfn.SWITCH(Sheet5!C993,FALSE,"NO",TRUE,"YES")</f>
        <v>NO</v>
      </c>
      <c r="G993" t="str" cm="1">
        <f t="array" ref="G993">_xlfn.SWITCH(Sheet5!B993,0,"Sunday",1,"Monday",2,"Tuesday",3,"Wednesday",4,"Thursday",5,"Friday",6,"Saturday")</f>
        <v>Sunday</v>
      </c>
      <c r="H993" t="str" cm="1">
        <f t="array" ref="H993">_xlfn.SWITCH(Sheet5!D993, 1, "Clear Sky", 2, "Mist", 3, "Dark Cloud",4,"Heavy Rainfall")</f>
        <v>Clear Sky</v>
      </c>
      <c r="I993" s="26">
        <f>Sheet5!E993*41</f>
        <v>16.400000000000002</v>
      </c>
      <c r="J993" s="27">
        <v>0.35</v>
      </c>
      <c r="K993">
        <v>0.35820000000000002</v>
      </c>
      <c r="L993">
        <v>3</v>
      </c>
      <c r="M993">
        <v>27</v>
      </c>
      <c r="N993">
        <v>30</v>
      </c>
    </row>
    <row r="994" spans="1:14" x14ac:dyDescent="0.3">
      <c r="A994">
        <v>993</v>
      </c>
      <c r="B994" s="21">
        <v>40588</v>
      </c>
      <c r="C994" s="25" t="s">
        <v>16</v>
      </c>
      <c r="D994" s="25" t="str" cm="1">
        <f t="array" ref="D994">_xlfn.SWITCH(Sheet5!A994,1,"JANUARY",2,"FEBRUARY")</f>
        <v>FEBRUARY</v>
      </c>
      <c r="E994">
        <v>0</v>
      </c>
      <c r="F994" t="str" cm="1">
        <f t="array" ref="F994">_xlfn.SWITCH(Sheet5!C994,FALSE,"NO",TRUE,"YES")</f>
        <v>NO</v>
      </c>
      <c r="G994" t="str" cm="1">
        <f t="array" ref="G994">_xlfn.SWITCH(Sheet5!B994,0,"Sunday",1,"Monday",2,"Tuesday",3,"Wednesday",4,"Thursday",5,"Friday",6,"Saturday")</f>
        <v>Monday</v>
      </c>
      <c r="H994" t="str" cm="1">
        <f t="array" ref="H994">_xlfn.SWITCH(Sheet5!D994, 1, "Clear Sky", 2, "Mist", 3, "Dark Cloud",4,"Heavy Rainfall")</f>
        <v>Clear Sky</v>
      </c>
      <c r="I994" s="26">
        <f>Sheet5!E994*41</f>
        <v>15.58</v>
      </c>
      <c r="J994" s="27">
        <v>0.37</v>
      </c>
      <c r="K994">
        <v>0.35820000000000002</v>
      </c>
      <c r="L994">
        <v>3</v>
      </c>
      <c r="M994">
        <v>8</v>
      </c>
      <c r="N994">
        <v>11</v>
      </c>
    </row>
    <row r="995" spans="1:14" x14ac:dyDescent="0.3">
      <c r="A995">
        <v>994</v>
      </c>
      <c r="B995" s="21">
        <v>40588</v>
      </c>
      <c r="C995" s="25" t="s">
        <v>16</v>
      </c>
      <c r="D995" s="25" t="str" cm="1">
        <f t="array" ref="D995">_xlfn.SWITCH(Sheet5!A995,1,"JANUARY",2,"FEBRUARY")</f>
        <v>FEBRUARY</v>
      </c>
      <c r="E995">
        <v>1</v>
      </c>
      <c r="F995" t="str" cm="1">
        <f t="array" ref="F995">_xlfn.SWITCH(Sheet5!C995,FALSE,"NO",TRUE,"YES")</f>
        <v>NO</v>
      </c>
      <c r="G995" t="str" cm="1">
        <f t="array" ref="G995">_xlfn.SWITCH(Sheet5!B995,0,"Sunday",1,"Monday",2,"Tuesday",3,"Wednesday",4,"Thursday",5,"Friday",6,"Saturday")</f>
        <v>Monday</v>
      </c>
      <c r="H995" t="str" cm="1">
        <f t="array" ref="H995">_xlfn.SWITCH(Sheet5!D995, 1, "Clear Sky", 2, "Mist", 3, "Dark Cloud",4,"Heavy Rainfall")</f>
        <v>Clear Sky</v>
      </c>
      <c r="I995" s="26">
        <f>Sheet5!E995*41</f>
        <v>15.58</v>
      </c>
      <c r="J995" s="27">
        <v>0.37</v>
      </c>
      <c r="K995">
        <v>0.35820000000000002</v>
      </c>
      <c r="L995">
        <v>1</v>
      </c>
      <c r="M995">
        <v>6</v>
      </c>
      <c r="N995">
        <v>7</v>
      </c>
    </row>
    <row r="996" spans="1:14" x14ac:dyDescent="0.3">
      <c r="A996">
        <v>995</v>
      </c>
      <c r="B996" s="21">
        <v>40588</v>
      </c>
      <c r="C996" s="25" t="s">
        <v>16</v>
      </c>
      <c r="D996" s="25" t="str" cm="1">
        <f t="array" ref="D996">_xlfn.SWITCH(Sheet5!A996,1,"JANUARY",2,"FEBRUARY")</f>
        <v>FEBRUARY</v>
      </c>
      <c r="E996">
        <v>2</v>
      </c>
      <c r="F996" t="str" cm="1">
        <f t="array" ref="F996">_xlfn.SWITCH(Sheet5!C996,FALSE,"NO",TRUE,"YES")</f>
        <v>NO</v>
      </c>
      <c r="G996" t="str" cm="1">
        <f t="array" ref="G996">_xlfn.SWITCH(Sheet5!B996,0,"Sunday",1,"Monday",2,"Tuesday",3,"Wednesday",4,"Thursday",5,"Friday",6,"Saturday")</f>
        <v>Monday</v>
      </c>
      <c r="H996" t="str" cm="1">
        <f t="array" ref="H996">_xlfn.SWITCH(Sheet5!D996, 1, "Clear Sky", 2, "Mist", 3, "Dark Cloud",4,"Heavy Rainfall")</f>
        <v>Clear Sky</v>
      </c>
      <c r="I996" s="26">
        <f>Sheet5!E996*41</f>
        <v>14.76</v>
      </c>
      <c r="J996" s="27">
        <v>0.4</v>
      </c>
      <c r="K996">
        <v>0.29849999999999999</v>
      </c>
      <c r="L996">
        <v>0</v>
      </c>
      <c r="M996">
        <v>2</v>
      </c>
      <c r="N996">
        <v>2</v>
      </c>
    </row>
    <row r="997" spans="1:14" x14ac:dyDescent="0.3">
      <c r="A997">
        <v>996</v>
      </c>
      <c r="B997" s="21">
        <v>40588</v>
      </c>
      <c r="C997" s="25" t="s">
        <v>16</v>
      </c>
      <c r="D997" s="25" t="str" cm="1">
        <f t="array" ref="D997">_xlfn.SWITCH(Sheet5!A997,1,"JANUARY",2,"FEBRUARY")</f>
        <v>FEBRUARY</v>
      </c>
      <c r="E997">
        <v>3</v>
      </c>
      <c r="F997" t="str" cm="1">
        <f t="array" ref="F997">_xlfn.SWITCH(Sheet5!C997,FALSE,"NO",TRUE,"YES")</f>
        <v>NO</v>
      </c>
      <c r="G997" t="str" cm="1">
        <f t="array" ref="G997">_xlfn.SWITCH(Sheet5!B997,0,"Sunday",1,"Monday",2,"Tuesday",3,"Wednesday",4,"Thursday",5,"Friday",6,"Saturday")</f>
        <v>Monday</v>
      </c>
      <c r="H997" t="str" cm="1">
        <f t="array" ref="H997">_xlfn.SWITCH(Sheet5!D997, 1, "Clear Sky", 2, "Mist", 3, "Dark Cloud",4,"Heavy Rainfall")</f>
        <v>Clear Sky</v>
      </c>
      <c r="I997" s="26">
        <f>Sheet5!E997*41</f>
        <v>13.940000000000001</v>
      </c>
      <c r="J997" s="27">
        <v>0.46</v>
      </c>
      <c r="K997">
        <v>0.22389999999999999</v>
      </c>
      <c r="L997">
        <v>1</v>
      </c>
      <c r="M997">
        <v>1</v>
      </c>
      <c r="N997">
        <v>2</v>
      </c>
    </row>
    <row r="998" spans="1:14" x14ac:dyDescent="0.3">
      <c r="A998">
        <v>997</v>
      </c>
      <c r="B998" s="21">
        <v>40588</v>
      </c>
      <c r="C998" s="25" t="s">
        <v>16</v>
      </c>
      <c r="D998" s="25" t="str" cm="1">
        <f t="array" ref="D998">_xlfn.SWITCH(Sheet5!A998,1,"JANUARY",2,"FEBRUARY")</f>
        <v>FEBRUARY</v>
      </c>
      <c r="E998">
        <v>4</v>
      </c>
      <c r="F998" t="str" cm="1">
        <f t="array" ref="F998">_xlfn.SWITCH(Sheet5!C998,FALSE,"NO",TRUE,"YES")</f>
        <v>NO</v>
      </c>
      <c r="G998" t="str" cm="1">
        <f t="array" ref="G998">_xlfn.SWITCH(Sheet5!B998,0,"Sunday",1,"Monday",2,"Tuesday",3,"Wednesday",4,"Thursday",5,"Friday",6,"Saturday")</f>
        <v>Monday</v>
      </c>
      <c r="H998" t="str" cm="1">
        <f t="array" ref="H998">_xlfn.SWITCH(Sheet5!D998, 1, "Clear Sky", 2, "Mist", 3, "Dark Cloud",4,"Heavy Rainfall")</f>
        <v>Clear Sky</v>
      </c>
      <c r="I998" s="26">
        <f>Sheet5!E998*41</f>
        <v>13.120000000000001</v>
      </c>
      <c r="J998" s="27">
        <v>0.53</v>
      </c>
      <c r="K998">
        <v>0.28360000000000002</v>
      </c>
      <c r="L998">
        <v>0</v>
      </c>
      <c r="M998">
        <v>2</v>
      </c>
      <c r="N998">
        <v>2</v>
      </c>
    </row>
    <row r="999" spans="1:14" x14ac:dyDescent="0.3">
      <c r="A999">
        <v>998</v>
      </c>
      <c r="B999" s="21">
        <v>40588</v>
      </c>
      <c r="C999" s="25" t="s">
        <v>16</v>
      </c>
      <c r="D999" s="25" t="str" cm="1">
        <f t="array" ref="D999">_xlfn.SWITCH(Sheet5!A999,1,"JANUARY",2,"FEBRUARY")</f>
        <v>FEBRUARY</v>
      </c>
      <c r="E999">
        <v>5</v>
      </c>
      <c r="F999" t="str" cm="1">
        <f t="array" ref="F999">_xlfn.SWITCH(Sheet5!C999,FALSE,"NO",TRUE,"YES")</f>
        <v>NO</v>
      </c>
      <c r="G999" t="str" cm="1">
        <f t="array" ref="G999">_xlfn.SWITCH(Sheet5!B999,0,"Sunday",1,"Monday",2,"Tuesday",3,"Wednesday",4,"Thursday",5,"Friday",6,"Saturday")</f>
        <v>Monday</v>
      </c>
      <c r="H999" t="str" cm="1">
        <f t="array" ref="H999">_xlfn.SWITCH(Sheet5!D999, 1, "Clear Sky", 2, "Mist", 3, "Dark Cloud",4,"Heavy Rainfall")</f>
        <v>Clear Sky</v>
      </c>
      <c r="I999" s="26">
        <f>Sheet5!E999*41</f>
        <v>13.120000000000001</v>
      </c>
      <c r="J999" s="27">
        <v>0.53</v>
      </c>
      <c r="K999">
        <v>0.28360000000000002</v>
      </c>
      <c r="L999">
        <v>0</v>
      </c>
      <c r="M999">
        <v>3</v>
      </c>
      <c r="N999">
        <v>3</v>
      </c>
    </row>
    <row r="1000" spans="1:14" x14ac:dyDescent="0.3">
      <c r="A1000">
        <v>999</v>
      </c>
      <c r="B1000" s="21">
        <v>40588</v>
      </c>
      <c r="C1000" s="25" t="s">
        <v>16</v>
      </c>
      <c r="D1000" s="25" t="str" cm="1">
        <f t="array" ref="D1000">_xlfn.SWITCH(Sheet5!A1000,1,"JANUARY",2,"FEBRUARY")</f>
        <v>FEBRUARY</v>
      </c>
      <c r="E1000">
        <v>6</v>
      </c>
      <c r="F1000" t="str" cm="1">
        <f t="array" ref="F1000">_xlfn.SWITCH(Sheet5!C1000,FALSE,"NO",TRUE,"YES")</f>
        <v>NO</v>
      </c>
      <c r="G1000" t="str" cm="1">
        <f t="array" ref="G1000">_xlfn.SWITCH(Sheet5!B1000,0,"Sunday",1,"Monday",2,"Tuesday",3,"Wednesday",4,"Thursday",5,"Friday",6,"Saturday")</f>
        <v>Monday</v>
      </c>
      <c r="H1000" t="str" cm="1">
        <f t="array" ref="H1000">_xlfn.SWITCH(Sheet5!D1000, 1, "Clear Sky", 2, "Mist", 3, "Dark Cloud",4,"Heavy Rainfall")</f>
        <v>Clear Sky</v>
      </c>
      <c r="I1000" s="26">
        <f>Sheet5!E1000*41</f>
        <v>13.940000000000001</v>
      </c>
      <c r="J1000" s="27">
        <v>0.46</v>
      </c>
      <c r="K1000">
        <v>0.29849999999999999</v>
      </c>
      <c r="L1000">
        <v>1</v>
      </c>
      <c r="M1000">
        <v>25</v>
      </c>
      <c r="N1000">
        <v>26</v>
      </c>
    </row>
    <row r="1001" spans="1:14" x14ac:dyDescent="0.3">
      <c r="A1001">
        <v>1000</v>
      </c>
      <c r="B1001" s="21">
        <v>40588</v>
      </c>
      <c r="C1001" s="25" t="s">
        <v>16</v>
      </c>
      <c r="D1001" s="25" t="str" cm="1">
        <f t="array" ref="D1001">_xlfn.SWITCH(Sheet5!A1001,1,"JANUARY",2,"FEBRUARY")</f>
        <v>FEBRUARY</v>
      </c>
      <c r="E1001">
        <v>7</v>
      </c>
      <c r="F1001" t="str" cm="1">
        <f t="array" ref="F1001">_xlfn.SWITCH(Sheet5!C1001,FALSE,"NO",TRUE,"YES")</f>
        <v>NO</v>
      </c>
      <c r="G1001" t="str" cm="1">
        <f t="array" ref="G1001">_xlfn.SWITCH(Sheet5!B1001,0,"Sunday",1,"Monday",2,"Tuesday",3,"Wednesday",4,"Thursday",5,"Friday",6,"Saturday")</f>
        <v>Monday</v>
      </c>
      <c r="H1001" t="str" cm="1">
        <f t="array" ref="H1001">_xlfn.SWITCH(Sheet5!D1001, 1, "Clear Sky", 2, "Mist", 3, "Dark Cloud",4,"Heavy Rainfall")</f>
        <v>Clear Sky</v>
      </c>
      <c r="I1001" s="26">
        <f>Sheet5!E1001*41</f>
        <v>13.940000000000001</v>
      </c>
      <c r="J1001" s="27">
        <v>0.46</v>
      </c>
      <c r="K1001">
        <v>0.29849999999999999</v>
      </c>
      <c r="L1001">
        <v>2</v>
      </c>
      <c r="M1001">
        <v>96</v>
      </c>
      <c r="N1001">
        <v>98</v>
      </c>
    </row>
    <row r="1002" spans="1:14" x14ac:dyDescent="0.3">
      <c r="A1002" t="s">
        <v>79</v>
      </c>
      <c r="C1002" s="25"/>
      <c r="D1002" s="25"/>
      <c r="N1002">
        <f>SUBTOTAL(109,Append1[cnt])</f>
        <v>58304</v>
      </c>
    </row>
  </sheetData>
  <phoneticPr fontId="4" type="noConversion"/>
  <conditionalFormatting sqref="M2:M1001">
    <cfRule type="colorScale" priority="2">
      <colorScale>
        <cfvo type="min"/>
        <cfvo type="percentile" val="50"/>
        <cfvo type="max"/>
        <color rgb="FFF8696B"/>
        <color rgb="FFFFEB84"/>
        <color rgb="FF63BE7B"/>
      </colorScale>
    </cfRule>
  </conditionalFormatting>
  <conditionalFormatting sqref="N1:N1001 N1003:N1048576">
    <cfRule type="iconSet" priority="1">
      <iconSet iconSet="3Arrows">
        <cfvo type="percent" val="0"/>
        <cfvo type="percent" val="33"/>
        <cfvo type="percent" val="67"/>
      </iconSet>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88C3-822C-416F-B653-1F9C42FC584C}">
  <sheetPr>
    <pageSetUpPr fitToPage="1"/>
  </sheetPr>
  <dimension ref="M11"/>
  <sheetViews>
    <sheetView tabSelected="1" topLeftCell="A70" zoomScaleNormal="100" workbookViewId="0">
      <selection activeCell="N85" sqref="N85"/>
    </sheetView>
  </sheetViews>
  <sheetFormatPr defaultRowHeight="14.4" x14ac:dyDescent="0.3"/>
  <cols>
    <col min="17" max="17" width="10.109375" bestFit="1" customWidth="1"/>
  </cols>
  <sheetData>
    <row r="11" spans="13:13" x14ac:dyDescent="0.3">
      <c r="M11" s="26"/>
    </row>
  </sheetData>
  <pageMargins left="0" right="0" top="0" bottom="0" header="0" footer="0"/>
  <pageSetup scale="6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FE0D64-0827-4005-8B70-2672131C1F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dataset_3</vt:lpstr>
      <vt:lpstr>DATASET 1</vt:lpstr>
      <vt:lpstr>DATA SHEET 2</vt:lpstr>
      <vt:lpstr>Merge2</vt:lpstr>
      <vt:lpstr>Merge1+2</vt:lpstr>
      <vt:lpstr>Sheet5</vt:lpstr>
      <vt:lpstr>Detail1</vt:lpstr>
      <vt:lpstr>Sheet2</vt:lpstr>
      <vt:lpstr>Sheet3</vt:lpstr>
      <vt:lpstr>Sheet4</vt:lpstr>
      <vt:lpstr>Sheet1</vt:lpstr>
      <vt:lpstr>final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Palvinder Singh</dc:creator>
  <cp:lastModifiedBy>Palvinder Singh</cp:lastModifiedBy>
  <cp:lastPrinted>2026-01-20T13:08:56Z</cp:lastPrinted>
  <dcterms:created xsi:type="dcterms:W3CDTF">2025-12-22T15:19:24Z</dcterms:created>
  <dcterms:modified xsi:type="dcterms:W3CDTF">2026-01-20T13:38:06Z</dcterms:modified>
</cp:coreProperties>
</file>